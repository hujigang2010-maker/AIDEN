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封面与说明" sheetId="1" state="visible" r:id="rId1"/>
    <sheet xmlns:r="http://schemas.openxmlformats.org/officeDocument/2006/relationships" name="02 收入结构总览" sheetId="2" state="visible" r:id="rId2"/>
    <sheet xmlns:r="http://schemas.openxmlformats.org/officeDocument/2006/relationships" name="03 月费测算" sheetId="3" state="visible" r:id="rId3"/>
    <sheet xmlns:r="http://schemas.openxmlformats.org/officeDocument/2006/relationships" name="04 招商佣金阶梯" sheetId="4" state="visible" r:id="rId4"/>
    <sheet xmlns:r="http://schemas.openxmlformats.org/officeDocument/2006/relationships" name="05 活动+奖项" sheetId="5" state="visible" r:id="rId5"/>
    <sheet xmlns:r="http://schemas.openxmlformats.org/officeDocument/2006/relationships" name="06 股权分红+三年累计" sheetId="6" state="visible" r:id="rId6"/>
    <sheet xmlns:r="http://schemas.openxmlformats.org/officeDocument/2006/relationships" name="07 敏感性分析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FFFFFFFF"/>
      <sz val="18"/>
    </font>
    <font>
      <name val="微软雅黑"/>
      <color rgb="FF1F2A44"/>
      <sz val="11"/>
    </font>
    <font>
      <name val="微软雅黑"/>
      <b val="1"/>
      <color rgb="00142C5E"/>
      <sz val="11"/>
    </font>
    <font>
      <name val="微软雅黑"/>
      <b val="1"/>
      <color rgb="FFFFFFFF"/>
      <sz val="12"/>
    </font>
    <font>
      <name val="Consolas"/>
      <color rgb="FF1F2A44"/>
      <sz val="11"/>
    </font>
    <font>
      <name val="微软雅黑"/>
      <b val="1"/>
      <color rgb="FFFFFFFF"/>
      <sz val="11"/>
    </font>
    <font>
      <name val="Consolas"/>
      <b val="1"/>
      <color rgb="00142C5E"/>
      <sz val="11"/>
    </font>
    <font>
      <name val="微软雅黑"/>
      <i val="1"/>
      <color rgb="FF55607A"/>
      <sz val="10"/>
    </font>
  </fonts>
  <fills count="6">
    <fill>
      <patternFill/>
    </fill>
    <fill>
      <patternFill patternType="gray125"/>
    </fill>
    <fill>
      <patternFill patternType="solid">
        <fgColor rgb="00142C5E"/>
      </patternFill>
    </fill>
    <fill>
      <patternFill patternType="solid">
        <fgColor rgb="00F8F9FB"/>
      </patternFill>
    </fill>
    <fill>
      <patternFill patternType="solid">
        <fgColor rgb="00EAEEF5"/>
      </patternFill>
    </fill>
    <fill>
      <patternFill patternType="solid">
        <fgColor rgb="00F27E2D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left" vertical="center" wrapText="1"/>
    </xf>
    <xf numFmtId="3" fontId="6" fillId="5" borderId="1" applyAlignment="1" pivotButton="0" quotePrefix="0" xfId="0">
      <alignment horizontal="right" vertical="center" wrapText="1"/>
    </xf>
    <xf numFmtId="0" fontId="3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40" customHeight="1">
      <c r="A1" s="1" t="inlineStr">
        <is>
          <t>元谷项目 · 胡教授团队 × 森马 联合运营合作收益测算模型 v1.0</t>
        </is>
      </c>
    </row>
    <row r="3">
      <c r="B3" s="2" t="inlineStr">
        <is>
          <t>文件版本</t>
        </is>
      </c>
      <c r="C3" s="2" t="inlineStr">
        <is>
          <t>v1.0</t>
        </is>
      </c>
    </row>
    <row r="4">
      <c r="B4" s="2" t="inlineStr">
        <is>
          <t>适用项目</t>
        </is>
      </c>
      <c r="C4" s="2" t="inlineStr">
        <is>
          <t>森马（上海）国际运营中心 元谷项目</t>
        </is>
      </c>
    </row>
    <row r="5">
      <c r="B5" s="2" t="inlineStr">
        <is>
          <t>适用主体</t>
        </is>
      </c>
      <c r="C5" s="2" t="inlineStr">
        <is>
          <t>森马集团 × 危总团队 × 胡教授团队 联合运营合资公司</t>
        </is>
      </c>
    </row>
    <row r="6">
      <c r="B6" s="2" t="inlineStr">
        <is>
          <t>货币单位</t>
        </is>
      </c>
      <c r="C6" s="2" t="inlineStr">
        <is>
          <t>人民币 元（除非另行注明）</t>
        </is>
      </c>
    </row>
    <row r="7">
      <c r="B7" s="2" t="inlineStr">
        <is>
          <t>测算口径</t>
        </is>
      </c>
      <c r="C7" s="2" t="inlineStr">
        <is>
          <t>首年现金口径；不含税；不含合资公司行政固定成本（由合资公司主体承担）</t>
        </is>
      </c>
    </row>
    <row r="8">
      <c r="B8" s="2" t="inlineStr">
        <is>
          <t>Sheet 索引</t>
        </is>
      </c>
      <c r="C8" s="2" t="inlineStr">
        <is>
          <t>02 收入结构总览 / 03 月费测算 / 04 招商佣金 / 05 活动+奖项 / 06 股权分红+三年累计 / 07 敏感性分析</t>
        </is>
      </c>
    </row>
    <row r="10">
      <c r="B10" s="3" t="inlineStr">
        <is>
          <t>【输入资源资产化逻辑】</t>
        </is>
      </c>
      <c r="C10" s="2" t="inlineStr"/>
    </row>
    <row r="11">
      <c r="B11" s="2" t="inlineStr">
        <is>
          <t>北欧创新国际会客厅</t>
        </is>
      </c>
      <c r="C11" s="2" t="inlineStr">
        <is>
          <t>国际外事 / IP 引入 → 进 4# 楼，按月费 + 活动收入贡献</t>
        </is>
      </c>
    </row>
    <row r="12">
      <c r="B12" s="2" t="inlineStr">
        <is>
          <t>福布斯系列奖项</t>
        </is>
      </c>
      <c r="C12" s="2" t="inlineStr">
        <is>
          <t>品牌势能 → 按挂牌奖项一次性激励</t>
        </is>
      </c>
    </row>
    <row r="13">
      <c r="B13" s="2" t="inlineStr">
        <is>
          <t>科技开放麦</t>
        </is>
      </c>
      <c r="C13" s="2" t="inlineStr">
        <is>
          <t>活动 IP → 单场利润分成 + 招商导流</t>
        </is>
      </c>
    </row>
    <row r="14">
      <c r="B14" s="2" t="inlineStr">
        <is>
          <t>AI 腾讯</t>
        </is>
      </c>
      <c r="C14" s="2" t="inlineStr">
        <is>
          <t>技术导流 → 招商漏斗 + 共享设计中心分润</t>
        </is>
      </c>
    </row>
    <row r="15">
      <c r="B15" s="2" t="inlineStr">
        <is>
          <t>仲量联行爬楼大数据</t>
        </is>
      </c>
      <c r="C15" s="2" t="inlineStr">
        <is>
          <t>招商弹药 → 拉高佣金转化率（已投入 26,000 元）</t>
        </is>
      </c>
    </row>
    <row r="16">
      <c r="B16" s="2" t="inlineStr">
        <is>
          <t>追觅科技基金</t>
        </is>
      </c>
      <c r="C16" s="2" t="inlineStr">
        <is>
          <t>返投落地 → 中下游产能锁定 + 招商佣金加成</t>
        </is>
      </c>
    </row>
    <row r="18">
      <c r="B18" s="3" t="inlineStr">
        <is>
          <t>【收入结构】</t>
        </is>
      </c>
      <c r="C18" s="2" t="inlineStr"/>
    </row>
    <row r="19">
      <c r="B19" s="2" t="inlineStr">
        <is>
          <t>固定月费 Retainer</t>
        </is>
      </c>
      <c r="C19" s="2" t="inlineStr">
        <is>
          <t>覆盖团队 + 顾问 + 数据接口 → 见 Sheet 03</t>
        </is>
      </c>
    </row>
    <row r="20">
      <c r="B20" s="2" t="inlineStr">
        <is>
          <t>专项奖项激励</t>
        </is>
      </c>
      <c r="C20" s="2" t="inlineStr">
        <is>
          <t>牌照 / 福布斯 / 小镇奖项 → 见 Sheet 05</t>
        </is>
      </c>
    </row>
    <row r="21">
      <c r="B21" s="2" t="inlineStr">
        <is>
          <t>活动运营收入</t>
        </is>
      </c>
      <c r="C21" s="2" t="inlineStr">
        <is>
          <t>科技开放麦 + 潮玩大赛 + 北欧外事 → 见 Sheet 05</t>
        </is>
      </c>
    </row>
    <row r="22">
      <c r="B22" s="2" t="inlineStr">
        <is>
          <t>招商佣金</t>
        </is>
      </c>
      <c r="C22" s="2" t="inlineStr">
        <is>
          <t>实际成交年租金的 1–2.5 个月 → 见 Sheet 04</t>
        </is>
      </c>
    </row>
    <row r="23">
      <c r="B23" s="2" t="inlineStr">
        <is>
          <t>股权分红</t>
        </is>
      </c>
      <c r="C23" s="2" t="inlineStr">
        <is>
          <t>合资公司净利润按股比分配 → 见 Sheet 06</t>
        </is>
      </c>
    </row>
  </sheetData>
  <mergeCells count="20">
    <mergeCell ref="C10:H10"/>
    <mergeCell ref="C16:H16"/>
    <mergeCell ref="C22:H22"/>
    <mergeCell ref="A1:H1"/>
    <mergeCell ref="C12:H12"/>
    <mergeCell ref="C21:H21"/>
    <mergeCell ref="C11:H11"/>
    <mergeCell ref="C23:H23"/>
    <mergeCell ref="C8:H8"/>
    <mergeCell ref="C7:H7"/>
    <mergeCell ref="C19:H19"/>
    <mergeCell ref="C13:H13"/>
    <mergeCell ref="C18:H18"/>
    <mergeCell ref="C3:H3"/>
    <mergeCell ref="C15:H15"/>
    <mergeCell ref="C6:H6"/>
    <mergeCell ref="C14:H14"/>
    <mergeCell ref="C5:H5"/>
    <mergeCell ref="C4:H4"/>
    <mergeCell ref="C20:H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18" customWidth="1" min="4" max="4"/>
    <col width="18" customWidth="1" min="5" max="5"/>
    <col width="32" customWidth="1" min="6" max="6"/>
  </cols>
  <sheetData>
    <row r="1" ht="40" customHeight="1">
      <c r="A1" s="1" t="inlineStr">
        <is>
          <t>首年收入结构总览（保守 / 基础 / 乐观 三档）</t>
        </is>
      </c>
    </row>
    <row r="3" ht="28" customHeight="1">
      <c r="A3" s="4" t="inlineStr"/>
      <c r="B3" s="4" t="inlineStr">
        <is>
          <t>收入类别</t>
        </is>
      </c>
      <c r="C3" s="4" t="inlineStr">
        <is>
          <t>保守场景 (元)</t>
        </is>
      </c>
      <c r="D3" s="4" t="inlineStr">
        <is>
          <t>基础场景 (元)</t>
        </is>
      </c>
      <c r="E3" s="4" t="inlineStr">
        <is>
          <t>乐观场景 (元)</t>
        </is>
      </c>
      <c r="F3" s="4" t="inlineStr">
        <is>
          <t>测算口径备注</t>
        </is>
      </c>
    </row>
    <row r="4">
      <c r="A4" s="5" t="n">
        <v>1</v>
      </c>
      <c r="B4" s="5" t="inlineStr">
        <is>
          <t>固定月费 Retainer (年化)</t>
        </is>
      </c>
      <c r="C4" s="6" t="n">
        <v>3600000</v>
      </c>
      <c r="D4" s="6" t="n">
        <v>4800000</v>
      </c>
      <c r="E4" s="6" t="n">
        <v>6000000</v>
      </c>
      <c r="F4" s="5" t="inlineStr">
        <is>
          <t>30 / 40 / 50 万元 × 12 月</t>
        </is>
      </c>
    </row>
    <row r="5">
      <c r="A5" s="7" t="n">
        <v>2</v>
      </c>
      <c r="B5" s="7" t="inlineStr">
        <is>
          <t>招商佣金 Commission</t>
        </is>
      </c>
      <c r="C5" s="8" t="n">
        <v>3000000</v>
      </c>
      <c r="D5" s="8" t="n">
        <v>6000000</v>
      </c>
      <c r="E5" s="8" t="n">
        <v>12000000</v>
      </c>
      <c r="F5" s="7" t="inlineStr">
        <is>
          <t>见 Sheet 04 招商佣金阶梯</t>
        </is>
      </c>
    </row>
    <row r="6">
      <c r="A6" s="5" t="n">
        <v>3</v>
      </c>
      <c r="B6" s="5" t="inlineStr">
        <is>
          <t>活动运营收入</t>
        </is>
      </c>
      <c r="C6" s="6" t="n">
        <v>1800000</v>
      </c>
      <c r="D6" s="6" t="n">
        <v>2400000</v>
      </c>
      <c r="E6" s="6" t="n">
        <v>3600000</v>
      </c>
      <c r="F6" s="5" t="inlineStr">
        <is>
          <t>10–15 场科技开放麦 + 1 届潮玩大赛</t>
        </is>
      </c>
    </row>
    <row r="7">
      <c r="A7" s="7" t="n">
        <v>4</v>
      </c>
      <c r="B7" s="7" t="inlineStr">
        <is>
          <t>专项奖项 / 挂牌激励</t>
        </is>
      </c>
      <c r="C7" s="8" t="n">
        <v>600000</v>
      </c>
      <c r="D7" s="8" t="n">
        <v>1500000</v>
      </c>
      <c r="E7" s="8" t="n">
        <v>2000000</v>
      </c>
      <c r="F7" s="7" t="inlineStr">
        <is>
          <t>牌照 / 福布斯 / 小镇奖项 (Sheet 05)</t>
        </is>
      </c>
    </row>
    <row r="8">
      <c r="A8" s="5" t="n">
        <v>5</v>
      </c>
      <c r="B8" s="5" t="inlineStr">
        <is>
          <t>股权分红 (合资公司净利)</t>
        </is>
      </c>
      <c r="C8" s="6" t="n">
        <v>600000</v>
      </c>
      <c r="D8" s="6" t="n">
        <v>1200000</v>
      </c>
      <c r="E8" s="6" t="n">
        <v>2400000</v>
      </c>
      <c r="F8" s="5" t="inlineStr">
        <is>
          <t>合资公司净利润 × 30% (Sheet 06)</t>
        </is>
      </c>
    </row>
    <row r="9">
      <c r="A9" s="9" t="inlineStr">
        <is>
          <t>合计</t>
        </is>
      </c>
      <c r="B9" s="9" t="inlineStr">
        <is>
          <t>首年合计 (元)</t>
        </is>
      </c>
      <c r="C9" s="10" t="n">
        <v>9600000</v>
      </c>
      <c r="D9" s="10" t="n">
        <v>15900000</v>
      </c>
      <c r="E9" s="10" t="n">
        <v>26000000</v>
      </c>
      <c r="F9" s="9" t="inlineStr">
        <is>
          <t>≈ 1,150 万 / 1,590 万 / 2,600 万</t>
        </is>
      </c>
    </row>
    <row r="10">
      <c r="A10" s="9" t="inlineStr">
        <is>
          <t>折合 (万元)</t>
        </is>
      </c>
      <c r="B10" s="9" t="inlineStr">
        <is>
          <t>首年合计 (万元)</t>
        </is>
      </c>
      <c r="C10" s="10" t="n">
        <v>960</v>
      </c>
      <c r="D10" s="10" t="n">
        <v>1590</v>
      </c>
      <c r="E10" s="10" t="n">
        <v>2600</v>
      </c>
      <c r="F10" s="9" t="inlineStr">
        <is>
          <t>保守 ≈ 960 万 / 基础 ≈ 1,590 万 / 乐观 ≈ 2,600 万</t>
        </is>
      </c>
    </row>
    <row r="12">
      <c r="B12" s="11" t="inlineStr">
        <is>
          <t>基础场景下各收入占比</t>
        </is>
      </c>
    </row>
    <row r="13" ht="28" customHeight="1">
      <c r="A13" s="4" t="inlineStr"/>
      <c r="B13" s="4" t="inlineStr">
        <is>
          <t>收入类别</t>
        </is>
      </c>
      <c r="C13" s="4" t="inlineStr">
        <is>
          <t>金额 (元)</t>
        </is>
      </c>
      <c r="D13" s="4" t="inlineStr">
        <is>
          <t>占比</t>
        </is>
      </c>
      <c r="E13" s="4" t="inlineStr"/>
      <c r="F13" s="4" t="inlineStr"/>
    </row>
    <row r="14">
      <c r="A14" s="5" t="n">
        <v>1</v>
      </c>
      <c r="B14" s="5" t="inlineStr">
        <is>
          <t>固定月费 Retainer (年化)</t>
        </is>
      </c>
      <c r="C14" s="6" t="n">
        <v>4800000</v>
      </c>
      <c r="D14" s="5" t="inlineStr">
        <is>
          <t>30.2%</t>
        </is>
      </c>
      <c r="E14" s="5" t="inlineStr"/>
      <c r="F14" s="5" t="inlineStr"/>
    </row>
    <row r="15">
      <c r="A15" s="7" t="n">
        <v>2</v>
      </c>
      <c r="B15" s="7" t="inlineStr">
        <is>
          <t>招商佣金 Commission</t>
        </is>
      </c>
      <c r="C15" s="8" t="n">
        <v>6000000</v>
      </c>
      <c r="D15" s="7" t="inlineStr">
        <is>
          <t>37.7%</t>
        </is>
      </c>
      <c r="E15" s="7" t="inlineStr"/>
      <c r="F15" s="7" t="inlineStr"/>
    </row>
    <row r="16">
      <c r="A16" s="5" t="n">
        <v>3</v>
      </c>
      <c r="B16" s="5" t="inlineStr">
        <is>
          <t>活动运营收入</t>
        </is>
      </c>
      <c r="C16" s="6" t="n">
        <v>2400000</v>
      </c>
      <c r="D16" s="5" t="inlineStr">
        <is>
          <t>15.1%</t>
        </is>
      </c>
      <c r="E16" s="5" t="inlineStr"/>
      <c r="F16" s="5" t="inlineStr"/>
    </row>
    <row r="17">
      <c r="A17" s="7" t="n">
        <v>4</v>
      </c>
      <c r="B17" s="7" t="inlineStr">
        <is>
          <t>专项奖项 / 挂牌激励</t>
        </is>
      </c>
      <c r="C17" s="8" t="n">
        <v>1500000</v>
      </c>
      <c r="D17" s="7" t="inlineStr">
        <is>
          <t>9.4%</t>
        </is>
      </c>
      <c r="E17" s="7" t="inlineStr"/>
      <c r="F17" s="7" t="inlineStr"/>
    </row>
    <row r="18">
      <c r="A18" s="5" t="n">
        <v>5</v>
      </c>
      <c r="B18" s="5" t="inlineStr">
        <is>
          <t>股权分红 (合资公司净利)</t>
        </is>
      </c>
      <c r="C18" s="6" t="n">
        <v>1200000</v>
      </c>
      <c r="D18" s="5" t="inlineStr">
        <is>
          <t>7.5%</t>
        </is>
      </c>
      <c r="E18" s="5" t="inlineStr"/>
      <c r="F18" s="5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4" customWidth="1" min="3" max="3"/>
    <col width="14" customWidth="1" min="4" max="4"/>
    <col width="18" customWidth="1" min="5" max="5"/>
    <col width="32" customWidth="1" min="6" max="6"/>
  </cols>
  <sheetData>
    <row r="1" ht="40" customHeight="1">
      <c r="A1" s="1" t="inlineStr">
        <is>
          <t>固定月费 Retainer · 团队成本反算（建议月费区间）</t>
        </is>
      </c>
    </row>
    <row r="3" ht="28" customHeight="1">
      <c r="A3" s="4" t="inlineStr"/>
      <c r="B3" s="4" t="inlineStr">
        <is>
          <t>成本项</t>
        </is>
      </c>
      <c r="C3" s="4" t="inlineStr">
        <is>
          <t>人数</t>
        </is>
      </c>
      <c r="D3" s="4" t="inlineStr">
        <is>
          <t>月度单价 (元)</t>
        </is>
      </c>
      <c r="E3" s="4" t="inlineStr">
        <is>
          <t>月度合计 (元)</t>
        </is>
      </c>
      <c r="F3" s="4" t="inlineStr">
        <is>
          <t>说明</t>
        </is>
      </c>
    </row>
    <row r="4">
      <c r="A4" s="5" t="n">
        <v>1</v>
      </c>
      <c r="B4" s="5" t="inlineStr">
        <is>
          <t>胡教授（CSO 顾问费）</t>
        </is>
      </c>
      <c r="C4" s="6" t="n">
        <v>1</v>
      </c>
      <c r="D4" s="6" t="n">
        <v>60000</v>
      </c>
      <c r="E4" s="6" t="n">
        <v>60000</v>
      </c>
      <c r="F4" s="5" t="inlineStr">
        <is>
          <t>每周 2 个工作日，外加战略评审</t>
        </is>
      </c>
    </row>
    <row r="5">
      <c r="A5" s="7" t="n">
        <v>2</v>
      </c>
      <c r="B5" s="7" t="inlineStr">
        <is>
          <t>产业招商经理</t>
        </is>
      </c>
      <c r="C5" s="8" t="n">
        <v>1</v>
      </c>
      <c r="D5" s="8" t="n">
        <v>35000</v>
      </c>
      <c r="E5" s="8" t="n">
        <v>35000</v>
      </c>
      <c r="F5" s="7" t="inlineStr">
        <is>
          <t>底薪 25K + 招商绩效 10K</t>
        </is>
      </c>
    </row>
    <row r="6">
      <c r="A6" s="5" t="n">
        <v>3</v>
      </c>
      <c r="B6" s="5" t="inlineStr">
        <is>
          <t>国际合作 &amp; 活动策划</t>
        </is>
      </c>
      <c r="C6" s="6" t="n">
        <v>1</v>
      </c>
      <c r="D6" s="6" t="n">
        <v>30000</v>
      </c>
      <c r="E6" s="6" t="n">
        <v>30000</v>
      </c>
      <c r="F6" s="5" t="inlineStr">
        <is>
          <t>底薪 22K + 活动绩效 8K</t>
        </is>
      </c>
    </row>
    <row r="7">
      <c r="A7" s="7" t="n">
        <v>4</v>
      </c>
      <c r="B7" s="7" t="inlineStr">
        <is>
          <t>基金投后 &amp; 政府关系</t>
        </is>
      </c>
      <c r="C7" s="8" t="n">
        <v>1</v>
      </c>
      <c r="D7" s="8" t="n">
        <v>30000</v>
      </c>
      <c r="E7" s="8" t="n">
        <v>30000</v>
      </c>
      <c r="F7" s="7" t="inlineStr">
        <is>
          <t>底薪 22K + 牌照绩效 8K</t>
        </is>
      </c>
    </row>
    <row r="8">
      <c r="A8" s="5" t="n">
        <v>5</v>
      </c>
      <c r="B8" s="5" t="inlineStr">
        <is>
          <t>行政 / 财务 (共享)</t>
        </is>
      </c>
      <c r="C8" s="6" t="n">
        <v>1</v>
      </c>
      <c r="D8" s="6" t="n">
        <v>12000</v>
      </c>
      <c r="E8" s="6" t="n">
        <v>12000</v>
      </c>
      <c r="F8" s="5" t="inlineStr">
        <is>
          <t>合资公司共享岗位的 50% 摊销</t>
        </is>
      </c>
    </row>
    <row r="9">
      <c r="A9" s="7" t="n">
        <v>6</v>
      </c>
      <c r="B9" s="7" t="inlineStr">
        <is>
          <t>仲量联行爬楼数据接口</t>
        </is>
      </c>
      <c r="C9" s="8" t="n">
        <v>1</v>
      </c>
      <c r="D9" s="8" t="n">
        <v>5000</v>
      </c>
      <c r="E9" s="8" t="n">
        <v>5000</v>
      </c>
      <c r="F9" s="7" t="inlineStr">
        <is>
          <t>在 26,000 元已购基础上的运维费摊销</t>
        </is>
      </c>
    </row>
    <row r="10">
      <c r="A10" s="5" t="n">
        <v>7</v>
      </c>
      <c r="B10" s="5" t="inlineStr">
        <is>
          <t>差旅 / 接待 / 物料</t>
        </is>
      </c>
      <c r="C10" s="6" t="n">
        <v>1</v>
      </c>
      <c r="D10" s="6" t="n">
        <v>18000</v>
      </c>
      <c r="E10" s="6" t="n">
        <v>18000</v>
      </c>
      <c r="F10" s="5" t="inlineStr">
        <is>
          <t>北欧外事接待、爬楼差旅、物料制作</t>
        </is>
      </c>
    </row>
    <row r="11">
      <c r="A11" s="7" t="n">
        <v>8</v>
      </c>
      <c r="B11" s="7" t="inlineStr">
        <is>
          <t>管理与协调费</t>
        </is>
      </c>
      <c r="C11" s="8" t="n">
        <v>1</v>
      </c>
      <c r="D11" s="8" t="n">
        <v>10000</v>
      </c>
      <c r="E11" s="8" t="n">
        <v>10000</v>
      </c>
      <c r="F11" s="7" t="inlineStr">
        <is>
          <t>合资公司沟通、月度汇报、外部协调</t>
        </is>
      </c>
    </row>
    <row r="12">
      <c r="A12" s="9" t="inlineStr">
        <is>
          <t>合计</t>
        </is>
      </c>
      <c r="B12" s="9" t="inlineStr">
        <is>
          <t>团队月度成本</t>
        </is>
      </c>
      <c r="C12" s="9" t="inlineStr"/>
      <c r="D12" s="9" t="inlineStr"/>
      <c r="E12" s="10" t="n">
        <v>200000</v>
      </c>
      <c r="F12" s="9" t="inlineStr">
        <is>
          <t>胡教授团队月度刚性支出</t>
        </is>
      </c>
    </row>
    <row r="14">
      <c r="B14" s="11" t="inlineStr">
        <is>
          <t>月费谈判区间</t>
        </is>
      </c>
    </row>
    <row r="15" ht="28" customHeight="1">
      <c r="A15" s="4" t="inlineStr"/>
      <c r="B15" s="4" t="inlineStr">
        <is>
          <t>档位</t>
        </is>
      </c>
      <c r="C15" s="4" t="inlineStr">
        <is>
          <t>金额 (元/月)</t>
        </is>
      </c>
      <c r="D15" s="4" t="inlineStr">
        <is>
          <t>年化 (元)</t>
        </is>
      </c>
      <c r="E15" s="4" t="inlineStr">
        <is>
          <t>毛利率 (相对成本)</t>
        </is>
      </c>
      <c r="F15" s="4" t="inlineStr">
        <is>
          <t>说明</t>
        </is>
      </c>
    </row>
    <row r="16">
      <c r="A16" s="5" t="n">
        <v>1</v>
      </c>
      <c r="B16" s="5" t="inlineStr">
        <is>
          <t>月费保底 (建议)</t>
        </is>
      </c>
      <c r="C16" s="6" t="n">
        <v>400000</v>
      </c>
      <c r="D16" s="6" t="n">
        <v>4800000</v>
      </c>
      <c r="E16" s="5" t="inlineStr">
        <is>
          <t>50.0%</t>
        </is>
      </c>
      <c r="F16" s="5" t="inlineStr">
        <is>
          <t>推荐方案：覆盖成本 + 约 40% 安全垫</t>
        </is>
      </c>
    </row>
    <row r="17">
      <c r="A17" s="7" t="n">
        <v>2</v>
      </c>
      <c r="B17" s="7" t="inlineStr">
        <is>
          <t>月费区间下限</t>
        </is>
      </c>
      <c r="C17" s="8" t="n">
        <v>300000</v>
      </c>
      <c r="D17" s="8" t="n">
        <v>3600000</v>
      </c>
      <c r="E17" s="7" t="inlineStr">
        <is>
          <t>33.3%</t>
        </is>
      </c>
      <c r="F17" s="7" t="inlineStr">
        <is>
          <t>保守方案：仅覆盖核心 5 人 + 接口</t>
        </is>
      </c>
    </row>
    <row r="18">
      <c r="A18" s="5" t="n">
        <v>3</v>
      </c>
      <c r="B18" s="5" t="inlineStr">
        <is>
          <t>月费区间上限</t>
        </is>
      </c>
      <c r="C18" s="6" t="n">
        <v>500000</v>
      </c>
      <c r="D18" s="6" t="n">
        <v>6000000</v>
      </c>
      <c r="E18" s="5" t="inlineStr">
        <is>
          <t>60.0%</t>
        </is>
      </c>
      <c r="F18" s="5" t="inlineStr">
        <is>
          <t>乐观方案：扩配 + 数据 + 国际接待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4" customWidth="1" min="4" max="4"/>
    <col width="14" customWidth="1" min="5" max="5"/>
    <col width="16" customWidth="1" min="6" max="6"/>
    <col width="28" customWidth="1" min="7" max="7"/>
  </cols>
  <sheetData>
    <row r="1" ht="40" customHeight="1">
      <c r="A1" s="1" t="inlineStr">
        <is>
          <t>招商佣金阶梯测算（按面积分档；以年租金 X 个月计提）</t>
        </is>
      </c>
    </row>
    <row r="3" ht="28" customHeight="1">
      <c r="A3" s="4" t="inlineStr"/>
      <c r="B3" s="4" t="inlineStr">
        <is>
          <t>面积档位</t>
        </is>
      </c>
      <c r="C3" s="4" t="inlineStr">
        <is>
          <t>日租金 (元/㎡/天)</t>
        </is>
      </c>
      <c r="D3" s="4" t="inlineStr">
        <is>
          <t>年租金 (元/㎡)</t>
        </is>
      </c>
      <c r="E3" s="4" t="inlineStr">
        <is>
          <t>佣金月数</t>
        </is>
      </c>
      <c r="F3" s="4" t="inlineStr">
        <is>
          <t>佣金 (元/㎡)</t>
        </is>
      </c>
      <c r="G3" s="4" t="inlineStr">
        <is>
          <t>说明</t>
        </is>
      </c>
    </row>
    <row r="4">
      <c r="A4" s="5" t="n">
        <v>1</v>
      </c>
      <c r="B4" s="5" t="inlineStr">
        <is>
          <t>≤ 2,000㎡ 小型</t>
        </is>
      </c>
      <c r="C4" s="5" t="n">
        <v>4.5</v>
      </c>
      <c r="D4" s="6" t="n">
        <v>1642</v>
      </c>
      <c r="E4" s="5" t="n">
        <v>1</v>
      </c>
      <c r="F4" s="6" t="n">
        <v>137</v>
      </c>
      <c r="G4" s="5" t="inlineStr">
        <is>
          <t>小型潮玩 / 服务机构</t>
        </is>
      </c>
    </row>
    <row r="5">
      <c r="A5" s="7" t="n">
        <v>2</v>
      </c>
      <c r="B5" s="7" t="inlineStr">
        <is>
          <t>2,001–5,000㎡ 中型</t>
        </is>
      </c>
      <c r="C5" s="7" t="n">
        <v>5</v>
      </c>
      <c r="D5" s="8" t="n">
        <v>1825</v>
      </c>
      <c r="E5" s="7" t="n">
        <v>1.5</v>
      </c>
      <c r="F5" s="8" t="n">
        <v>228</v>
      </c>
      <c r="G5" s="7" t="inlineStr">
        <is>
          <t>中型潮玩运营企业</t>
        </is>
      </c>
    </row>
    <row r="6">
      <c r="A6" s="5" t="n">
        <v>3</v>
      </c>
      <c r="B6" s="5" t="inlineStr">
        <is>
          <t>&gt; 5,000㎡ 头部</t>
        </is>
      </c>
      <c r="C6" s="5" t="n">
        <v>5.5</v>
      </c>
      <c r="D6" s="6" t="n">
        <v>2008</v>
      </c>
      <c r="E6" s="5" t="n">
        <v>2.5</v>
      </c>
      <c r="F6" s="6" t="n">
        <v>418</v>
      </c>
      <c r="G6" s="5" t="inlineStr">
        <is>
          <t>头部央企 / 行业协会 / 中型以上品牌</t>
        </is>
      </c>
    </row>
    <row r="9" ht="28" customHeight="1">
      <c r="A9" s="4" t="inlineStr"/>
      <c r="B9" s="4" t="inlineStr">
        <is>
          <t>场景</t>
        </is>
      </c>
      <c r="C9" s="4" t="inlineStr">
        <is>
          <t>成交面积 (㎡)</t>
        </is>
      </c>
      <c r="D9" s="4" t="inlineStr">
        <is>
          <t>平均佣金 (元/㎡)</t>
        </is>
      </c>
      <c r="E9" s="4" t="inlineStr">
        <is>
          <t>成交家数</t>
        </is>
      </c>
      <c r="F9" s="4" t="inlineStr">
        <is>
          <t>佣金合计 (元)</t>
        </is>
      </c>
      <c r="G9" s="4" t="inlineStr">
        <is>
          <t>说明</t>
        </is>
      </c>
    </row>
    <row r="10">
      <c r="A10" s="5" t="n">
        <v>1</v>
      </c>
      <c r="B10" s="5" t="inlineStr">
        <is>
          <t>保守</t>
        </is>
      </c>
      <c r="C10" s="6" t="n">
        <v>6000</v>
      </c>
      <c r="D10" s="6" t="n">
        <v>500</v>
      </c>
      <c r="E10" s="6" t="n">
        <v>12</v>
      </c>
      <c r="F10" s="6" t="n">
        <v>3000000</v>
      </c>
      <c r="G10" s="5" t="inlineStr">
        <is>
          <t>首年成交不足；以中小型为主</t>
        </is>
      </c>
    </row>
    <row r="11">
      <c r="A11" s="7" t="n">
        <v>2</v>
      </c>
      <c r="B11" s="7" t="inlineStr">
        <is>
          <t>基础</t>
        </is>
      </c>
      <c r="C11" s="8" t="n">
        <v>12000</v>
      </c>
      <c r="D11" s="8" t="n">
        <v>500</v>
      </c>
      <c r="E11" s="8" t="n">
        <v>22</v>
      </c>
      <c r="F11" s="8" t="n">
        <v>6000000</v>
      </c>
      <c r="G11" s="7" t="inlineStr">
        <is>
          <t>稳态推进；中小+中型 + 1 家头部</t>
        </is>
      </c>
    </row>
    <row r="12">
      <c r="A12" s="5" t="n">
        <v>3</v>
      </c>
      <c r="B12" s="5" t="inlineStr">
        <is>
          <t>乐观</t>
        </is>
      </c>
      <c r="C12" s="6" t="n">
        <v>20000</v>
      </c>
      <c r="D12" s="6" t="n">
        <v>600</v>
      </c>
      <c r="E12" s="6" t="n">
        <v>35</v>
      </c>
      <c r="F12" s="6" t="n">
        <v>12000000</v>
      </c>
      <c r="G12" s="5" t="inlineStr">
        <is>
          <t>返投基金 + 牌照拉动；头部签约 3 家</t>
        </is>
      </c>
    </row>
    <row r="14">
      <c r="B14" s="11" t="inlineStr">
        <is>
          <t>说明</t>
        </is>
      </c>
    </row>
    <row r="15" ht="38" customHeight="1">
      <c r="B15" s="12" t="inlineStr">
        <is>
          <t>① 仲量联行爬楼大数据可使佣金转化率提升 30%；②追觅基金返投 1:1.5，锁定企业额外计 0.5 个月佣金加成；③ 招商主导权由合资公司独家持有 5 年。</t>
        </is>
      </c>
    </row>
  </sheetData>
  <mergeCells count="2">
    <mergeCell ref="B15:G15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2" customWidth="1" min="3" max="3"/>
    <col width="14" customWidth="1" min="4" max="4"/>
    <col width="14" customWidth="1" min="5" max="5"/>
    <col width="16" customWidth="1" min="6" max="6"/>
    <col width="28" customWidth="1" min="7" max="7"/>
  </cols>
  <sheetData>
    <row r="1" ht="40" customHeight="1">
      <c r="A1" s="1" t="inlineStr">
        <is>
          <t>活动运营收入 + 专项奖项激励 测算</t>
        </is>
      </c>
    </row>
    <row r="3" ht="28" customHeight="1">
      <c r="A3" s="4" t="inlineStr"/>
      <c r="B3" s="4" t="inlineStr">
        <is>
          <t>活动 / 奖项</t>
        </is>
      </c>
      <c r="C3" s="4" t="inlineStr">
        <is>
          <t>频次/年</t>
        </is>
      </c>
      <c r="D3" s="4" t="inlineStr">
        <is>
          <t>单场收入 (元)</t>
        </is>
      </c>
      <c r="E3" s="4" t="inlineStr">
        <is>
          <t>成本 (元)</t>
        </is>
      </c>
      <c r="F3" s="4" t="inlineStr">
        <is>
          <t>净收入 (元)</t>
        </is>
      </c>
      <c r="G3" s="4" t="inlineStr">
        <is>
          <t>说明</t>
        </is>
      </c>
    </row>
    <row r="4">
      <c r="A4" s="5" t="n">
        <v>1</v>
      </c>
      <c r="B4" s="5" t="inlineStr">
        <is>
          <t>科技开放麦 (基础场)</t>
        </is>
      </c>
      <c r="C4" s="5" t="n">
        <v>12</v>
      </c>
      <c r="D4" s="6" t="n">
        <v>80000</v>
      </c>
      <c r="E4" s="6" t="n">
        <v>30000</v>
      </c>
      <c r="F4" s="6" t="n">
        <v>600000</v>
      </c>
      <c r="G4" s="5" t="inlineStr">
        <is>
          <t>赞助 + 票务 + 园区分摊</t>
        </is>
      </c>
    </row>
    <row r="5">
      <c r="A5" s="7" t="n">
        <v>2</v>
      </c>
      <c r="B5" s="7" t="inlineStr">
        <is>
          <t>科技开放麦 (大场)</t>
        </is>
      </c>
      <c r="C5" s="7" t="n">
        <v>2</v>
      </c>
      <c r="D5" s="8" t="n">
        <v>250000</v>
      </c>
      <c r="E5" s="8" t="n">
        <v>80000</v>
      </c>
      <c r="F5" s="8" t="n">
        <v>340000</v>
      </c>
      <c r="G5" s="7" t="inlineStr">
        <is>
          <t>森马联合发布 / 国际嘉宾</t>
        </is>
      </c>
    </row>
    <row r="6">
      <c r="A6" s="5" t="n">
        <v>3</v>
      </c>
      <c r="B6" s="5" t="inlineStr">
        <is>
          <t>北欧创新国际会客厅外事接待</t>
        </is>
      </c>
      <c r="C6" s="5" t="n">
        <v>6</v>
      </c>
      <c r="D6" s="6" t="n">
        <v>120000</v>
      </c>
      <c r="E6" s="6" t="n">
        <v>50000</v>
      </c>
      <c r="F6" s="6" t="n">
        <v>420000</v>
      </c>
      <c r="G6" s="5" t="inlineStr">
        <is>
          <t>外事接待 + 路演</t>
        </is>
      </c>
    </row>
    <row r="7">
      <c r="A7" s="7" t="n">
        <v>4</v>
      </c>
      <c r="B7" s="7" t="inlineStr">
        <is>
          <t>全国潮玩设计大赛 (年度)</t>
        </is>
      </c>
      <c r="C7" s="7" t="n">
        <v>1</v>
      </c>
      <c r="D7" s="8" t="n">
        <v>800000</v>
      </c>
      <c r="E7" s="8" t="n">
        <v>300000</v>
      </c>
      <c r="F7" s="8" t="n">
        <v>500000</v>
      </c>
      <c r="G7" s="7" t="inlineStr">
        <is>
          <t>省级补贴 + 头部赞助</t>
        </is>
      </c>
    </row>
    <row r="8">
      <c r="A8" s="5" t="n">
        <v>5</v>
      </c>
      <c r="B8" s="5" t="inlineStr">
        <is>
          <t>福布斯榜单 元谷专场发布</t>
        </is>
      </c>
      <c r="C8" s="5" t="n">
        <v>1</v>
      </c>
      <c r="D8" s="6" t="n">
        <v>600000</v>
      </c>
      <c r="E8" s="6" t="n">
        <v>200000</v>
      </c>
      <c r="F8" s="6" t="n">
        <v>400000</v>
      </c>
      <c r="G8" s="5" t="inlineStr">
        <is>
          <t>联合森马 + 福布斯方</t>
        </is>
      </c>
    </row>
    <row r="9">
      <c r="A9" s="7" t="n">
        <v>6</v>
      </c>
      <c r="B9" s="7" t="inlineStr">
        <is>
          <t>AI 共享设计中心 工作坊</t>
        </is>
      </c>
      <c r="C9" s="7" t="n">
        <v>12</v>
      </c>
      <c r="D9" s="8" t="n">
        <v>30000</v>
      </c>
      <c r="E9" s="8" t="n">
        <v>10000</v>
      </c>
      <c r="F9" s="8" t="n">
        <v>240000</v>
      </c>
      <c r="G9" s="7" t="inlineStr">
        <is>
          <t>AI 腾讯背书 + 中型企业付费</t>
        </is>
      </c>
    </row>
    <row r="10">
      <c r="A10" s="9" t="inlineStr">
        <is>
          <t>合计</t>
        </is>
      </c>
      <c r="B10" s="9" t="inlineStr">
        <is>
          <t>活动年度净收入</t>
        </is>
      </c>
      <c r="C10" s="9" t="inlineStr"/>
      <c r="D10" s="9" t="inlineStr"/>
      <c r="E10" s="9" t="inlineStr"/>
      <c r="F10" s="10" t="n">
        <v>2500000</v>
      </c>
      <c r="G10" s="9" t="inlineStr">
        <is>
          <t>≈ 240–360 万元，与 Sheet 02 对应</t>
        </is>
      </c>
    </row>
    <row r="12">
      <c r="B12" s="11" t="inlineStr">
        <is>
          <t>专项奖项 / 挂牌激励 (一次性)</t>
        </is>
      </c>
    </row>
    <row r="13" ht="28" customHeight="1">
      <c r="A13" s="4" t="inlineStr"/>
      <c r="B13" s="4" t="inlineStr">
        <is>
          <t>奖项 / 挂牌</t>
        </is>
      </c>
      <c r="C13" s="4" t="inlineStr">
        <is>
          <t>数量</t>
        </is>
      </c>
      <c r="D13" s="4" t="inlineStr">
        <is>
          <t>单项激励 (元)</t>
        </is>
      </c>
      <c r="E13" s="4" t="inlineStr">
        <is>
          <t>合计 (元)</t>
        </is>
      </c>
      <c r="F13" s="4" t="inlineStr"/>
      <c r="G13" s="4" t="inlineStr">
        <is>
          <t>说明</t>
        </is>
      </c>
    </row>
    <row r="14">
      <c r="A14" s="5" t="n">
        <v>1</v>
      </c>
      <c r="B14" s="5" t="inlineStr">
        <is>
          <t>AI 潮玩产业基地 牌照挂牌</t>
        </is>
      </c>
      <c r="C14" s="5" t="n">
        <v>1</v>
      </c>
      <c r="D14" s="6" t="n">
        <v>300000</v>
      </c>
      <c r="E14" s="6" t="n">
        <v>300000</v>
      </c>
      <c r="F14" s="5" t="inlineStr"/>
      <c r="G14" s="5" t="inlineStr">
        <is>
          <t>中国动漫集团</t>
        </is>
      </c>
    </row>
    <row r="15">
      <c r="A15" s="7" t="n">
        <v>2</v>
      </c>
      <c r="B15" s="7" t="inlineStr">
        <is>
          <t>潮玩次元商业专委会 牌照挂牌</t>
        </is>
      </c>
      <c r="C15" s="7" t="n">
        <v>1</v>
      </c>
      <c r="D15" s="8" t="n">
        <v>300000</v>
      </c>
      <c r="E15" s="8" t="n">
        <v>300000</v>
      </c>
      <c r="F15" s="7" t="inlineStr"/>
      <c r="G15" s="7" t="inlineStr">
        <is>
          <t>中国百货商业协会</t>
        </is>
      </c>
    </row>
    <row r="16">
      <c r="A16" s="5" t="n">
        <v>3</v>
      </c>
      <c r="B16" s="5" t="inlineStr">
        <is>
          <t>上海科技时尚特色小镇 政府奖项</t>
        </is>
      </c>
      <c r="C16" s="5" t="n">
        <v>1</v>
      </c>
      <c r="D16" s="6" t="n">
        <v>400000</v>
      </c>
      <c r="E16" s="6" t="n">
        <v>400000</v>
      </c>
      <c r="F16" s="5" t="inlineStr"/>
      <c r="G16" s="5" t="inlineStr">
        <is>
          <t>市/区级</t>
        </is>
      </c>
    </row>
    <row r="17">
      <c r="A17" s="7" t="n">
        <v>4</v>
      </c>
      <c r="B17" s="7" t="inlineStr">
        <is>
          <t>福布斯榜单上榜 / 评选挂牌</t>
        </is>
      </c>
      <c r="C17" s="7" t="n">
        <v>2</v>
      </c>
      <c r="D17" s="8" t="n">
        <v>200000</v>
      </c>
      <c r="E17" s="8" t="n">
        <v>400000</v>
      </c>
      <c r="F17" s="7" t="inlineStr"/>
      <c r="G17" s="7" t="inlineStr">
        <is>
          <t>U30 / 创新榜 / 园区榜</t>
        </is>
      </c>
    </row>
    <row r="18">
      <c r="A18" s="5" t="n">
        <v>5</v>
      </c>
      <c r="B18" s="5" t="inlineStr">
        <is>
          <t>国家级科技 / 文创奖项</t>
        </is>
      </c>
      <c r="C18" s="5" t="n">
        <v>1</v>
      </c>
      <c r="D18" s="6" t="n">
        <v>300000</v>
      </c>
      <c r="E18" s="6" t="n">
        <v>300000</v>
      </c>
      <c r="F18" s="5" t="inlineStr"/>
      <c r="G18" s="5" t="inlineStr">
        <is>
          <t>如国家文创基金 / 工信部专项</t>
        </is>
      </c>
    </row>
    <row r="19">
      <c r="A19" s="9" t="inlineStr">
        <is>
          <t>合计</t>
        </is>
      </c>
      <c r="B19" s="9" t="inlineStr">
        <is>
          <t>首年挂牌奖励合计</t>
        </is>
      </c>
      <c r="C19" s="9" t="inlineStr"/>
      <c r="D19" s="9" t="inlineStr"/>
      <c r="E19" s="10" t="n">
        <v>1700000</v>
      </c>
      <c r="F19" s="9" t="inlineStr"/>
      <c r="G19" s="9" t="inlineStr">
        <is>
          <t>≈ 150–200 万元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28" customWidth="1" min="7" max="7"/>
  </cols>
  <sheetData>
    <row r="1" ht="40" customHeight="1">
      <c r="A1" s="1" t="inlineStr">
        <is>
          <t>股权分红预测 + 三年累计现金流（基础场景）</t>
        </is>
      </c>
    </row>
    <row r="3" ht="28" customHeight="1">
      <c r="A3" s="4" t="inlineStr"/>
      <c r="B3" s="4" t="inlineStr">
        <is>
          <t>项目</t>
        </is>
      </c>
      <c r="C3" s="4" t="inlineStr">
        <is>
          <t>T+1 年 (元)</t>
        </is>
      </c>
      <c r="D3" s="4" t="inlineStr">
        <is>
          <t>T+2 年 (元)</t>
        </is>
      </c>
      <c r="E3" s="4" t="inlineStr">
        <is>
          <t>T+3 年 (元)</t>
        </is>
      </c>
      <c r="F3" s="4" t="inlineStr">
        <is>
          <t>三年合计 (元)</t>
        </is>
      </c>
      <c r="G3" s="4" t="inlineStr">
        <is>
          <t>假设</t>
        </is>
      </c>
    </row>
    <row r="4">
      <c r="A4" s="5" t="n">
        <v>1</v>
      </c>
      <c r="B4" s="5" t="inlineStr">
        <is>
          <t>固定月费 Retainer</t>
        </is>
      </c>
      <c r="C4" s="6" t="n">
        <v>4800000</v>
      </c>
      <c r="D4" s="6" t="n">
        <v>5400000</v>
      </c>
      <c r="E4" s="6" t="n">
        <v>6000000</v>
      </c>
      <c r="F4" s="6" t="n">
        <v>16200000</v>
      </c>
      <c r="G4" s="5" t="inlineStr">
        <is>
          <t>月费 40 → 45 → 50 万</t>
        </is>
      </c>
    </row>
    <row r="5">
      <c r="A5" s="7" t="n">
        <v>2</v>
      </c>
      <c r="B5" s="7" t="inlineStr">
        <is>
          <t>招商佣金</t>
        </is>
      </c>
      <c r="C5" s="8" t="n">
        <v>6000000</v>
      </c>
      <c r="D5" s="8" t="n">
        <v>8400000</v>
      </c>
      <c r="E5" s="8" t="n">
        <v>10800000</v>
      </c>
      <c r="F5" s="8" t="n">
        <v>25200000</v>
      </c>
      <c r="G5" s="7" t="inlineStr">
        <is>
          <t>成交面积 1.2 / 1.6 / 2.0 万㎡</t>
        </is>
      </c>
    </row>
    <row r="6">
      <c r="A6" s="5" t="n">
        <v>3</v>
      </c>
      <c r="B6" s="5" t="inlineStr">
        <is>
          <t>活动运营净收入</t>
        </is>
      </c>
      <c r="C6" s="6" t="n">
        <v>2400000</v>
      </c>
      <c r="D6" s="6" t="n">
        <v>3000000</v>
      </c>
      <c r="E6" s="6" t="n">
        <v>3600000</v>
      </c>
      <c r="F6" s="6" t="n">
        <v>9000000</v>
      </c>
      <c r="G6" s="5" t="inlineStr">
        <is>
          <t>活动+1场/年 + 大赛升级</t>
        </is>
      </c>
    </row>
    <row r="7">
      <c r="A7" s="7" t="n">
        <v>4</v>
      </c>
      <c r="B7" s="7" t="inlineStr">
        <is>
          <t>奖项 / 挂牌激励</t>
        </is>
      </c>
      <c r="C7" s="8" t="n">
        <v>1500000</v>
      </c>
      <c r="D7" s="8" t="n">
        <v>1000000</v>
      </c>
      <c r="E7" s="8" t="n">
        <v>1500000</v>
      </c>
      <c r="F7" s="8" t="n">
        <v>4000000</v>
      </c>
      <c r="G7" s="7" t="inlineStr">
        <is>
          <t>牌照前置，第二年保持</t>
        </is>
      </c>
    </row>
    <row r="8">
      <c r="A8" s="5" t="n">
        <v>5</v>
      </c>
      <c r="B8" s="5" t="inlineStr">
        <is>
          <t>合资公司分红 (30%)</t>
        </is>
      </c>
      <c r="C8" s="6" t="n">
        <v>1200000</v>
      </c>
      <c r="D8" s="6" t="n">
        <v>2400000</v>
      </c>
      <c r="E8" s="6" t="n">
        <v>3900000</v>
      </c>
      <c r="F8" s="6" t="n">
        <v>7500000</v>
      </c>
      <c r="G8" s="5" t="inlineStr">
        <is>
          <t>合资公司直营业态进入正现金流</t>
        </is>
      </c>
    </row>
    <row r="9">
      <c r="A9" s="9" t="inlineStr">
        <is>
          <t>合计</t>
        </is>
      </c>
      <c r="B9" s="9" t="inlineStr">
        <is>
          <t>胡教授团队年度收入 (元)</t>
        </is>
      </c>
      <c r="C9" s="10" t="n">
        <v>15900000</v>
      </c>
      <c r="D9" s="10" t="n">
        <v>20200000</v>
      </c>
      <c r="E9" s="10" t="n">
        <v>25800000</v>
      </c>
      <c r="F9" s="10" t="n">
        <v>61900000</v>
      </c>
      <c r="G9" s="9" t="inlineStr">
        <is>
          <t>三年合计现金口径</t>
        </is>
      </c>
    </row>
    <row r="10">
      <c r="A10" s="9" t="inlineStr">
        <is>
          <t>折合</t>
        </is>
      </c>
      <c r="B10" s="9" t="inlineStr">
        <is>
          <t>胡教授团队年度收入 (万元)</t>
        </is>
      </c>
      <c r="C10" s="10" t="n">
        <v>1590</v>
      </c>
      <c r="D10" s="10" t="n">
        <v>2020</v>
      </c>
      <c r="E10" s="10" t="n">
        <v>2580</v>
      </c>
      <c r="F10" s="10" t="n">
        <v>6190</v>
      </c>
      <c r="G10" s="9" t="inlineStr">
        <is>
          <t>三年累计 ≈ 6,000+ 万元</t>
        </is>
      </c>
    </row>
    <row r="12">
      <c r="B12" s="11" t="inlineStr">
        <is>
          <t>合资公司净利润反推 (基础场景)</t>
        </is>
      </c>
    </row>
    <row r="13" ht="28" customHeight="1">
      <c r="A13" s="4" t="inlineStr"/>
      <c r="B13" s="4" t="inlineStr">
        <is>
          <t>项目</t>
        </is>
      </c>
      <c r="C13" s="4" t="inlineStr">
        <is>
          <t>T+1 (元)</t>
        </is>
      </c>
      <c r="D13" s="4" t="inlineStr">
        <is>
          <t>T+2 (元)</t>
        </is>
      </c>
      <c r="E13" s="4" t="inlineStr">
        <is>
          <t>T+3 (元)</t>
        </is>
      </c>
      <c r="F13" s="4" t="inlineStr"/>
      <c r="G13" s="4" t="inlineStr">
        <is>
          <t>说明</t>
        </is>
      </c>
    </row>
    <row r="14">
      <c r="A14" s="5" t="n">
        <v>1</v>
      </c>
      <c r="B14" s="5" t="inlineStr">
        <is>
          <t>合资公司收入</t>
        </is>
      </c>
      <c r="C14" s="6" t="n">
        <v>12000000</v>
      </c>
      <c r="D14" s="6" t="n">
        <v>18000000</v>
      </c>
      <c r="E14" s="6" t="n">
        <v>26000000</v>
      </c>
      <c r="F14" s="5" t="inlineStr"/>
      <c r="G14" s="5" t="inlineStr">
        <is>
          <t>招商分润 + 直营业态毛利</t>
        </is>
      </c>
    </row>
    <row r="15">
      <c r="A15" s="7" t="n">
        <v>2</v>
      </c>
      <c r="B15" s="7" t="inlineStr">
        <is>
          <t>合资公司经营成本</t>
        </is>
      </c>
      <c r="C15" s="8" t="n">
        <v>8000000</v>
      </c>
      <c r="D15" s="8" t="n">
        <v>10000000</v>
      </c>
      <c r="E15" s="8" t="n">
        <v>12000000</v>
      </c>
      <c r="F15" s="7" t="inlineStr"/>
      <c r="G15" s="7" t="inlineStr">
        <is>
          <t>团队 + 运营 + 租赁分摊</t>
        </is>
      </c>
    </row>
    <row r="16">
      <c r="A16" s="5" t="n">
        <v>3</v>
      </c>
      <c r="B16" s="5" t="inlineStr">
        <is>
          <t>合资公司净利润</t>
        </is>
      </c>
      <c r="C16" s="6" t="n">
        <v>4000000</v>
      </c>
      <c r="D16" s="6" t="n">
        <v>8000000</v>
      </c>
      <c r="E16" s="6" t="n">
        <v>13000000</v>
      </c>
      <c r="F16" s="5" t="inlineStr"/>
      <c r="G16" s="5" t="inlineStr">
        <is>
          <t>基础场景</t>
        </is>
      </c>
    </row>
    <row r="17">
      <c r="A17" s="7" t="n">
        <v>4</v>
      </c>
      <c r="B17" s="7" t="inlineStr">
        <is>
          <t>胡教授团队 30% 分红</t>
        </is>
      </c>
      <c r="C17" s="8" t="n">
        <v>1200000</v>
      </c>
      <c r="D17" s="8" t="n">
        <v>2400000</v>
      </c>
      <c r="E17" s="8" t="n">
        <v>3900000</v>
      </c>
      <c r="F17" s="7" t="inlineStr"/>
      <c r="G17" s="7">
        <f> 上述净利润 × 30%</f>
        <v/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0" customHeight="1">
      <c r="A1" s="1" t="inlineStr">
        <is>
          <t>敏感性分析：月费 × 招商成交面积 → 首年总收入</t>
        </is>
      </c>
    </row>
    <row r="3" ht="28" customHeight="1">
      <c r="A3" s="4" t="inlineStr"/>
      <c r="B3" s="4" t="inlineStr">
        <is>
          <t>月费 \ 成交面积 (㎡)</t>
        </is>
      </c>
      <c r="C3" s="4" t="inlineStr">
        <is>
          <t>4,000</t>
        </is>
      </c>
      <c r="D3" s="4" t="inlineStr">
        <is>
          <t>8,000</t>
        </is>
      </c>
      <c r="E3" s="4" t="inlineStr">
        <is>
          <t>12,000</t>
        </is>
      </c>
      <c r="F3" s="4" t="inlineStr">
        <is>
          <t>16,000</t>
        </is>
      </c>
      <c r="G3" s="4" t="inlineStr">
        <is>
          <t>20,000</t>
        </is>
      </c>
      <c r="H3" s="4" t="inlineStr">
        <is>
          <t>24,000</t>
        </is>
      </c>
    </row>
    <row r="4">
      <c r="A4" s="5" t="n">
        <v>1</v>
      </c>
      <c r="B4" s="5" t="inlineStr">
        <is>
          <t>月费 200,000 元</t>
        </is>
      </c>
      <c r="C4" s="6" t="n">
        <v>9500000</v>
      </c>
      <c r="D4" s="6" t="n">
        <v>11500000</v>
      </c>
      <c r="E4" s="6" t="n">
        <v>13500000</v>
      </c>
      <c r="F4" s="6" t="n">
        <v>15500000</v>
      </c>
      <c r="G4" s="6" t="n">
        <v>17500000</v>
      </c>
      <c r="H4" s="6" t="n">
        <v>19500000</v>
      </c>
    </row>
    <row r="5">
      <c r="A5" s="7" t="n">
        <v>2</v>
      </c>
      <c r="B5" s="7" t="inlineStr">
        <is>
          <t>月费 300,000 元</t>
        </is>
      </c>
      <c r="C5" s="8" t="n">
        <v>10700000</v>
      </c>
      <c r="D5" s="8" t="n">
        <v>12700000</v>
      </c>
      <c r="E5" s="8" t="n">
        <v>14700000</v>
      </c>
      <c r="F5" s="8" t="n">
        <v>16700000</v>
      </c>
      <c r="G5" s="8" t="n">
        <v>18700000</v>
      </c>
      <c r="H5" s="8" t="n">
        <v>20700000</v>
      </c>
    </row>
    <row r="6">
      <c r="A6" s="5" t="n">
        <v>3</v>
      </c>
      <c r="B6" s="5" t="inlineStr">
        <is>
          <t>月费 400,000 元</t>
        </is>
      </c>
      <c r="C6" s="6" t="n">
        <v>11900000</v>
      </c>
      <c r="D6" s="6" t="n">
        <v>13900000</v>
      </c>
      <c r="E6" s="6" t="n">
        <v>15900000</v>
      </c>
      <c r="F6" s="6" t="n">
        <v>17900000</v>
      </c>
      <c r="G6" s="6" t="n">
        <v>19900000</v>
      </c>
      <c r="H6" s="6" t="n">
        <v>21900000</v>
      </c>
    </row>
    <row r="7">
      <c r="A7" s="7" t="n">
        <v>4</v>
      </c>
      <c r="B7" s="7" t="inlineStr">
        <is>
          <t>月费 500,000 元</t>
        </is>
      </c>
      <c r="C7" s="8" t="n">
        <v>13100000</v>
      </c>
      <c r="D7" s="8" t="n">
        <v>15100000</v>
      </c>
      <c r="E7" s="8" t="n">
        <v>17100000</v>
      </c>
      <c r="F7" s="8" t="n">
        <v>19100000</v>
      </c>
      <c r="G7" s="8" t="n">
        <v>21100000</v>
      </c>
      <c r="H7" s="8" t="n">
        <v>23100000</v>
      </c>
    </row>
    <row r="8">
      <c r="A8" s="5" t="n">
        <v>5</v>
      </c>
      <c r="B8" s="5" t="inlineStr">
        <is>
          <t>月费 600,000 元</t>
        </is>
      </c>
      <c r="C8" s="6" t="n">
        <v>14300000</v>
      </c>
      <c r="D8" s="6" t="n">
        <v>16300000</v>
      </c>
      <c r="E8" s="6" t="n">
        <v>18300000</v>
      </c>
      <c r="F8" s="6" t="n">
        <v>20300000</v>
      </c>
      <c r="G8" s="6" t="n">
        <v>22300000</v>
      </c>
      <c r="H8" s="6" t="n">
        <v>24300000</v>
      </c>
    </row>
    <row r="10" ht="36" customHeight="1">
      <c r="B10" s="12" t="inlineStr">
        <is>
          <t>说明：表内单元格 = 月费 × 12 + 成交面积 × 500 元/㎡（佣金平均） + 活动 + 奖项 (390 万) + 分红 (120 万)。仅作敏感性参考，不替代逐项测算。</t>
        </is>
      </c>
    </row>
  </sheetData>
  <mergeCells count="2">
    <mergeCell ref="A1:I1"/>
    <mergeCell ref="B10:H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2026-05-07T01:39:56Z</dcterms:created>
  <dcterms:modified xmlns:dcterms="http://purl.org/dc/terms/" xmlns:xsi="http://www.w3.org/2001/XMLSchema-instance" xsi:type="dcterms:W3CDTF">2026-05-07T01:39:56Z</dcterms:modified>
</cp:coreProperties>
</file>