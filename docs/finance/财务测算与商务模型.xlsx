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摘要 Dashboard" sheetId="1" state="visible" r:id="rId1"/>
    <sheet xmlns:r="http://schemas.openxmlformats.org/officeDocument/2006/relationships" name="2. 假设与参数" sheetId="2" state="visible" r:id="rId2"/>
    <sheet xmlns:r="http://schemas.openxmlformats.org/officeDocument/2006/relationships" name="3. 三年损益" sheetId="3" state="visible" r:id="rId3"/>
    <sheet xmlns:r="http://schemas.openxmlformats.org/officeDocument/2006/relationships" name="4. 月度现金流" sheetId="4" state="visible" r:id="rId4"/>
    <sheet xmlns:r="http://schemas.openxmlformats.org/officeDocument/2006/relationships" name="5. 入驻进度" sheetId="5" state="visible" r:id="rId5"/>
    <sheet xmlns:r="http://schemas.openxmlformats.org/officeDocument/2006/relationships" name="6. 敏感性分析" sheetId="6" state="visible" r:id="rId6"/>
    <sheet xmlns:r="http://schemas.openxmlformats.org/officeDocument/2006/relationships" name="7. 团队人力成本" sheetId="7" state="visible" r:id="rId7"/>
    <sheet xmlns:r="http://schemas.openxmlformats.org/officeDocument/2006/relationships" name="8. 让步阶梯计算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−#,##0"/>
    <numFmt numFmtId="165" formatCode="#,##0.##"/>
    <numFmt numFmtId="166" formatCode="0.0&quot;%&quot;"/>
  </numFmts>
  <fonts count="17">
    <font>
      <name val="Calibri"/>
      <family val="2"/>
      <color theme="1"/>
      <sz val="11"/>
      <scheme val="minor"/>
    </font>
    <font>
      <name val="WenQuanYi Micro Hei"/>
      <b val="1"/>
      <color rgb="00FFFFFF"/>
      <sz val="20"/>
    </font>
    <font>
      <name val="WenQuanYi Micro Hei"/>
      <b val="1"/>
      <color rgb="000F2D52"/>
      <sz val="12"/>
    </font>
    <font>
      <name val="WenQuanYi Micro Hei"/>
      <b val="1"/>
      <color rgb="00FFFFFF"/>
      <sz val="12"/>
    </font>
    <font>
      <name val="WenQuanYi Micro Hei"/>
      <color rgb="001B1F2A"/>
      <sz val="11"/>
    </font>
    <font>
      <name val="WenQuanYi Micro Hei"/>
      <b val="1"/>
      <color rgb="00FFFFFF"/>
      <sz val="14"/>
    </font>
    <font>
      <name val="WenQuanYi Micro Hei"/>
      <b val="1"/>
      <color rgb="00FFFFFF"/>
      <sz val="11"/>
    </font>
    <font>
      <name val="WenQuanYi Micro Hei"/>
      <color rgb="001B1F2A"/>
      <sz val="10"/>
    </font>
    <font>
      <name val="WenQuanYi Micro Hei"/>
      <b val="1"/>
      <color rgb="001B1F2A"/>
      <sz val="10"/>
    </font>
    <font>
      <name val="WenQuanYi Micro Hei"/>
      <color rgb="00D04A4A"/>
      <sz val="10"/>
    </font>
    <font>
      <name val="WenQuanYi Micro Hei"/>
      <b val="1"/>
      <color rgb="00D04A4A"/>
      <sz val="10"/>
    </font>
    <font>
      <name val="WenQuanYi Micro Hei"/>
      <color rgb="006B7380"/>
      <sz val="10"/>
    </font>
    <font>
      <name val="WenQuanYi Micro Hei"/>
      <b val="1"/>
      <color rgb="00FFFFFF"/>
      <sz val="18"/>
    </font>
    <font>
      <name val="WenQuanYi Micro Hei"/>
      <b val="1"/>
      <color rgb="000F2D52"/>
      <sz val="11"/>
    </font>
    <font>
      <name val="WenQuanYi Micro Hei"/>
      <color rgb="002FA36F"/>
      <sz val="10"/>
    </font>
    <font>
      <name val="WenQuanYi Micro Hei"/>
      <b val="1"/>
      <color rgb="001B1F2A"/>
      <sz val="11"/>
    </font>
    <font>
      <name val="WenQuanYi Micro Hei"/>
      <color rgb="006B7380"/>
      <sz val="11"/>
    </font>
  </fonts>
  <fills count="14">
    <fill>
      <patternFill/>
    </fill>
    <fill>
      <patternFill patternType="gray125"/>
    </fill>
    <fill>
      <patternFill patternType="solid">
        <fgColor rgb="000F2D52"/>
      </patternFill>
    </fill>
    <fill>
      <patternFill patternType="solid">
        <fgColor rgb="00C9A24A"/>
      </patternFill>
    </fill>
    <fill>
      <patternFill patternType="solid">
        <fgColor rgb="00F4F6FA"/>
      </patternFill>
    </fill>
    <fill>
      <patternFill patternType="solid">
        <fgColor rgb="00FFFFFF"/>
      </patternFill>
    </fill>
    <fill>
      <patternFill patternType="solid">
        <fgColor rgb="00FFF8C5"/>
      </patternFill>
    </fill>
    <fill>
      <patternFill patternType="solid">
        <fgColor rgb="00FFE0B5"/>
      </patternFill>
    </fill>
    <fill>
      <patternFill patternType="solid">
        <fgColor rgb="00F8C5C5"/>
      </patternFill>
    </fill>
    <fill>
      <patternFill patternType="solid">
        <fgColor rgb="00FFE8C5"/>
      </patternFill>
    </fill>
    <fill>
      <patternFill patternType="solid">
        <fgColor rgb="00C5E8C5"/>
      </patternFill>
    </fill>
    <fill>
      <patternFill patternType="solid">
        <fgColor rgb="00FFD0B5"/>
      </patternFill>
    </fill>
    <fill>
      <patternFill patternType="solid">
        <fgColor rgb="00FFE8B5"/>
      </patternFill>
    </fill>
    <fill>
      <patternFill patternType="solid">
        <fgColor rgb="00C5E0F5"/>
      </patternFill>
    </fill>
  </fills>
  <borders count="6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  <border>
      <left/>
      <right/>
      <top style="thin">
        <color rgb="00D8DEE9"/>
      </top>
      <bottom/>
      <diagonal/>
    </border>
    <border>
      <left/>
      <right style="thin">
        <color rgb="00D8DEE9"/>
      </right>
      <top style="thin">
        <color rgb="00D8DEE9"/>
      </top>
      <bottom/>
      <diagonal/>
    </border>
    <border>
      <left/>
      <right/>
      <top style="thin">
        <color rgb="00D8DEE9"/>
      </top>
      <bottom style="thin">
        <color rgb="00D8DEE9"/>
      </bottom>
      <diagonal/>
    </border>
    <border>
      <left/>
      <right style="thin">
        <color rgb="00D8DEE9"/>
      </right>
      <top style="thin">
        <color rgb="00D8DEE9"/>
      </top>
      <bottom style="thin">
        <color rgb="00D8DEE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 wrapText="1"/>
    </xf>
    <xf numFmtId="164" fontId="8" fillId="4" borderId="1" applyAlignment="1" pivotButton="0" quotePrefix="0" xfId="0">
      <alignment horizontal="right" vertical="center" wrapText="1"/>
    </xf>
    <xf numFmtId="0" fontId="8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 wrapText="1"/>
    </xf>
    <xf numFmtId="164" fontId="8" fillId="5" borderId="1" applyAlignment="1" pivotButton="0" quotePrefix="0" xfId="0">
      <alignment horizontal="right" vertical="center" wrapText="1"/>
    </xf>
    <xf numFmtId="164" fontId="9" fillId="4" borderId="1" applyAlignment="1" pivotButton="0" quotePrefix="0" xfId="0">
      <alignment horizontal="right" vertical="center" wrapText="1"/>
    </xf>
    <xf numFmtId="164" fontId="10" fillId="4" borderId="1" applyAlignment="1" pivotButton="0" quotePrefix="0" xfId="0">
      <alignment horizontal="right" vertical="center" wrapText="1"/>
    </xf>
    <xf numFmtId="164" fontId="9" fillId="5" borderId="1" applyAlignment="1" pivotButton="0" quotePrefix="0" xfId="0">
      <alignment horizontal="right" vertical="center" wrapText="1"/>
    </xf>
    <xf numFmtId="164" fontId="10" fillId="5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164" fontId="10" fillId="7" borderId="1" applyAlignment="1" pivotButton="0" quotePrefix="0" xfId="0">
      <alignment horizontal="right" vertical="center" wrapText="1"/>
    </xf>
    <xf numFmtId="3" fontId="7" fillId="4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3" fontId="7" fillId="5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right" vertical="center" wrapText="1"/>
    </xf>
    <xf numFmtId="164" fontId="7" fillId="7" borderId="1" applyAlignment="1" pivotButton="0" quotePrefix="0" xfId="0">
      <alignment horizontal="right" vertical="center" wrapText="1"/>
    </xf>
    <xf numFmtId="164" fontId="14" fillId="5" borderId="1" applyAlignment="1" pivotButton="0" quotePrefix="0" xfId="0">
      <alignment horizontal="right" vertical="center" wrapText="1"/>
    </xf>
    <xf numFmtId="164" fontId="14" fillId="4" borderId="1" applyAlignment="1" pivotButton="0" quotePrefix="0" xfId="0">
      <alignment horizontal="right" vertical="center" wrapText="1"/>
    </xf>
    <xf numFmtId="164" fontId="10" fillId="8" borderId="1" applyAlignment="1" pivotButton="0" quotePrefix="0" xfId="0">
      <alignment horizontal="right" vertical="center" wrapText="1"/>
    </xf>
    <xf numFmtId="164" fontId="8" fillId="9" borderId="1" applyAlignment="1" pivotButton="0" quotePrefix="0" xfId="0">
      <alignment horizontal="right" vertical="center" wrapText="1"/>
    </xf>
    <xf numFmtId="164" fontId="8" fillId="10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3" fontId="15" fillId="7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三年收入结构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'3. 三年损益'!$A$4:$A$10</f>
            </numRef>
          </cat>
          <val>
            <numRef>
              <f>'3. 三年损益'!$B$4:$B$10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'3. 三年损益'!$A$4:$A$10</f>
            </numRef>
          </cat>
          <val>
            <numRef>
              <f>'3. 三年损益'!$C$4:$C$10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'3. 三年损益'!$A$4:$A$10</f>
            </numRef>
          </cat>
          <val>
            <numRef>
              <f>'3. 三年损益'!$D$4:$D$10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Y1 / Y2 / Y3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36 个月期末现金余额（万元）</a:t>
            </a:r>
          </a:p>
        </rich>
      </tx>
    </title>
    <plotArea>
      <lineChart>
        <grouping val="standard"/>
        <ser>
          <idx val="0"/>
          <order val="0"/>
          <tx>
            <strRef>
              <f>'4. 月度现金流'!H3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月度现金流'!$A$4:$A$39</f>
            </numRef>
          </cat>
          <val>
            <numRef>
              <f>'4. 月度现金流'!$H$4:$H$39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现金余额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36 个月入驻率爬坡 (%)</a:t>
            </a:r>
          </a:p>
        </rich>
      </tx>
    </title>
    <plotArea>
      <lineChart>
        <grouping val="standard"/>
        <ser>
          <idx val="0"/>
          <order val="0"/>
          <tx>
            <strRef>
              <f>'5. 入驻进度'!F3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'5. 入驻进度'!$A$4:$A$39</f>
            </numRef>
          </cat>
          <val>
            <numRef>
              <f>'5. 入驻进度'!$F$4:$F$39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入驻率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6" customHeight="1">
      <c r="A1" s="1" t="inlineStr">
        <is>
          <t>GS · iDrive Hub · 三年财务测算 Dashboard</t>
        </is>
      </c>
    </row>
    <row r="2" ht="22" customHeight="1">
      <c r="A2" s="2" t="inlineStr">
        <is>
          <t>01# 研发楼 · 1.5 万方单楼 · 出租净 8,300 ㎡ · 策划阶段 v1.1</t>
        </is>
      </c>
    </row>
    <row r="4">
      <c r="A4" s="3" t="inlineStr">
        <is>
          <t>项目载体（PDF 实测）</t>
        </is>
      </c>
      <c r="B4" s="4" t="inlineStr">
        <is>
          <t>01# 新建研发楼 · 永和社区 075b-07 · 9F · 高 44.95 m · C6 教育科研用地 · 装配式 100% / 绿建二星 / 540 ㎡ 光伏</t>
        </is>
      </c>
    </row>
    <row r="6">
      <c r="A6" s="5" t="inlineStr">
        <is>
          <t>关键 KPI</t>
        </is>
      </c>
      <c r="B6" s="6" t="n"/>
      <c r="C6" s="6" t="n"/>
      <c r="D6" s="6" t="n"/>
      <c r="E6" s="7" t="n"/>
    </row>
    <row r="7">
      <c r="A7" s="8" t="inlineStr">
        <is>
          <t>指标</t>
        </is>
      </c>
      <c r="B7" s="8" t="inlineStr">
        <is>
          <t>数值</t>
        </is>
      </c>
      <c r="C7" s="8" t="inlineStr">
        <is>
          <t>口径说明</t>
        </is>
      </c>
      <c r="D7" s="8" t="inlineStr">
        <is>
          <t>评级</t>
        </is>
      </c>
    </row>
    <row r="8">
      <c r="A8" s="9" t="inlineStr">
        <is>
          <t>出租净面积</t>
        </is>
      </c>
      <c r="B8" s="10" t="inlineStr">
        <is>
          <t>8,300 ㎡</t>
        </is>
      </c>
      <c r="C8" s="9" t="inlineStr">
        <is>
          <t>基于 1F+2F 自留扣除</t>
        </is>
      </c>
      <c r="D8" s="9" t="inlineStr">
        <is>
          <t>—</t>
        </is>
      </c>
    </row>
    <row r="9">
      <c r="A9" s="11" t="inlineStr">
        <is>
          <t>Y3 入驻率目标</t>
        </is>
      </c>
      <c r="B9" s="12" t="inlineStr">
        <is>
          <t>92%</t>
        </is>
      </c>
      <c r="C9" s="11" t="inlineStr">
        <is>
          <t>Y1 35% / Y2 70% / Y3 92%</t>
        </is>
      </c>
      <c r="D9" s="11" t="inlineStr">
        <is>
          <t>高目标</t>
        </is>
      </c>
    </row>
    <row r="10">
      <c r="A10" s="9" t="inlineStr">
        <is>
          <t>Y3 平均有效租金</t>
        </is>
      </c>
      <c r="B10" s="10" t="inlineStr">
        <is>
          <t>7.5 元/㎡·天</t>
        </is>
      </c>
      <c r="C10" s="9" t="inlineStr">
        <is>
          <t>扣除免租与装补摊销</t>
        </is>
      </c>
      <c r="D10" s="9" t="inlineStr">
        <is>
          <t>中心城区合理</t>
        </is>
      </c>
    </row>
    <row r="11">
      <c r="A11" s="11" t="inlineStr">
        <is>
          <t>Y3 总收入</t>
        </is>
      </c>
      <c r="B11" s="12" t="inlineStr">
        <is>
          <t>5,748 万元</t>
        </is>
      </c>
      <c r="C11" s="11" t="inlineStr">
        <is>
          <t>含租金/物业/服务/政策返还</t>
        </is>
      </c>
      <c r="D11" s="11" t="inlineStr">
        <is>
          <t>稳态</t>
        </is>
      </c>
    </row>
    <row r="12">
      <c r="A12" s="9" t="inlineStr">
        <is>
          <t>Y3 EBITDA</t>
        </is>
      </c>
      <c r="B12" s="10" t="inlineStr">
        <is>
          <t>+1,368 万元</t>
        </is>
      </c>
      <c r="C12" s="9" t="inlineStr">
        <is>
          <t>由 Y1 −2,108 转正</t>
        </is>
      </c>
      <c r="D12" s="9" t="inlineStr">
        <is>
          <t>Y3 转正</t>
        </is>
      </c>
    </row>
    <row r="13">
      <c r="A13" s="11" t="inlineStr">
        <is>
          <t>Y3 EBITDA 利润率</t>
        </is>
      </c>
      <c r="B13" s="12" t="inlineStr">
        <is>
          <t>+24%</t>
        </is>
      </c>
      <c r="C13" s="11" t="inlineStr">
        <is>
          <t>Y1 −206% / Y2 −17% / Y3 +24%</t>
        </is>
      </c>
      <c r="D13" s="11" t="inlineStr">
        <is>
          <t>稳健</t>
        </is>
      </c>
    </row>
    <row r="14">
      <c r="A14" s="9" t="inlineStr">
        <is>
          <t>EBIT 转正时点</t>
        </is>
      </c>
      <c r="B14" s="10" t="inlineStr">
        <is>
          <t>Y3 末 → Y4 初</t>
        </is>
      </c>
      <c r="C14" s="9" t="inlineStr">
        <is>
          <t>约 36–40 个月</t>
        </is>
      </c>
      <c r="D14" s="9" t="inlineStr">
        <is>
          <t>—</t>
        </is>
      </c>
    </row>
    <row r="15">
      <c r="A15" s="11" t="inlineStr">
        <is>
          <t>链主签约目标</t>
        </is>
      </c>
      <c r="B15" s="12" t="inlineStr">
        <is>
          <t>Y1 0 / Y2 1 / Y3 1</t>
        </is>
      </c>
      <c r="C15" s="11" t="inlineStr">
        <is>
          <t>TOP5 中至少 1 家</t>
        </is>
      </c>
      <c r="D15" s="11" t="inlineStr">
        <is>
          <t>—</t>
        </is>
      </c>
    </row>
    <row r="16">
      <c r="A16" s="9" t="inlineStr">
        <is>
          <t>入驻企业累计</t>
        </is>
      </c>
      <c r="B16" s="10" t="inlineStr">
        <is>
          <t>Y1 4 / Y2 9 / Y3 14</t>
        </is>
      </c>
      <c r="C16" s="9" t="inlineStr">
        <is>
          <t>12–18 家区间</t>
        </is>
      </c>
      <c r="D16" s="9" t="inlineStr">
        <is>
          <t>—</t>
        </is>
      </c>
    </row>
    <row r="17">
      <c r="A17" s="11" t="inlineStr">
        <is>
          <t>Y0 启动现金需求</t>
        </is>
      </c>
      <c r="B17" s="12" t="inlineStr">
        <is>
          <t>约 3 亿元</t>
        </is>
      </c>
      <c r="C17" s="11" t="inlineStr">
        <is>
          <t>Y1 期初现金安全垫 ≥ 12 个月</t>
        </is>
      </c>
      <c r="D17" s="11" t="inlineStr">
        <is>
          <t>—</t>
        </is>
      </c>
    </row>
    <row r="20">
      <c r="A20" s="5" t="inlineStr">
        <is>
          <t>三年损益快览（万元）</t>
        </is>
      </c>
      <c r="B20" s="6" t="n"/>
      <c r="C20" s="6" t="n"/>
      <c r="D20" s="6" t="n"/>
      <c r="E20" s="7" t="n"/>
    </row>
    <row r="21">
      <c r="A21" s="8" t="inlineStr">
        <is>
          <t>科目</t>
        </is>
      </c>
      <c r="B21" s="8" t="inlineStr">
        <is>
          <t>Y1 2026</t>
        </is>
      </c>
      <c r="C21" s="8" t="inlineStr">
        <is>
          <t>Y2 2027</t>
        </is>
      </c>
      <c r="D21" s="8" t="inlineStr">
        <is>
          <t>Y3 2028</t>
        </is>
      </c>
      <c r="E21" s="8" t="inlineStr">
        <is>
          <t>三年累计</t>
        </is>
      </c>
    </row>
    <row r="22">
      <c r="A22" s="13" t="inlineStr">
        <is>
          <t>总收入</t>
        </is>
      </c>
      <c r="B22" s="14" t="n">
        <v>1022</v>
      </c>
      <c r="C22" s="14" t="n">
        <v>3237</v>
      </c>
      <c r="D22" s="14" t="n">
        <v>5748</v>
      </c>
      <c r="E22" s="15" t="n">
        <v>10007</v>
      </c>
    </row>
    <row r="23">
      <c r="A23" s="16" t="inlineStr">
        <is>
          <t>总成本</t>
        </is>
      </c>
      <c r="B23" s="17" t="n">
        <v>3130</v>
      </c>
      <c r="C23" s="17" t="n">
        <v>3790</v>
      </c>
      <c r="D23" s="17" t="n">
        <v>4380</v>
      </c>
      <c r="E23" s="18" t="n">
        <v>11300</v>
      </c>
    </row>
    <row r="24">
      <c r="A24" s="13" t="inlineStr">
        <is>
          <t>EBITDA</t>
        </is>
      </c>
      <c r="B24" s="19" t="n">
        <v>-2108</v>
      </c>
      <c r="C24" s="19" t="n">
        <v>-553</v>
      </c>
      <c r="D24" s="14" t="n">
        <v>1368</v>
      </c>
      <c r="E24" s="20" t="n">
        <v>-1293</v>
      </c>
    </row>
    <row r="25">
      <c r="A25" s="16" t="inlineStr">
        <is>
          <t>EBIT</t>
        </is>
      </c>
      <c r="B25" s="21" t="n">
        <v>-3308</v>
      </c>
      <c r="C25" s="21" t="n">
        <v>-1753</v>
      </c>
      <c r="D25" s="17" t="n">
        <v>168</v>
      </c>
      <c r="E25" s="22" t="n">
        <v>-4893</v>
      </c>
    </row>
    <row r="28">
      <c r="A28" s="23" t="inlineStr">
        <is>
          <t>📌 详细测算见后续 Sheet（假设/损益/现金流/敏感性等）</t>
        </is>
      </c>
      <c r="B28" s="6" t="n"/>
      <c r="C28" s="6" t="n"/>
      <c r="D28" s="6" t="n"/>
      <c r="E28" s="7" t="n"/>
    </row>
  </sheetData>
  <mergeCells count="6">
    <mergeCell ref="A20:E20"/>
    <mergeCell ref="B4:E4"/>
    <mergeCell ref="A2:E2"/>
    <mergeCell ref="A28:E28"/>
    <mergeCell ref="A1:E1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 ht="28" customHeight="1">
      <c r="A1" s="24" t="inlineStr">
        <is>
          <t>可调参数与假设（黄色单元格 = 可修改）</t>
        </is>
      </c>
    </row>
    <row r="2">
      <c r="A2" s="25" t="inlineStr">
        <is>
          <t>修改下方任一参数后，损益与现金流相关公式可在 Excel 内手动联动（本表为静态版）</t>
        </is>
      </c>
    </row>
    <row r="4">
      <c r="A4" s="3" t="inlineStr">
        <is>
          <t>一、基础参数</t>
        </is>
      </c>
    </row>
    <row r="5">
      <c r="A5" s="26" t="inlineStr">
        <is>
          <t>参数</t>
        </is>
      </c>
      <c r="B5" s="26" t="inlineStr">
        <is>
          <t>Y1</t>
        </is>
      </c>
      <c r="C5" s="26" t="inlineStr">
        <is>
          <t>Y2</t>
        </is>
      </c>
      <c r="D5" s="26" t="inlineStr">
        <is>
          <t>Y3</t>
        </is>
      </c>
      <c r="E5" s="26" t="inlineStr">
        <is>
          <t>口径备注</t>
        </is>
      </c>
    </row>
    <row r="6">
      <c r="A6" s="13" t="inlineStr">
        <is>
          <t>出租净面积 (㎡)</t>
        </is>
      </c>
      <c r="B6" s="27" t="n">
        <v>8300</v>
      </c>
      <c r="C6" s="27" t="n">
        <v>8300</v>
      </c>
      <c r="D6" s="27" t="n">
        <v>8300</v>
      </c>
      <c r="E6" s="9" t="inlineStr">
        <is>
          <t>PDF 实测</t>
        </is>
      </c>
    </row>
    <row r="7">
      <c r="A7" s="16" t="inlineStr">
        <is>
          <t>地上建筑面积 (㎡)</t>
        </is>
      </c>
      <c r="B7" s="27" t="n">
        <v>15152</v>
      </c>
      <c r="C7" s="27" t="n">
        <v>15152</v>
      </c>
      <c r="D7" s="27" t="n">
        <v>15152</v>
      </c>
      <c r="E7" s="11" t="inlineStr">
        <is>
          <t>PDF 实测</t>
        </is>
      </c>
    </row>
    <row r="8">
      <c r="A8" s="13" t="inlineStr">
        <is>
          <t>地下建筑面积 (㎡)</t>
        </is>
      </c>
      <c r="B8" s="27" t="n">
        <v>6993</v>
      </c>
      <c r="C8" s="27" t="n">
        <v>6993</v>
      </c>
      <c r="D8" s="27" t="n">
        <v>6993</v>
      </c>
      <c r="E8" s="9" t="inlineStr">
        <is>
          <t>PDF 实测</t>
        </is>
      </c>
    </row>
    <row r="9">
      <c r="A9" s="16" t="inlineStr">
        <is>
          <t>建筑高度 (m)</t>
        </is>
      </c>
      <c r="B9" s="27" t="n">
        <v>44.95</v>
      </c>
      <c r="C9" s="27" t="n">
        <v>44.95</v>
      </c>
      <c r="D9" s="27" t="n">
        <v>44.95</v>
      </c>
      <c r="E9" s="11" t="inlineStr">
        <is>
          <t>PDF 实测</t>
        </is>
      </c>
    </row>
    <row r="10">
      <c r="A10" s="13" t="inlineStr">
        <is>
          <t>用地性质</t>
        </is>
      </c>
      <c r="B10" s="9" t="inlineStr">
        <is>
          <t>C6</t>
        </is>
      </c>
      <c r="C10" s="9" t="inlineStr">
        <is>
          <t>C6</t>
        </is>
      </c>
      <c r="D10" s="9" t="inlineStr">
        <is>
          <t>C6</t>
        </is>
      </c>
      <c r="E10" s="9" t="inlineStr">
        <is>
          <t>教育科研设计用地</t>
        </is>
      </c>
    </row>
    <row r="11">
      <c r="A11" s="16" t="inlineStr">
        <is>
          <t>绿建等级</t>
        </is>
      </c>
      <c r="B11" s="11" t="inlineStr">
        <is>
          <t>二星</t>
        </is>
      </c>
      <c r="C11" s="11" t="inlineStr">
        <is>
          <t>二星</t>
        </is>
      </c>
      <c r="D11" s="11" t="inlineStr">
        <is>
          <t>二星</t>
        </is>
      </c>
      <c r="E11" s="11" t="inlineStr">
        <is>
          <t>PDF 实测</t>
        </is>
      </c>
    </row>
    <row r="13">
      <c r="A13" s="3" t="inlineStr">
        <is>
          <t>二、出租与租金</t>
        </is>
      </c>
    </row>
    <row r="14">
      <c r="A14" s="26" t="inlineStr">
        <is>
          <t>参数</t>
        </is>
      </c>
      <c r="B14" s="26" t="inlineStr">
        <is>
          <t>Y1</t>
        </is>
      </c>
      <c r="C14" s="26" t="inlineStr">
        <is>
          <t>Y2</t>
        </is>
      </c>
      <c r="D14" s="26" t="inlineStr">
        <is>
          <t>Y3</t>
        </is>
      </c>
      <c r="E14" s="26" t="inlineStr">
        <is>
          <t>口径备注</t>
        </is>
      </c>
    </row>
    <row r="15">
      <c r="A15" s="16" t="inlineStr">
        <is>
          <t>入驻率 (%)</t>
        </is>
      </c>
      <c r="B15" s="27" t="n">
        <v>35</v>
      </c>
      <c r="C15" s="27" t="n">
        <v>70</v>
      </c>
      <c r="D15" s="27" t="n">
        <v>92</v>
      </c>
      <c r="E15" s="11" t="inlineStr">
        <is>
          <t>线性爬坡</t>
        </is>
      </c>
    </row>
    <row r="16">
      <c r="A16" s="13" t="inlineStr">
        <is>
          <t>平均有效租金 (元/㎡·天)</t>
        </is>
      </c>
      <c r="B16" s="27" t="n">
        <v>5.8</v>
      </c>
      <c r="C16" s="27" t="n">
        <v>6.8</v>
      </c>
      <c r="D16" s="27" t="n">
        <v>7.5</v>
      </c>
      <c r="E16" s="9" t="inlineStr">
        <is>
          <t>扣除免租与装补摊销</t>
        </is>
      </c>
    </row>
    <row r="17">
      <c r="A17" s="16" t="inlineStr">
        <is>
          <t>物业费 (元/㎡·月)</t>
        </is>
      </c>
      <c r="B17" s="27" t="n">
        <v>28</v>
      </c>
      <c r="C17" s="27" t="n">
        <v>28</v>
      </c>
      <c r="D17" s="27" t="n">
        <v>28</v>
      </c>
      <c r="E17" s="11" t="inlineStr">
        <is>
          <t>标准</t>
        </is>
      </c>
    </row>
    <row r="18">
      <c r="A18" s="13" t="inlineStr">
        <is>
          <t>免租期 (月)</t>
        </is>
      </c>
      <c r="B18" s="27" t="n">
        <v>15</v>
      </c>
      <c r="C18" s="27" t="n">
        <v>12</v>
      </c>
      <c r="D18" s="27" t="n">
        <v>10</v>
      </c>
      <c r="E18" s="9" t="inlineStr">
        <is>
          <t>链主 18 / 生态 6 加权</t>
        </is>
      </c>
    </row>
    <row r="19">
      <c r="A19" s="16" t="inlineStr">
        <is>
          <t>装补 (元/㎡)</t>
        </is>
      </c>
      <c r="B19" s="27" t="n">
        <v>1000</v>
      </c>
      <c r="C19" s="27" t="n">
        <v>700</v>
      </c>
      <c r="D19" s="27" t="n">
        <v>500</v>
      </c>
      <c r="E19" s="11" t="inlineStr">
        <is>
          <t>链主 1200 / 生态 500 加权</t>
        </is>
      </c>
    </row>
    <row r="21">
      <c r="A21" s="3" t="inlineStr">
        <is>
          <t>三、增值服务收入（万元）</t>
        </is>
      </c>
    </row>
    <row r="22">
      <c r="A22" s="26" t="inlineStr">
        <is>
          <t>参数</t>
        </is>
      </c>
      <c r="B22" s="26" t="inlineStr">
        <is>
          <t>Y1</t>
        </is>
      </c>
      <c r="C22" s="26" t="inlineStr">
        <is>
          <t>Y2</t>
        </is>
      </c>
      <c r="D22" s="26" t="inlineStr">
        <is>
          <t>Y3</t>
        </is>
      </c>
      <c r="E22" s="26" t="inlineStr">
        <is>
          <t>口径备注</t>
        </is>
      </c>
    </row>
    <row r="23">
      <c r="A23" s="16" t="inlineStr">
        <is>
          <t>1F+2F 冠名权</t>
        </is>
      </c>
      <c r="B23" s="27" t="n">
        <v>100</v>
      </c>
      <c r="C23" s="27" t="n">
        <v>300</v>
      </c>
      <c r="D23" s="27" t="n">
        <v>500</v>
      </c>
      <c r="E23" s="11" t="inlineStr">
        <is>
          <t>大堂/展厅/LED</t>
        </is>
      </c>
    </row>
    <row r="24">
      <c r="A24" s="13" t="inlineStr">
        <is>
          <t>服务平台佣金</t>
        </is>
      </c>
      <c r="B24" s="27" t="n">
        <v>80</v>
      </c>
      <c r="C24" s="27" t="n">
        <v>250</v>
      </c>
      <c r="D24" s="27" t="n">
        <v>600</v>
      </c>
      <c r="E24" s="9" t="inlineStr">
        <is>
          <t>GMV 5%-10%</t>
        </is>
      </c>
    </row>
    <row r="25">
      <c r="A25" s="16" t="inlineStr">
        <is>
          <t>后市场协同分成</t>
        </is>
      </c>
      <c r="B25" s="27" t="n">
        <v>50</v>
      </c>
      <c r="C25" s="27" t="n">
        <v>150</v>
      </c>
      <c r="D25" s="27" t="n">
        <v>300</v>
      </c>
      <c r="E25" s="11" t="inlineStr">
        <is>
          <t>与冠松后市场联动</t>
        </is>
      </c>
    </row>
    <row r="26">
      <c r="A26" s="13" t="inlineStr">
        <is>
          <t>政策返还（净计入）</t>
        </is>
      </c>
      <c r="B26" s="27" t="n">
        <v>80</v>
      </c>
      <c r="C26" s="27" t="n">
        <v>600</v>
      </c>
      <c r="D26" s="27" t="n">
        <v>1500</v>
      </c>
      <c r="E26" s="9" t="inlineStr">
        <is>
          <t>一企一策</t>
        </is>
      </c>
    </row>
    <row r="27">
      <c r="A27" s="16" t="inlineStr">
        <is>
          <t>基金管理费</t>
        </is>
      </c>
      <c r="B27" s="27" t="n">
        <v>0</v>
      </c>
      <c r="C27" s="27" t="n">
        <v>300</v>
      </c>
      <c r="D27" s="27" t="n">
        <v>500</v>
      </c>
      <c r="E27" s="11" t="inlineStr">
        <is>
          <t>园区基金 1%-2% AUM</t>
        </is>
      </c>
    </row>
    <row r="29">
      <c r="A29" s="3" t="inlineStr">
        <is>
          <t>四、成本（万元）</t>
        </is>
      </c>
    </row>
    <row r="30">
      <c r="A30" s="26" t="inlineStr">
        <is>
          <t>参数</t>
        </is>
      </c>
      <c r="B30" s="26" t="inlineStr">
        <is>
          <t>Y1</t>
        </is>
      </c>
      <c r="C30" s="26" t="inlineStr">
        <is>
          <t>Y2</t>
        </is>
      </c>
      <c r="D30" s="26" t="inlineStr">
        <is>
          <t>Y3</t>
        </is>
      </c>
      <c r="E30" s="26" t="inlineStr">
        <is>
          <t>口径备注</t>
        </is>
      </c>
    </row>
    <row r="31">
      <c r="A31" s="16" t="inlineStr">
        <is>
          <t>物业运营成本</t>
        </is>
      </c>
      <c r="B31" s="27" t="n">
        <v>600</v>
      </c>
      <c r="C31" s="27" t="n">
        <v>750</v>
      </c>
      <c r="D31" s="27" t="n">
        <v>850</v>
      </c>
      <c r="E31" s="11" t="inlineStr">
        <is>
          <t>人力+能源+维保</t>
        </is>
      </c>
    </row>
    <row r="32">
      <c r="A32" s="13" t="inlineStr">
        <is>
          <t>招商佣金摊销</t>
        </is>
      </c>
      <c r="B32" s="27" t="n">
        <v>100</v>
      </c>
      <c r="C32" s="27" t="n">
        <v>200</v>
      </c>
      <c r="D32" s="27" t="n">
        <v>300</v>
      </c>
      <c r="E32" s="9" t="inlineStr">
        <is>
          <t>5 年直线</t>
        </is>
      </c>
    </row>
    <row r="33">
      <c r="A33" s="16" t="inlineStr">
        <is>
          <t>装补摊销</t>
        </is>
      </c>
      <c r="B33" s="27" t="n">
        <v>200</v>
      </c>
      <c r="C33" s="27" t="n">
        <v>350</v>
      </c>
      <c r="D33" s="27" t="n">
        <v>450</v>
      </c>
      <c r="E33" s="11" t="inlineStr">
        <is>
          <t>5 年直线</t>
        </is>
      </c>
    </row>
    <row r="34">
      <c r="A34" s="13" t="inlineStr">
        <is>
          <t>免租摊销</t>
        </is>
      </c>
      <c r="B34" s="27" t="n">
        <v>250</v>
      </c>
      <c r="C34" s="27" t="n">
        <v>200</v>
      </c>
      <c r="D34" s="27" t="n">
        <v>100</v>
      </c>
      <c r="E34" s="9" t="inlineStr"/>
    </row>
    <row r="35">
      <c r="A35" s="16" t="inlineStr">
        <is>
          <t>营销品牌(含发布会)</t>
        </is>
      </c>
      <c r="B35" s="27" t="n">
        <v>800</v>
      </c>
      <c r="C35" s="27" t="n">
        <v>600</v>
      </c>
      <c r="D35" s="27" t="n">
        <v>600</v>
      </c>
      <c r="E35" s="11" t="inlineStr"/>
    </row>
    <row r="36">
      <c r="A36" s="13" t="inlineStr">
        <is>
          <t>政府关系/法务</t>
        </is>
      </c>
      <c r="B36" s="27" t="n">
        <v>200</v>
      </c>
      <c r="C36" s="27" t="n">
        <v>250</v>
      </c>
      <c r="D36" s="27" t="n">
        <v>300</v>
      </c>
      <c r="E36" s="9" t="inlineStr"/>
    </row>
    <row r="37">
      <c r="A37" s="16" t="inlineStr">
        <is>
          <t>团队人力</t>
        </is>
      </c>
      <c r="B37" s="27" t="n">
        <v>400</v>
      </c>
      <c r="C37" s="27" t="n">
        <v>800</v>
      </c>
      <c r="D37" s="27" t="n">
        <v>1100</v>
      </c>
      <c r="E37" s="11" t="inlineStr">
        <is>
          <t>4→14→22 人</t>
        </is>
      </c>
    </row>
    <row r="38">
      <c r="A38" s="13" t="inlineStr">
        <is>
          <t>测试场协同</t>
        </is>
      </c>
      <c r="B38" s="27" t="n">
        <v>80</v>
      </c>
      <c r="C38" s="27" t="n">
        <v>120</v>
      </c>
      <c r="D38" s="27" t="n">
        <v>150</v>
      </c>
      <c r="E38" s="9" t="inlineStr">
        <is>
          <t>嘉定/临港会员</t>
        </is>
      </c>
    </row>
    <row r="39">
      <c r="A39" s="16" t="inlineStr">
        <is>
          <t>财务费用</t>
        </is>
      </c>
      <c r="B39" s="27" t="n">
        <v>350</v>
      </c>
      <c r="C39" s="27" t="n">
        <v>320</v>
      </c>
      <c r="D39" s="27" t="n">
        <v>280</v>
      </c>
      <c r="E39" s="11" t="inlineStr"/>
    </row>
    <row r="40">
      <c r="A40" s="13" t="inlineStr">
        <is>
          <t>其他</t>
        </is>
      </c>
      <c r="B40" s="27" t="n">
        <v>150</v>
      </c>
      <c r="C40" s="27" t="n">
        <v>200</v>
      </c>
      <c r="D40" s="27" t="n">
        <v>250</v>
      </c>
      <c r="E40" s="9" t="inlineStr"/>
    </row>
    <row r="42">
      <c r="A42" s="3" t="inlineStr">
        <is>
          <t>五、链主签约假设</t>
        </is>
      </c>
    </row>
    <row r="43">
      <c r="A43" s="26" t="inlineStr">
        <is>
          <t>参数</t>
        </is>
      </c>
      <c r="B43" s="26" t="inlineStr">
        <is>
          <t>Y1</t>
        </is>
      </c>
      <c r="C43" s="26" t="inlineStr">
        <is>
          <t>Y2</t>
        </is>
      </c>
      <c r="D43" s="26" t="inlineStr">
        <is>
          <t>Y3</t>
        </is>
      </c>
      <c r="E43" s="26" t="inlineStr">
        <is>
          <t>口径备注</t>
        </is>
      </c>
    </row>
    <row r="44">
      <c r="A44" s="13" t="inlineStr">
        <is>
          <t>链主 Term Sheet 数</t>
        </is>
      </c>
      <c r="B44" s="27" t="n">
        <v>1</v>
      </c>
      <c r="C44" s="27" t="n">
        <v>2</v>
      </c>
      <c r="D44" s="27" t="n">
        <v>3</v>
      </c>
      <c r="E44" s="9" t="inlineStr">
        <is>
          <t>TOP5 中</t>
        </is>
      </c>
    </row>
    <row r="45">
      <c r="A45" s="16" t="inlineStr">
        <is>
          <t>链主签约数</t>
        </is>
      </c>
      <c r="B45" s="27" t="n">
        <v>0</v>
      </c>
      <c r="C45" s="27" t="n">
        <v>1</v>
      </c>
      <c r="D45" s="27" t="n">
        <v>1</v>
      </c>
      <c r="E45" s="11" t="inlineStr">
        <is>
          <t>至少 1 家</t>
        </is>
      </c>
    </row>
    <row r="46">
      <c r="A46" s="13" t="inlineStr">
        <is>
          <t>入驻企业 (累计)</t>
        </is>
      </c>
      <c r="B46" s="27" t="n">
        <v>4</v>
      </c>
      <c r="C46" s="27" t="n">
        <v>9</v>
      </c>
      <c r="D46" s="27" t="n">
        <v>14</v>
      </c>
      <c r="E46" s="9" t="inlineStr">
        <is>
          <t>12–18 家区间</t>
        </is>
      </c>
    </row>
  </sheetData>
  <mergeCells count="7">
    <mergeCell ref="A21:E21"/>
    <mergeCell ref="A29:E29"/>
    <mergeCell ref="A4:E4"/>
    <mergeCell ref="A2:E2"/>
    <mergeCell ref="A42:E42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 ht="28" customHeight="1">
      <c r="A1" s="24" t="inlineStr">
        <is>
          <t>三年损益表（万元）</t>
        </is>
      </c>
    </row>
    <row r="3">
      <c r="A3" s="8" t="inlineStr">
        <is>
          <t>科目</t>
        </is>
      </c>
      <c r="B3" s="8" t="inlineStr">
        <is>
          <t>Y1 2026</t>
        </is>
      </c>
      <c r="C3" s="8" t="inlineStr">
        <is>
          <t>Y2 2027</t>
        </is>
      </c>
      <c r="D3" s="8" t="inlineStr">
        <is>
          <t>Y3 2028</t>
        </is>
      </c>
      <c r="E3" s="8" t="inlineStr">
        <is>
          <t>口径备注</t>
        </is>
      </c>
    </row>
    <row r="4">
      <c r="A4" s="13" t="inlineStr">
        <is>
          <t>租金收入</t>
        </is>
      </c>
      <c r="B4" s="14" t="n">
        <v>615</v>
      </c>
      <c r="C4" s="14" t="n">
        <v>1442</v>
      </c>
      <c r="D4" s="14" t="n">
        <v>2091</v>
      </c>
      <c r="E4" s="28">
        <f> 净面积*入驻率*租金*365</f>
        <v/>
      </c>
    </row>
    <row r="5">
      <c r="A5" s="16" t="inlineStr">
        <is>
          <t>物业费收入</t>
        </is>
      </c>
      <c r="B5" s="17" t="n">
        <v>97</v>
      </c>
      <c r="C5" s="17" t="n">
        <v>195</v>
      </c>
      <c r="D5" s="17" t="n">
        <v>257</v>
      </c>
      <c r="E5" s="29" t="inlineStr"/>
    </row>
    <row r="6">
      <c r="A6" s="13" t="inlineStr">
        <is>
          <t>1F+2F 冠名权</t>
        </is>
      </c>
      <c r="B6" s="14" t="n">
        <v>100</v>
      </c>
      <c r="C6" s="14" t="n">
        <v>300</v>
      </c>
      <c r="D6" s="14" t="n">
        <v>500</v>
      </c>
      <c r="E6" s="28" t="inlineStr">
        <is>
          <t>大堂/展厅/LED</t>
        </is>
      </c>
    </row>
    <row r="7">
      <c r="A7" s="16" t="inlineStr">
        <is>
          <t>服务平台佣金</t>
        </is>
      </c>
      <c r="B7" s="17" t="n">
        <v>80</v>
      </c>
      <c r="C7" s="17" t="n">
        <v>250</v>
      </c>
      <c r="D7" s="17" t="n">
        <v>600</v>
      </c>
      <c r="E7" s="29" t="inlineStr">
        <is>
          <t>GMV 5%-10%</t>
        </is>
      </c>
    </row>
    <row r="8">
      <c r="A8" s="13" t="inlineStr">
        <is>
          <t>后市场协同</t>
        </is>
      </c>
      <c r="B8" s="14" t="n">
        <v>50</v>
      </c>
      <c r="C8" s="14" t="n">
        <v>150</v>
      </c>
      <c r="D8" s="14" t="n">
        <v>300</v>
      </c>
      <c r="E8" s="28" t="inlineStr">
        <is>
          <t>与冠松联动</t>
        </is>
      </c>
    </row>
    <row r="9">
      <c r="A9" s="16" t="inlineStr">
        <is>
          <t>政策返还（净计入）</t>
        </is>
      </c>
      <c r="B9" s="17" t="n">
        <v>80</v>
      </c>
      <c r="C9" s="17" t="n">
        <v>600</v>
      </c>
      <c r="D9" s="17" t="n">
        <v>1500</v>
      </c>
      <c r="E9" s="29" t="inlineStr">
        <is>
          <t>一企一策</t>
        </is>
      </c>
    </row>
    <row r="10">
      <c r="A10" s="13" t="inlineStr">
        <is>
          <t>基金管理费</t>
        </is>
      </c>
      <c r="B10" s="14" t="n">
        <v>0</v>
      </c>
      <c r="C10" s="14" t="n">
        <v>300</v>
      </c>
      <c r="D10" s="14" t="n">
        <v>500</v>
      </c>
      <c r="E10" s="28" t="inlineStr">
        <is>
          <t>园区基金</t>
        </is>
      </c>
    </row>
    <row r="11">
      <c r="A11" s="30" t="inlineStr">
        <is>
          <t>总收入</t>
        </is>
      </c>
      <c r="B11" s="31" t="n">
        <v>1022</v>
      </c>
      <c r="C11" s="31" t="n">
        <v>3237</v>
      </c>
      <c r="D11" s="31" t="n">
        <v>5748</v>
      </c>
      <c r="E11" s="32" t="inlineStr">
        <is>
          <t>★</t>
        </is>
      </c>
    </row>
    <row r="12">
      <c r="A12" s="13" t="inlineStr"/>
      <c r="B12" s="28" t="inlineStr"/>
      <c r="C12" s="28" t="inlineStr"/>
      <c r="D12" s="28" t="inlineStr"/>
      <c r="E12" s="28" t="inlineStr"/>
    </row>
    <row r="13">
      <c r="A13" s="16" t="inlineStr">
        <is>
          <t>物业运营成本</t>
        </is>
      </c>
      <c r="B13" s="17" t="n">
        <v>600</v>
      </c>
      <c r="C13" s="17" t="n">
        <v>750</v>
      </c>
      <c r="D13" s="17" t="n">
        <v>850</v>
      </c>
      <c r="E13" s="29" t="inlineStr"/>
    </row>
    <row r="14">
      <c r="A14" s="13" t="inlineStr">
        <is>
          <t>招商佣金摊销</t>
        </is>
      </c>
      <c r="B14" s="14" t="n">
        <v>100</v>
      </c>
      <c r="C14" s="14" t="n">
        <v>200</v>
      </c>
      <c r="D14" s="14" t="n">
        <v>300</v>
      </c>
      <c r="E14" s="28" t="inlineStr">
        <is>
          <t>5 年直线</t>
        </is>
      </c>
    </row>
    <row r="15">
      <c r="A15" s="16" t="inlineStr">
        <is>
          <t>装补摊销</t>
        </is>
      </c>
      <c r="B15" s="17" t="n">
        <v>200</v>
      </c>
      <c r="C15" s="17" t="n">
        <v>350</v>
      </c>
      <c r="D15" s="17" t="n">
        <v>450</v>
      </c>
      <c r="E15" s="29" t="inlineStr">
        <is>
          <t>5 年直线</t>
        </is>
      </c>
    </row>
    <row r="16">
      <c r="A16" s="13" t="inlineStr">
        <is>
          <t>免租摊销</t>
        </is>
      </c>
      <c r="B16" s="14" t="n">
        <v>250</v>
      </c>
      <c r="C16" s="14" t="n">
        <v>200</v>
      </c>
      <c r="D16" s="14" t="n">
        <v>100</v>
      </c>
      <c r="E16" s="28" t="inlineStr"/>
    </row>
    <row r="17">
      <c r="A17" s="16" t="inlineStr">
        <is>
          <t>营销品牌（含发布会）</t>
        </is>
      </c>
      <c r="B17" s="17" t="n">
        <v>800</v>
      </c>
      <c r="C17" s="17" t="n">
        <v>600</v>
      </c>
      <c r="D17" s="17" t="n">
        <v>600</v>
      </c>
      <c r="E17" s="29" t="inlineStr"/>
    </row>
    <row r="18">
      <c r="A18" s="13" t="inlineStr">
        <is>
          <t>政府关系/法务</t>
        </is>
      </c>
      <c r="B18" s="14" t="n">
        <v>200</v>
      </c>
      <c r="C18" s="14" t="n">
        <v>250</v>
      </c>
      <c r="D18" s="14" t="n">
        <v>300</v>
      </c>
      <c r="E18" s="28" t="inlineStr"/>
    </row>
    <row r="19">
      <c r="A19" s="16" t="inlineStr">
        <is>
          <t>团队人力</t>
        </is>
      </c>
      <c r="B19" s="17" t="n">
        <v>400</v>
      </c>
      <c r="C19" s="17" t="n">
        <v>800</v>
      </c>
      <c r="D19" s="17" t="n">
        <v>1100</v>
      </c>
      <c r="E19" s="29" t="inlineStr">
        <is>
          <t>4→14→22 人</t>
        </is>
      </c>
    </row>
    <row r="20">
      <c r="A20" s="13" t="inlineStr">
        <is>
          <t>测试场协同</t>
        </is>
      </c>
      <c r="B20" s="14" t="n">
        <v>80</v>
      </c>
      <c r="C20" s="14" t="n">
        <v>120</v>
      </c>
      <c r="D20" s="14" t="n">
        <v>150</v>
      </c>
      <c r="E20" s="28" t="inlineStr"/>
    </row>
    <row r="21">
      <c r="A21" s="16" t="inlineStr">
        <is>
          <t>财务费用</t>
        </is>
      </c>
      <c r="B21" s="17" t="n">
        <v>350</v>
      </c>
      <c r="C21" s="17" t="n">
        <v>320</v>
      </c>
      <c r="D21" s="17" t="n">
        <v>280</v>
      </c>
      <c r="E21" s="29" t="inlineStr"/>
    </row>
    <row r="22">
      <c r="A22" s="13" t="inlineStr">
        <is>
          <t>其他</t>
        </is>
      </c>
      <c r="B22" s="14" t="n">
        <v>150</v>
      </c>
      <c r="C22" s="14" t="n">
        <v>200</v>
      </c>
      <c r="D22" s="14" t="n">
        <v>250</v>
      </c>
      <c r="E22" s="28" t="inlineStr"/>
    </row>
    <row r="23">
      <c r="A23" s="30" t="inlineStr">
        <is>
          <t>总成本</t>
        </is>
      </c>
      <c r="B23" s="31" t="n">
        <v>3130</v>
      </c>
      <c r="C23" s="31" t="n">
        <v>3790</v>
      </c>
      <c r="D23" s="31" t="n">
        <v>4380</v>
      </c>
      <c r="E23" s="32" t="inlineStr">
        <is>
          <t>★</t>
        </is>
      </c>
    </row>
    <row r="24">
      <c r="A24" s="13" t="inlineStr"/>
      <c r="B24" s="28" t="inlineStr"/>
      <c r="C24" s="28" t="inlineStr"/>
      <c r="D24" s="28" t="inlineStr"/>
      <c r="E24" s="28" t="inlineStr"/>
    </row>
    <row r="25">
      <c r="A25" s="30" t="inlineStr">
        <is>
          <t>EBITDA</t>
        </is>
      </c>
      <c r="B25" s="33" t="n">
        <v>-2108</v>
      </c>
      <c r="C25" s="33" t="n">
        <v>-553</v>
      </c>
      <c r="D25" s="31" t="n">
        <v>1368</v>
      </c>
      <c r="E25" s="32" t="inlineStr">
        <is>
          <t>★ Y3 转正</t>
        </is>
      </c>
    </row>
    <row r="26">
      <c r="A26" s="13" t="inlineStr">
        <is>
          <t>折旧/摊销（资产）</t>
        </is>
      </c>
      <c r="B26" s="14" t="n">
        <v>1200</v>
      </c>
      <c r="C26" s="14" t="n">
        <v>1200</v>
      </c>
      <c r="D26" s="14" t="n">
        <v>1200</v>
      </c>
      <c r="E26" s="28" t="inlineStr">
        <is>
          <t>15,152 ㎡ 直线</t>
        </is>
      </c>
    </row>
    <row r="27">
      <c r="A27" s="30" t="inlineStr">
        <is>
          <t>EBIT</t>
        </is>
      </c>
      <c r="B27" s="33" t="n">
        <v>-3308</v>
      </c>
      <c r="C27" s="33" t="n">
        <v>-1753</v>
      </c>
      <c r="D27" s="31" t="n">
        <v>168</v>
      </c>
      <c r="E27" s="32" t="inlineStr"/>
    </row>
    <row r="28">
      <c r="A28" s="13" t="inlineStr">
        <is>
          <t>利息净额</t>
        </is>
      </c>
      <c r="B28" s="14" t="n">
        <v>600</v>
      </c>
      <c r="C28" s="14" t="n">
        <v>580</v>
      </c>
      <c r="D28" s="14" t="n">
        <v>520</v>
      </c>
      <c r="E28" s="28" t="inlineStr"/>
    </row>
    <row r="29">
      <c r="A29" s="30" t="inlineStr">
        <is>
          <t>税前利润</t>
        </is>
      </c>
      <c r="B29" s="33" t="n">
        <v>-3908</v>
      </c>
      <c r="C29" s="33" t="n">
        <v>-2333</v>
      </c>
      <c r="D29" s="33" t="n">
        <v>-352</v>
      </c>
      <c r="E29" s="32" t="inlineStr">
        <is>
          <t>Y4 预计转正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24" t="inlineStr">
        <is>
          <t>36 个月滚动现金流（万元）</t>
        </is>
      </c>
    </row>
    <row r="3">
      <c r="A3" s="8" t="inlineStr">
        <is>
          <t>月份</t>
        </is>
      </c>
      <c r="B3" s="8" t="inlineStr">
        <is>
          <t>经营性流入</t>
        </is>
      </c>
      <c r="C3" s="8" t="inlineStr">
        <is>
          <t>经营性流出</t>
        </is>
      </c>
      <c r="D3" s="8" t="inlineStr">
        <is>
          <t>经营净</t>
        </is>
      </c>
      <c r="E3" s="8" t="inlineStr">
        <is>
          <t>投资</t>
        </is>
      </c>
      <c r="F3" s="8" t="inlineStr">
        <is>
          <t>筹资</t>
        </is>
      </c>
      <c r="G3" s="8" t="inlineStr">
        <is>
          <t>净变动</t>
        </is>
      </c>
      <c r="H3" s="8" t="inlineStr">
        <is>
          <t>期末现金</t>
        </is>
      </c>
    </row>
    <row r="4">
      <c r="A4" s="10" t="inlineStr">
        <is>
          <t>M1</t>
        </is>
      </c>
      <c r="B4" s="14" t="n">
        <v>20</v>
      </c>
      <c r="C4" s="14" t="n">
        <v>220</v>
      </c>
      <c r="D4" s="19" t="n">
        <v>-200</v>
      </c>
      <c r="E4" s="19" t="n">
        <v>-300</v>
      </c>
      <c r="F4" s="14" t="n">
        <v>0</v>
      </c>
      <c r="G4" s="19" t="n">
        <v>-500</v>
      </c>
      <c r="H4" s="31" t="n">
        <v>21300</v>
      </c>
    </row>
    <row r="5">
      <c r="A5" s="12" t="inlineStr">
        <is>
          <t>M2</t>
        </is>
      </c>
      <c r="B5" s="17" t="n">
        <v>20</v>
      </c>
      <c r="C5" s="17" t="n">
        <v>220</v>
      </c>
      <c r="D5" s="21" t="n">
        <v>-200</v>
      </c>
      <c r="E5" s="21" t="n">
        <v>-200</v>
      </c>
      <c r="F5" s="17" t="n">
        <v>0</v>
      </c>
      <c r="G5" s="21" t="n">
        <v>-400</v>
      </c>
      <c r="H5" s="31" t="n">
        <v>20900</v>
      </c>
    </row>
    <row r="6">
      <c r="A6" s="10" t="inlineStr">
        <is>
          <t>M3</t>
        </is>
      </c>
      <c r="B6" s="14" t="n">
        <v>30</v>
      </c>
      <c r="C6" s="14" t="n">
        <v>240</v>
      </c>
      <c r="D6" s="19" t="n">
        <v>-210</v>
      </c>
      <c r="E6" s="19" t="n">
        <v>-200</v>
      </c>
      <c r="F6" s="14" t="n">
        <v>0</v>
      </c>
      <c r="G6" s="19" t="n">
        <v>-410</v>
      </c>
      <c r="H6" s="31" t="n">
        <v>20490</v>
      </c>
    </row>
    <row r="7">
      <c r="A7" s="12" t="inlineStr">
        <is>
          <t>M4</t>
        </is>
      </c>
      <c r="B7" s="17" t="n">
        <v>40</v>
      </c>
      <c r="C7" s="17" t="n">
        <v>240</v>
      </c>
      <c r="D7" s="21" t="n">
        <v>-200</v>
      </c>
      <c r="E7" s="21" t="n">
        <v>-200</v>
      </c>
      <c r="F7" s="17" t="n">
        <v>0</v>
      </c>
      <c r="G7" s="21" t="n">
        <v>-400</v>
      </c>
      <c r="H7" s="31" t="n">
        <v>20090</v>
      </c>
    </row>
    <row r="8">
      <c r="A8" s="10" t="inlineStr">
        <is>
          <t>M5</t>
        </is>
      </c>
      <c r="B8" s="14" t="n">
        <v>50</v>
      </c>
      <c r="C8" s="14" t="n">
        <v>260</v>
      </c>
      <c r="D8" s="19" t="n">
        <v>-210</v>
      </c>
      <c r="E8" s="19" t="n">
        <v>-100</v>
      </c>
      <c r="F8" s="14" t="n">
        <v>0</v>
      </c>
      <c r="G8" s="19" t="n">
        <v>-310</v>
      </c>
      <c r="H8" s="31" t="n">
        <v>19780</v>
      </c>
    </row>
    <row r="9">
      <c r="A9" s="12" t="inlineStr">
        <is>
          <t>M6</t>
        </is>
      </c>
      <c r="B9" s="17" t="n">
        <v>70</v>
      </c>
      <c r="C9" s="17" t="n">
        <v>270</v>
      </c>
      <c r="D9" s="21" t="n">
        <v>-200</v>
      </c>
      <c r="E9" s="21" t="n">
        <v>-100</v>
      </c>
      <c r="F9" s="17" t="n">
        <v>0</v>
      </c>
      <c r="G9" s="21" t="n">
        <v>-300</v>
      </c>
      <c r="H9" s="31" t="n">
        <v>19480</v>
      </c>
    </row>
    <row r="10">
      <c r="A10" s="10" t="inlineStr">
        <is>
          <t>M7</t>
        </is>
      </c>
      <c r="B10" s="14" t="n">
        <v>80</v>
      </c>
      <c r="C10" s="14" t="n">
        <v>270</v>
      </c>
      <c r="D10" s="19" t="n">
        <v>-190</v>
      </c>
      <c r="E10" s="19" t="n">
        <v>-100</v>
      </c>
      <c r="F10" s="14" t="n">
        <v>0</v>
      </c>
      <c r="G10" s="19" t="n">
        <v>-290</v>
      </c>
      <c r="H10" s="31" t="n">
        <v>19190</v>
      </c>
    </row>
    <row r="11">
      <c r="A11" s="12" t="inlineStr">
        <is>
          <t>M8</t>
        </is>
      </c>
      <c r="B11" s="17" t="n">
        <v>90</v>
      </c>
      <c r="C11" s="17" t="n">
        <v>270</v>
      </c>
      <c r="D11" s="21" t="n">
        <v>-180</v>
      </c>
      <c r="E11" s="21" t="n">
        <v>-100</v>
      </c>
      <c r="F11" s="17" t="n">
        <v>0</v>
      </c>
      <c r="G11" s="21" t="n">
        <v>-280</v>
      </c>
      <c r="H11" s="31" t="n">
        <v>18910</v>
      </c>
    </row>
    <row r="12">
      <c r="A12" s="10" t="inlineStr">
        <is>
          <t>M9</t>
        </is>
      </c>
      <c r="B12" s="14" t="n">
        <v>120</v>
      </c>
      <c r="C12" s="14" t="n">
        <v>280</v>
      </c>
      <c r="D12" s="19" t="n">
        <v>-160</v>
      </c>
      <c r="E12" s="19" t="n">
        <v>-100</v>
      </c>
      <c r="F12" s="14" t="n">
        <v>0</v>
      </c>
      <c r="G12" s="19" t="n">
        <v>-260</v>
      </c>
      <c r="H12" s="31" t="n">
        <v>18650</v>
      </c>
    </row>
    <row r="13">
      <c r="A13" s="12" t="inlineStr">
        <is>
          <t>M10</t>
        </is>
      </c>
      <c r="B13" s="17" t="n">
        <v>130</v>
      </c>
      <c r="C13" s="17" t="n">
        <v>290</v>
      </c>
      <c r="D13" s="21" t="n">
        <v>-160</v>
      </c>
      <c r="E13" s="21" t="n">
        <v>-100</v>
      </c>
      <c r="F13" s="21" t="n">
        <v>-2000</v>
      </c>
      <c r="G13" s="21" t="n">
        <v>-2260</v>
      </c>
      <c r="H13" s="31" t="n">
        <v>16390</v>
      </c>
    </row>
    <row r="14">
      <c r="A14" s="10" t="inlineStr">
        <is>
          <t>M11</t>
        </is>
      </c>
      <c r="B14" s="14" t="n">
        <v>130</v>
      </c>
      <c r="C14" s="14" t="n">
        <v>290</v>
      </c>
      <c r="D14" s="19" t="n">
        <v>-160</v>
      </c>
      <c r="E14" s="19" t="n">
        <v>-100</v>
      </c>
      <c r="F14" s="19" t="n">
        <v>-2000</v>
      </c>
      <c r="G14" s="19" t="n">
        <v>-2260</v>
      </c>
      <c r="H14" s="31" t="n">
        <v>14130</v>
      </c>
    </row>
    <row r="15">
      <c r="A15" s="12" t="inlineStr">
        <is>
          <t>M12</t>
        </is>
      </c>
      <c r="B15" s="17" t="n">
        <v>130</v>
      </c>
      <c r="C15" s="17" t="n">
        <v>290</v>
      </c>
      <c r="D15" s="21" t="n">
        <v>-160</v>
      </c>
      <c r="E15" s="21" t="n">
        <v>-100</v>
      </c>
      <c r="F15" s="21" t="n">
        <v>-2100</v>
      </c>
      <c r="G15" s="21" t="n">
        <v>-2360</v>
      </c>
      <c r="H15" s="31" t="n">
        <v>11770</v>
      </c>
    </row>
    <row r="16">
      <c r="A16" s="10" t="inlineStr">
        <is>
          <t>M13</t>
        </is>
      </c>
      <c r="B16" s="14" t="n">
        <v>140</v>
      </c>
      <c r="C16" s="14" t="n">
        <v>290</v>
      </c>
      <c r="D16" s="19" t="n">
        <v>-150</v>
      </c>
      <c r="E16" s="19" t="n">
        <v>-150</v>
      </c>
      <c r="F16" s="14" t="n">
        <v>0</v>
      </c>
      <c r="G16" s="19" t="n">
        <v>-300</v>
      </c>
      <c r="H16" s="31" t="n">
        <v>11470</v>
      </c>
    </row>
    <row r="17">
      <c r="A17" s="12" t="inlineStr">
        <is>
          <t>M14</t>
        </is>
      </c>
      <c r="B17" s="17" t="n">
        <v>150</v>
      </c>
      <c r="C17" s="17" t="n">
        <v>300</v>
      </c>
      <c r="D17" s="21" t="n">
        <v>-150</v>
      </c>
      <c r="E17" s="21" t="n">
        <v>-150</v>
      </c>
      <c r="F17" s="17" t="n">
        <v>0</v>
      </c>
      <c r="G17" s="21" t="n">
        <v>-300</v>
      </c>
      <c r="H17" s="31" t="n">
        <v>11170</v>
      </c>
    </row>
    <row r="18">
      <c r="A18" s="10" t="inlineStr">
        <is>
          <t>M15</t>
        </is>
      </c>
      <c r="B18" s="14" t="n">
        <v>180</v>
      </c>
      <c r="C18" s="14" t="n">
        <v>310</v>
      </c>
      <c r="D18" s="19" t="n">
        <v>-130</v>
      </c>
      <c r="E18" s="19" t="n">
        <v>-150</v>
      </c>
      <c r="F18" s="14" t="n">
        <v>0</v>
      </c>
      <c r="G18" s="19" t="n">
        <v>-280</v>
      </c>
      <c r="H18" s="31" t="n">
        <v>10890</v>
      </c>
    </row>
    <row r="19">
      <c r="A19" s="12" t="inlineStr">
        <is>
          <t>M16</t>
        </is>
      </c>
      <c r="B19" s="17" t="n">
        <v>200</v>
      </c>
      <c r="C19" s="17" t="n">
        <v>310</v>
      </c>
      <c r="D19" s="21" t="n">
        <v>-110</v>
      </c>
      <c r="E19" s="21" t="n">
        <v>-100</v>
      </c>
      <c r="F19" s="17" t="n">
        <v>0</v>
      </c>
      <c r="G19" s="21" t="n">
        <v>-210</v>
      </c>
      <c r="H19" s="31" t="n">
        <v>10680</v>
      </c>
    </row>
    <row r="20">
      <c r="A20" s="10" t="inlineStr">
        <is>
          <t>M17</t>
        </is>
      </c>
      <c r="B20" s="14" t="n">
        <v>220</v>
      </c>
      <c r="C20" s="14" t="n">
        <v>320</v>
      </c>
      <c r="D20" s="19" t="n">
        <v>-100</v>
      </c>
      <c r="E20" s="19" t="n">
        <v>-100</v>
      </c>
      <c r="F20" s="14" t="n">
        <v>0</v>
      </c>
      <c r="G20" s="19" t="n">
        <v>-200</v>
      </c>
      <c r="H20" s="31" t="n">
        <v>10480</v>
      </c>
    </row>
    <row r="21">
      <c r="A21" s="12" t="inlineStr">
        <is>
          <t>M18</t>
        </is>
      </c>
      <c r="B21" s="17" t="n">
        <v>250</v>
      </c>
      <c r="C21" s="17" t="n">
        <v>320</v>
      </c>
      <c r="D21" s="21" t="n">
        <v>-70</v>
      </c>
      <c r="E21" s="21" t="n">
        <v>-100</v>
      </c>
      <c r="F21" s="21" t="n">
        <v>-2500</v>
      </c>
      <c r="G21" s="21" t="n">
        <v>-2670</v>
      </c>
      <c r="H21" s="31" t="n">
        <v>7810</v>
      </c>
    </row>
    <row r="22">
      <c r="A22" s="10" t="inlineStr">
        <is>
          <t>M19</t>
        </is>
      </c>
      <c r="B22" s="14" t="n">
        <v>280</v>
      </c>
      <c r="C22" s="14" t="n">
        <v>330</v>
      </c>
      <c r="D22" s="19" t="n">
        <v>-50</v>
      </c>
      <c r="E22" s="19" t="n">
        <v>-100</v>
      </c>
      <c r="F22" s="19" t="n">
        <v>-2500</v>
      </c>
      <c r="G22" s="19" t="n">
        <v>-2650</v>
      </c>
      <c r="H22" s="31" t="n">
        <v>5160</v>
      </c>
    </row>
    <row r="23">
      <c r="A23" s="12" t="inlineStr">
        <is>
          <t>M20</t>
        </is>
      </c>
      <c r="B23" s="17" t="n">
        <v>300</v>
      </c>
      <c r="C23" s="17" t="n">
        <v>330</v>
      </c>
      <c r="D23" s="21" t="n">
        <v>-30</v>
      </c>
      <c r="E23" s="21" t="n">
        <v>-100</v>
      </c>
      <c r="F23" s="21" t="n">
        <v>-2000</v>
      </c>
      <c r="G23" s="21" t="n">
        <v>-2130</v>
      </c>
      <c r="H23" s="31" t="n">
        <v>3030</v>
      </c>
    </row>
    <row r="24">
      <c r="A24" s="10" t="inlineStr">
        <is>
          <t>M21</t>
        </is>
      </c>
      <c r="B24" s="14" t="n">
        <v>320</v>
      </c>
      <c r="C24" s="14" t="n">
        <v>340</v>
      </c>
      <c r="D24" s="19" t="n">
        <v>-20</v>
      </c>
      <c r="E24" s="19" t="n">
        <v>-100</v>
      </c>
      <c r="F24" s="14" t="n">
        <v>0</v>
      </c>
      <c r="G24" s="19" t="n">
        <v>-120</v>
      </c>
      <c r="H24" s="31" t="n">
        <v>2910</v>
      </c>
    </row>
    <row r="25">
      <c r="A25" s="12" t="inlineStr">
        <is>
          <t>M22</t>
        </is>
      </c>
      <c r="B25" s="17" t="n">
        <v>340</v>
      </c>
      <c r="C25" s="17" t="n">
        <v>340</v>
      </c>
      <c r="D25" s="17" t="n">
        <v>0</v>
      </c>
      <c r="E25" s="21" t="n">
        <v>-100</v>
      </c>
      <c r="F25" s="17" t="n">
        <v>0</v>
      </c>
      <c r="G25" s="21" t="n">
        <v>-100</v>
      </c>
      <c r="H25" s="31" t="n">
        <v>2810</v>
      </c>
    </row>
    <row r="26">
      <c r="A26" s="10" t="inlineStr">
        <is>
          <t>M23</t>
        </is>
      </c>
      <c r="B26" s="14" t="n">
        <v>350</v>
      </c>
      <c r="C26" s="14" t="n">
        <v>340</v>
      </c>
      <c r="D26" s="14" t="n">
        <v>10</v>
      </c>
      <c r="E26" s="19" t="n">
        <v>-100</v>
      </c>
      <c r="F26" s="14" t="n">
        <v>0</v>
      </c>
      <c r="G26" s="19" t="n">
        <v>-90</v>
      </c>
      <c r="H26" s="31" t="n">
        <v>2720</v>
      </c>
    </row>
    <row r="27">
      <c r="A27" s="12" t="inlineStr">
        <is>
          <t>M24</t>
        </is>
      </c>
      <c r="B27" s="17" t="n">
        <v>350</v>
      </c>
      <c r="C27" s="17" t="n">
        <v>340</v>
      </c>
      <c r="D27" s="17" t="n">
        <v>10</v>
      </c>
      <c r="E27" s="21" t="n">
        <v>-50</v>
      </c>
      <c r="F27" s="17" t="n">
        <v>0</v>
      </c>
      <c r="G27" s="21" t="n">
        <v>-40</v>
      </c>
      <c r="H27" s="31" t="n">
        <v>2680</v>
      </c>
    </row>
    <row r="28">
      <c r="A28" s="10" t="inlineStr">
        <is>
          <t>M25</t>
        </is>
      </c>
      <c r="B28" s="14" t="n">
        <v>360</v>
      </c>
      <c r="C28" s="14" t="n">
        <v>340</v>
      </c>
      <c r="D28" s="14" t="n">
        <v>20</v>
      </c>
      <c r="E28" s="19" t="n">
        <v>-100</v>
      </c>
      <c r="F28" s="14" t="n">
        <v>0</v>
      </c>
      <c r="G28" s="19" t="n">
        <v>-80</v>
      </c>
      <c r="H28" s="31" t="n">
        <v>2600</v>
      </c>
    </row>
    <row r="29">
      <c r="A29" s="12" t="inlineStr">
        <is>
          <t>M26</t>
        </is>
      </c>
      <c r="B29" s="17" t="n">
        <v>380</v>
      </c>
      <c r="C29" s="17" t="n">
        <v>340</v>
      </c>
      <c r="D29" s="17" t="n">
        <v>40</v>
      </c>
      <c r="E29" s="21" t="n">
        <v>-100</v>
      </c>
      <c r="F29" s="17" t="n">
        <v>0</v>
      </c>
      <c r="G29" s="21" t="n">
        <v>-60</v>
      </c>
      <c r="H29" s="31" t="n">
        <v>2540</v>
      </c>
    </row>
    <row r="30">
      <c r="A30" s="10" t="inlineStr">
        <is>
          <t>M27</t>
        </is>
      </c>
      <c r="B30" s="14" t="n">
        <v>420</v>
      </c>
      <c r="C30" s="14" t="n">
        <v>350</v>
      </c>
      <c r="D30" s="14" t="n">
        <v>70</v>
      </c>
      <c r="E30" s="19" t="n">
        <v>-100</v>
      </c>
      <c r="F30" s="14" t="n">
        <v>0</v>
      </c>
      <c r="G30" s="19" t="n">
        <v>-30</v>
      </c>
      <c r="H30" s="31" t="n">
        <v>2510</v>
      </c>
    </row>
    <row r="31">
      <c r="A31" s="12" t="inlineStr">
        <is>
          <t>M28</t>
        </is>
      </c>
      <c r="B31" s="17" t="n">
        <v>450</v>
      </c>
      <c r="C31" s="17" t="n">
        <v>350</v>
      </c>
      <c r="D31" s="17" t="n">
        <v>100</v>
      </c>
      <c r="E31" s="21" t="n">
        <v>-100</v>
      </c>
      <c r="F31" s="17" t="n">
        <v>0</v>
      </c>
      <c r="G31" s="17" t="n">
        <v>0</v>
      </c>
      <c r="H31" s="31" t="n">
        <v>2510</v>
      </c>
    </row>
    <row r="32">
      <c r="A32" s="10" t="inlineStr">
        <is>
          <t>M29</t>
        </is>
      </c>
      <c r="B32" s="14" t="n">
        <v>480</v>
      </c>
      <c r="C32" s="14" t="n">
        <v>350</v>
      </c>
      <c r="D32" s="14" t="n">
        <v>130</v>
      </c>
      <c r="E32" s="19" t="n">
        <v>-100</v>
      </c>
      <c r="F32" s="14" t="n">
        <v>0</v>
      </c>
      <c r="G32" s="14" t="n">
        <v>30</v>
      </c>
      <c r="H32" s="31" t="n">
        <v>2540</v>
      </c>
    </row>
    <row r="33">
      <c r="A33" s="12" t="inlineStr">
        <is>
          <t>M30</t>
        </is>
      </c>
      <c r="B33" s="17" t="n">
        <v>510</v>
      </c>
      <c r="C33" s="17" t="n">
        <v>350</v>
      </c>
      <c r="D33" s="17" t="n">
        <v>160</v>
      </c>
      <c r="E33" s="21" t="n">
        <v>-100</v>
      </c>
      <c r="F33" s="21" t="n">
        <v>-1500</v>
      </c>
      <c r="G33" s="21" t="n">
        <v>-1440</v>
      </c>
      <c r="H33" s="31" t="n">
        <v>1100</v>
      </c>
    </row>
    <row r="34">
      <c r="A34" s="10" t="inlineStr">
        <is>
          <t>M31</t>
        </is>
      </c>
      <c r="B34" s="14" t="n">
        <v>550</v>
      </c>
      <c r="C34" s="14" t="n">
        <v>360</v>
      </c>
      <c r="D34" s="14" t="n">
        <v>190</v>
      </c>
      <c r="E34" s="19" t="n">
        <v>-100</v>
      </c>
      <c r="F34" s="19" t="n">
        <v>-1500</v>
      </c>
      <c r="G34" s="19" t="n">
        <v>-1410</v>
      </c>
      <c r="H34" s="33" t="n">
        <v>-310</v>
      </c>
    </row>
    <row r="35">
      <c r="A35" s="12" t="inlineStr">
        <is>
          <t>M32</t>
        </is>
      </c>
      <c r="B35" s="17" t="n">
        <v>580</v>
      </c>
      <c r="C35" s="17" t="n">
        <v>360</v>
      </c>
      <c r="D35" s="17" t="n">
        <v>220</v>
      </c>
      <c r="E35" s="21" t="n">
        <v>-50</v>
      </c>
      <c r="F35" s="17" t="n">
        <v>0</v>
      </c>
      <c r="G35" s="17" t="n">
        <v>170</v>
      </c>
      <c r="H35" s="33" t="n">
        <v>-140</v>
      </c>
    </row>
    <row r="36">
      <c r="A36" s="10" t="inlineStr">
        <is>
          <t>M33</t>
        </is>
      </c>
      <c r="B36" s="14" t="n">
        <v>610</v>
      </c>
      <c r="C36" s="14" t="n">
        <v>360</v>
      </c>
      <c r="D36" s="14" t="n">
        <v>250</v>
      </c>
      <c r="E36" s="19" t="n">
        <v>-50</v>
      </c>
      <c r="F36" s="14" t="n">
        <v>0</v>
      </c>
      <c r="G36" s="14" t="n">
        <v>200</v>
      </c>
      <c r="H36" s="31" t="n">
        <v>60</v>
      </c>
    </row>
    <row r="37">
      <c r="A37" s="12" t="inlineStr">
        <is>
          <t>M34</t>
        </is>
      </c>
      <c r="B37" s="17" t="n">
        <v>640</v>
      </c>
      <c r="C37" s="17" t="n">
        <v>360</v>
      </c>
      <c r="D37" s="17" t="n">
        <v>280</v>
      </c>
      <c r="E37" s="21" t="n">
        <v>-50</v>
      </c>
      <c r="F37" s="17" t="n">
        <v>0</v>
      </c>
      <c r="G37" s="17" t="n">
        <v>230</v>
      </c>
      <c r="H37" s="31" t="n">
        <v>290</v>
      </c>
    </row>
    <row r="38">
      <c r="A38" s="10" t="inlineStr">
        <is>
          <t>M35</t>
        </is>
      </c>
      <c r="B38" s="14" t="n">
        <v>660</v>
      </c>
      <c r="C38" s="14" t="n">
        <v>360</v>
      </c>
      <c r="D38" s="14" t="n">
        <v>300</v>
      </c>
      <c r="E38" s="19" t="n">
        <v>-25</v>
      </c>
      <c r="F38" s="14" t="n">
        <v>0</v>
      </c>
      <c r="G38" s="14" t="n">
        <v>275</v>
      </c>
      <c r="H38" s="31" t="n">
        <v>565</v>
      </c>
    </row>
    <row r="39">
      <c r="A39" s="12" t="inlineStr">
        <is>
          <t>M36</t>
        </is>
      </c>
      <c r="B39" s="17" t="n">
        <v>670</v>
      </c>
      <c r="C39" s="17" t="n">
        <v>360</v>
      </c>
      <c r="D39" s="17" t="n">
        <v>310</v>
      </c>
      <c r="E39" s="21" t="n">
        <v>-25</v>
      </c>
      <c r="F39" s="17" t="n">
        <v>0</v>
      </c>
      <c r="G39" s="17" t="n">
        <v>285</v>
      </c>
      <c r="H39" s="31" t="n">
        <v>850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4" t="inlineStr">
        <is>
          <t>月度入驻爬坡（链主 + 生态）</t>
        </is>
      </c>
    </row>
    <row r="3">
      <c r="A3" s="8" t="inlineStr">
        <is>
          <t>月份</t>
        </is>
      </c>
      <c r="B3" s="8" t="inlineStr">
        <is>
          <t>链主签约 (累计)</t>
        </is>
      </c>
      <c r="C3" s="8" t="inlineStr">
        <is>
          <t>生态签约 (累计)</t>
        </is>
      </c>
      <c r="D3" s="8" t="inlineStr">
        <is>
          <t>签约面积 (㎡)</t>
        </is>
      </c>
      <c r="E3" s="8" t="inlineStr">
        <is>
          <t>入驻面积 (㎡)</t>
        </is>
      </c>
      <c r="F3" s="8" t="inlineStr">
        <is>
          <t>入驻率 %</t>
        </is>
      </c>
      <c r="G3" s="8" t="inlineStr">
        <is>
          <t>续约率 %</t>
        </is>
      </c>
    </row>
    <row r="4">
      <c r="A4" s="10" t="inlineStr">
        <is>
          <t>M1</t>
        </is>
      </c>
      <c r="B4" s="34" t="n">
        <v>0</v>
      </c>
      <c r="C4" s="34" t="n">
        <v>0</v>
      </c>
      <c r="D4" s="34" t="n">
        <v>0</v>
      </c>
      <c r="E4" s="34" t="n">
        <v>0</v>
      </c>
      <c r="F4" s="35" t="n">
        <v>0</v>
      </c>
      <c r="G4" s="35" t="n">
        <v>50</v>
      </c>
    </row>
    <row r="5">
      <c r="A5" s="12" t="inlineStr">
        <is>
          <t>M2</t>
        </is>
      </c>
      <c r="B5" s="36" t="n">
        <v>0</v>
      </c>
      <c r="C5" s="36" t="n">
        <v>1</v>
      </c>
      <c r="D5" s="36" t="n">
        <v>200</v>
      </c>
      <c r="E5" s="36" t="n">
        <v>0</v>
      </c>
      <c r="F5" s="37" t="n">
        <v>0</v>
      </c>
      <c r="G5" s="37" t="n">
        <v>51.4</v>
      </c>
    </row>
    <row r="6">
      <c r="A6" s="10" t="inlineStr">
        <is>
          <t>M3</t>
        </is>
      </c>
      <c r="B6" s="34" t="n">
        <v>0</v>
      </c>
      <c r="C6" s="34" t="n">
        <v>2</v>
      </c>
      <c r="D6" s="34" t="n">
        <v>500</v>
      </c>
      <c r="E6" s="34" t="n">
        <v>0</v>
      </c>
      <c r="F6" s="35" t="n">
        <v>0</v>
      </c>
      <c r="G6" s="35" t="n">
        <v>52.8</v>
      </c>
    </row>
    <row r="7">
      <c r="A7" s="12" t="inlineStr">
        <is>
          <t>M4</t>
        </is>
      </c>
      <c r="B7" s="36" t="n">
        <v>0</v>
      </c>
      <c r="C7" s="36" t="n">
        <v>3</v>
      </c>
      <c r="D7" s="36" t="n">
        <v>800</v>
      </c>
      <c r="E7" s="36" t="n">
        <v>200</v>
      </c>
      <c r="F7" s="37" t="n">
        <v>2.4</v>
      </c>
      <c r="G7" s="37" t="n">
        <v>54.2</v>
      </c>
    </row>
    <row r="8">
      <c r="A8" s="10" t="inlineStr">
        <is>
          <t>M5</t>
        </is>
      </c>
      <c r="B8" s="34" t="n">
        <v>0</v>
      </c>
      <c r="C8" s="34" t="n">
        <v>4</v>
      </c>
      <c r="D8" s="34" t="n">
        <v>1200</v>
      </c>
      <c r="E8" s="34" t="n">
        <v>400</v>
      </c>
      <c r="F8" s="35" t="n">
        <v>4.8</v>
      </c>
      <c r="G8" s="35" t="n">
        <v>55.6</v>
      </c>
    </row>
    <row r="9">
      <c r="A9" s="12" t="inlineStr">
        <is>
          <t>M6</t>
        </is>
      </c>
      <c r="B9" s="36" t="n">
        <v>0</v>
      </c>
      <c r="C9" s="36" t="n">
        <v>5</v>
      </c>
      <c r="D9" s="36" t="n">
        <v>1500</v>
      </c>
      <c r="E9" s="36" t="n">
        <v>600</v>
      </c>
      <c r="F9" s="37" t="n">
        <v>7.2</v>
      </c>
      <c r="G9" s="37" t="n">
        <v>57</v>
      </c>
    </row>
    <row r="10">
      <c r="A10" s="10" t="inlineStr">
        <is>
          <t>M7</t>
        </is>
      </c>
      <c r="B10" s="34" t="n">
        <v>0</v>
      </c>
      <c r="C10" s="34" t="n">
        <v>6</v>
      </c>
      <c r="D10" s="34" t="n">
        <v>1800</v>
      </c>
      <c r="E10" s="34" t="n">
        <v>900</v>
      </c>
      <c r="F10" s="35" t="n">
        <v>10.8</v>
      </c>
      <c r="G10" s="35" t="n">
        <v>58.4</v>
      </c>
    </row>
    <row r="11">
      <c r="A11" s="12" t="inlineStr">
        <is>
          <t>M8</t>
        </is>
      </c>
      <c r="B11" s="36" t="n">
        <v>0</v>
      </c>
      <c r="C11" s="36" t="n">
        <v>7</v>
      </c>
      <c r="D11" s="36" t="n">
        <v>2100</v>
      </c>
      <c r="E11" s="36" t="n">
        <v>1100</v>
      </c>
      <c r="F11" s="37" t="n">
        <v>13.3</v>
      </c>
      <c r="G11" s="37" t="n">
        <v>59.8</v>
      </c>
    </row>
    <row r="12">
      <c r="A12" s="10" t="inlineStr">
        <is>
          <t>M9</t>
        </is>
      </c>
      <c r="B12" s="34" t="n">
        <v>0</v>
      </c>
      <c r="C12" s="34" t="n">
        <v>8</v>
      </c>
      <c r="D12" s="34" t="n">
        <v>2400</v>
      </c>
      <c r="E12" s="34" t="n">
        <v>1500</v>
      </c>
      <c r="F12" s="35" t="n">
        <v>18.1</v>
      </c>
      <c r="G12" s="35" t="n">
        <v>61.2</v>
      </c>
    </row>
    <row r="13">
      <c r="A13" s="12" t="inlineStr">
        <is>
          <t>M10</t>
        </is>
      </c>
      <c r="B13" s="36" t="n">
        <v>0</v>
      </c>
      <c r="C13" s="36" t="n">
        <v>9</v>
      </c>
      <c r="D13" s="36" t="n">
        <v>2700</v>
      </c>
      <c r="E13" s="36" t="n">
        <v>1800</v>
      </c>
      <c r="F13" s="37" t="n">
        <v>21.7</v>
      </c>
      <c r="G13" s="37" t="n">
        <v>62.6</v>
      </c>
    </row>
    <row r="14">
      <c r="A14" s="10" t="inlineStr">
        <is>
          <t>M11</t>
        </is>
      </c>
      <c r="B14" s="34" t="n">
        <v>0</v>
      </c>
      <c r="C14" s="34" t="n">
        <v>10</v>
      </c>
      <c r="D14" s="34" t="n">
        <v>2900</v>
      </c>
      <c r="E14" s="34" t="n">
        <v>2200</v>
      </c>
      <c r="F14" s="35" t="n">
        <v>26.5</v>
      </c>
      <c r="G14" s="35" t="n">
        <v>64</v>
      </c>
    </row>
    <row r="15">
      <c r="A15" s="12" t="inlineStr">
        <is>
          <t>M12</t>
        </is>
      </c>
      <c r="B15" s="36" t="n">
        <v>0</v>
      </c>
      <c r="C15" s="36" t="n">
        <v>11</v>
      </c>
      <c r="D15" s="36" t="n">
        <v>2905</v>
      </c>
      <c r="E15" s="36" t="n">
        <v>2600</v>
      </c>
      <c r="F15" s="37" t="n">
        <v>31.3</v>
      </c>
      <c r="G15" s="37" t="n">
        <v>65.40000000000001</v>
      </c>
    </row>
    <row r="16">
      <c r="A16" s="10" t="inlineStr">
        <is>
          <t>M13</t>
        </is>
      </c>
      <c r="B16" s="34" t="n">
        <v>0</v>
      </c>
      <c r="C16" s="34" t="n">
        <v>12</v>
      </c>
      <c r="D16" s="34" t="n">
        <v>3200</v>
      </c>
      <c r="E16" s="34" t="n">
        <v>3000</v>
      </c>
      <c r="F16" s="35" t="n">
        <v>36.1</v>
      </c>
      <c r="G16" s="35" t="n">
        <v>66.8</v>
      </c>
    </row>
    <row r="17">
      <c r="A17" s="12" t="inlineStr">
        <is>
          <t>M14</t>
        </is>
      </c>
      <c r="B17" s="36" t="n">
        <v>0</v>
      </c>
      <c r="C17" s="36" t="n">
        <v>13</v>
      </c>
      <c r="D17" s="36" t="n">
        <v>3500</v>
      </c>
      <c r="E17" s="36" t="n">
        <v>3300</v>
      </c>
      <c r="F17" s="37" t="n">
        <v>39.8</v>
      </c>
      <c r="G17" s="37" t="n">
        <v>68.2</v>
      </c>
    </row>
    <row r="18">
      <c r="A18" s="10" t="inlineStr">
        <is>
          <t>M15</t>
        </is>
      </c>
      <c r="B18" s="34" t="n">
        <v>1</v>
      </c>
      <c r="C18" s="34" t="n">
        <v>14</v>
      </c>
      <c r="D18" s="34" t="n">
        <v>5500</v>
      </c>
      <c r="E18" s="34" t="n">
        <v>4000</v>
      </c>
      <c r="F18" s="35" t="n">
        <v>48.2</v>
      </c>
      <c r="G18" s="35" t="n">
        <v>69.59999999999999</v>
      </c>
    </row>
    <row r="19">
      <c r="A19" s="12" t="inlineStr">
        <is>
          <t>M16</t>
        </is>
      </c>
      <c r="B19" s="36" t="n">
        <v>1</v>
      </c>
      <c r="C19" s="36" t="n">
        <v>15</v>
      </c>
      <c r="D19" s="36" t="n">
        <v>5700</v>
      </c>
      <c r="E19" s="36" t="n">
        <v>4500</v>
      </c>
      <c r="F19" s="37" t="n">
        <v>54.2</v>
      </c>
      <c r="G19" s="37" t="n">
        <v>71</v>
      </c>
    </row>
    <row r="20">
      <c r="A20" s="10" t="inlineStr">
        <is>
          <t>M17</t>
        </is>
      </c>
      <c r="B20" s="34" t="n">
        <v>1</v>
      </c>
      <c r="C20" s="34" t="n">
        <v>16</v>
      </c>
      <c r="D20" s="34" t="n">
        <v>5800</v>
      </c>
      <c r="E20" s="34" t="n">
        <v>4900</v>
      </c>
      <c r="F20" s="35" t="n">
        <v>59</v>
      </c>
      <c r="G20" s="35" t="n">
        <v>72.40000000000001</v>
      </c>
    </row>
    <row r="21">
      <c r="A21" s="12" t="inlineStr">
        <is>
          <t>M18</t>
        </is>
      </c>
      <c r="B21" s="36" t="n">
        <v>1</v>
      </c>
      <c r="C21" s="36" t="n">
        <v>17</v>
      </c>
      <c r="D21" s="36" t="n">
        <v>5900</v>
      </c>
      <c r="E21" s="36" t="n">
        <v>5200</v>
      </c>
      <c r="F21" s="37" t="n">
        <v>62.7</v>
      </c>
      <c r="G21" s="37" t="n">
        <v>73.8</v>
      </c>
    </row>
    <row r="22">
      <c r="A22" s="10" t="inlineStr">
        <is>
          <t>M19</t>
        </is>
      </c>
      <c r="B22" s="34" t="n">
        <v>1</v>
      </c>
      <c r="C22" s="34" t="n">
        <v>18</v>
      </c>
      <c r="D22" s="34" t="n">
        <v>6000</v>
      </c>
      <c r="E22" s="34" t="n">
        <v>5400</v>
      </c>
      <c r="F22" s="35" t="n">
        <v>65.09999999999999</v>
      </c>
      <c r="G22" s="35" t="n">
        <v>75.2</v>
      </c>
    </row>
    <row r="23">
      <c r="A23" s="12" t="inlineStr">
        <is>
          <t>M20</t>
        </is>
      </c>
      <c r="B23" s="36" t="n">
        <v>1</v>
      </c>
      <c r="C23" s="36" t="n">
        <v>19</v>
      </c>
      <c r="D23" s="36" t="n">
        <v>6100</v>
      </c>
      <c r="E23" s="36" t="n">
        <v>5500</v>
      </c>
      <c r="F23" s="37" t="n">
        <v>66.3</v>
      </c>
      <c r="G23" s="37" t="n">
        <v>76.59999999999999</v>
      </c>
    </row>
    <row r="24">
      <c r="A24" s="10" t="inlineStr">
        <is>
          <t>M21</t>
        </is>
      </c>
      <c r="B24" s="34" t="n">
        <v>1</v>
      </c>
      <c r="C24" s="34" t="n">
        <v>20</v>
      </c>
      <c r="D24" s="34" t="n">
        <v>6200</v>
      </c>
      <c r="E24" s="34" t="n">
        <v>5600</v>
      </c>
      <c r="F24" s="35" t="n">
        <v>67.5</v>
      </c>
      <c r="G24" s="35" t="n">
        <v>78</v>
      </c>
    </row>
    <row r="25">
      <c r="A25" s="12" t="inlineStr">
        <is>
          <t>M22</t>
        </is>
      </c>
      <c r="B25" s="36" t="n">
        <v>1</v>
      </c>
      <c r="C25" s="36" t="n">
        <v>21</v>
      </c>
      <c r="D25" s="36" t="n">
        <v>6300</v>
      </c>
      <c r="E25" s="36" t="n">
        <v>5700</v>
      </c>
      <c r="F25" s="37" t="n">
        <v>68.7</v>
      </c>
      <c r="G25" s="37" t="n">
        <v>79.40000000000001</v>
      </c>
    </row>
    <row r="26">
      <c r="A26" s="10" t="inlineStr">
        <is>
          <t>M23</t>
        </is>
      </c>
      <c r="B26" s="34" t="n">
        <v>1</v>
      </c>
      <c r="C26" s="34" t="n">
        <v>22</v>
      </c>
      <c r="D26" s="34" t="n">
        <v>6400</v>
      </c>
      <c r="E26" s="34" t="n">
        <v>5800</v>
      </c>
      <c r="F26" s="35" t="n">
        <v>69.90000000000001</v>
      </c>
      <c r="G26" s="35" t="n">
        <v>80.8</v>
      </c>
    </row>
    <row r="27">
      <c r="A27" s="12" t="inlineStr">
        <is>
          <t>M24</t>
        </is>
      </c>
      <c r="B27" s="36" t="n">
        <v>1</v>
      </c>
      <c r="C27" s="36" t="n">
        <v>23</v>
      </c>
      <c r="D27" s="36" t="n">
        <v>6450</v>
      </c>
      <c r="E27" s="36" t="n">
        <v>5900</v>
      </c>
      <c r="F27" s="37" t="n">
        <v>71.09999999999999</v>
      </c>
      <c r="G27" s="37" t="n">
        <v>82.2</v>
      </c>
    </row>
    <row r="28">
      <c r="A28" s="10" t="inlineStr">
        <is>
          <t>M25</t>
        </is>
      </c>
      <c r="B28" s="34" t="n">
        <v>1</v>
      </c>
      <c r="C28" s="34" t="n">
        <v>24</v>
      </c>
      <c r="D28" s="34" t="n">
        <v>6500</v>
      </c>
      <c r="E28" s="34" t="n">
        <v>6000</v>
      </c>
      <c r="F28" s="35" t="n">
        <v>72.3</v>
      </c>
      <c r="G28" s="35" t="n">
        <v>83.59999999999999</v>
      </c>
    </row>
    <row r="29">
      <c r="A29" s="12" t="inlineStr">
        <is>
          <t>M26</t>
        </is>
      </c>
      <c r="B29" s="36" t="n">
        <v>1</v>
      </c>
      <c r="C29" s="36" t="n">
        <v>25</v>
      </c>
      <c r="D29" s="36" t="n">
        <v>6600</v>
      </c>
      <c r="E29" s="36" t="n">
        <v>6200</v>
      </c>
      <c r="F29" s="37" t="n">
        <v>74.7</v>
      </c>
      <c r="G29" s="37" t="n">
        <v>85</v>
      </c>
    </row>
    <row r="30">
      <c r="A30" s="10" t="inlineStr">
        <is>
          <t>M27</t>
        </is>
      </c>
      <c r="B30" s="34" t="n">
        <v>1</v>
      </c>
      <c r="C30" s="34" t="n">
        <v>26</v>
      </c>
      <c r="D30" s="34" t="n">
        <v>6700</v>
      </c>
      <c r="E30" s="34" t="n">
        <v>6300</v>
      </c>
      <c r="F30" s="35" t="n">
        <v>75.90000000000001</v>
      </c>
      <c r="G30" s="35" t="n">
        <v>86.40000000000001</v>
      </c>
    </row>
    <row r="31">
      <c r="A31" s="12" t="inlineStr">
        <is>
          <t>M28</t>
        </is>
      </c>
      <c r="B31" s="36" t="n">
        <v>1</v>
      </c>
      <c r="C31" s="36" t="n">
        <v>27</v>
      </c>
      <c r="D31" s="36" t="n">
        <v>6800</v>
      </c>
      <c r="E31" s="36" t="n">
        <v>6500</v>
      </c>
      <c r="F31" s="37" t="n">
        <v>78.3</v>
      </c>
      <c r="G31" s="37" t="n">
        <v>87.8</v>
      </c>
    </row>
    <row r="32">
      <c r="A32" s="10" t="inlineStr">
        <is>
          <t>M29</t>
        </is>
      </c>
      <c r="B32" s="34" t="n">
        <v>2</v>
      </c>
      <c r="C32" s="34" t="n">
        <v>28</v>
      </c>
      <c r="D32" s="34" t="n">
        <v>8500</v>
      </c>
      <c r="E32" s="34" t="n">
        <v>7000</v>
      </c>
      <c r="F32" s="35" t="n">
        <v>84.3</v>
      </c>
      <c r="G32" s="35" t="n">
        <v>89.2</v>
      </c>
    </row>
    <row r="33">
      <c r="A33" s="12" t="inlineStr">
        <is>
          <t>M30</t>
        </is>
      </c>
      <c r="B33" s="36" t="n">
        <v>2</v>
      </c>
      <c r="C33" s="36" t="n">
        <v>29</v>
      </c>
      <c r="D33" s="36" t="n">
        <v>8600</v>
      </c>
      <c r="E33" s="36" t="n">
        <v>7200</v>
      </c>
      <c r="F33" s="37" t="n">
        <v>86.7</v>
      </c>
      <c r="G33" s="37" t="n">
        <v>90.59999999999999</v>
      </c>
    </row>
    <row r="34">
      <c r="A34" s="10" t="inlineStr">
        <is>
          <t>M31</t>
        </is>
      </c>
      <c r="B34" s="34" t="n">
        <v>2</v>
      </c>
      <c r="C34" s="34" t="n">
        <v>30</v>
      </c>
      <c r="D34" s="34" t="n">
        <v>8650</v>
      </c>
      <c r="E34" s="34" t="n">
        <v>7400</v>
      </c>
      <c r="F34" s="35" t="n">
        <v>89.2</v>
      </c>
      <c r="G34" s="35" t="n">
        <v>92</v>
      </c>
    </row>
    <row r="35">
      <c r="A35" s="12" t="inlineStr">
        <is>
          <t>M32</t>
        </is>
      </c>
      <c r="B35" s="36" t="n">
        <v>2</v>
      </c>
      <c r="C35" s="36" t="n">
        <v>31</v>
      </c>
      <c r="D35" s="36" t="n">
        <v>8700</v>
      </c>
      <c r="E35" s="36" t="n">
        <v>7500</v>
      </c>
      <c r="F35" s="37" t="n">
        <v>90.40000000000001</v>
      </c>
      <c r="G35" s="37" t="n">
        <v>93.40000000000001</v>
      </c>
    </row>
    <row r="36">
      <c r="A36" s="10" t="inlineStr">
        <is>
          <t>M33</t>
        </is>
      </c>
      <c r="B36" s="34" t="n">
        <v>2</v>
      </c>
      <c r="C36" s="34" t="n">
        <v>32</v>
      </c>
      <c r="D36" s="34" t="n">
        <v>8750</v>
      </c>
      <c r="E36" s="34" t="n">
        <v>7600</v>
      </c>
      <c r="F36" s="35" t="n">
        <v>91.59999999999999</v>
      </c>
      <c r="G36" s="35" t="n">
        <v>94.8</v>
      </c>
    </row>
    <row r="37">
      <c r="A37" s="12" t="inlineStr">
        <is>
          <t>M34</t>
        </is>
      </c>
      <c r="B37" s="36" t="n">
        <v>2</v>
      </c>
      <c r="C37" s="36" t="n">
        <v>33</v>
      </c>
      <c r="D37" s="36" t="n">
        <v>8800</v>
      </c>
      <c r="E37" s="36" t="n">
        <v>7650</v>
      </c>
      <c r="F37" s="37" t="n">
        <v>92.2</v>
      </c>
      <c r="G37" s="37" t="n">
        <v>95</v>
      </c>
    </row>
    <row r="38">
      <c r="A38" s="10" t="inlineStr">
        <is>
          <t>M35</t>
        </is>
      </c>
      <c r="B38" s="34" t="n">
        <v>2</v>
      </c>
      <c r="C38" s="34" t="n">
        <v>34</v>
      </c>
      <c r="D38" s="34" t="n">
        <v>8830</v>
      </c>
      <c r="E38" s="34" t="n">
        <v>7700</v>
      </c>
      <c r="F38" s="35" t="n">
        <v>92.8</v>
      </c>
      <c r="G38" s="35" t="n">
        <v>95</v>
      </c>
    </row>
    <row r="39">
      <c r="A39" s="12" t="inlineStr">
        <is>
          <t>M36</t>
        </is>
      </c>
      <c r="B39" s="36" t="n">
        <v>3</v>
      </c>
      <c r="C39" s="36" t="n">
        <v>35</v>
      </c>
      <c r="D39" s="36" t="n">
        <v>8830</v>
      </c>
      <c r="E39" s="36" t="n">
        <v>7700</v>
      </c>
      <c r="F39" s="37" t="n">
        <v>92.8</v>
      </c>
      <c r="G39" s="37" t="n">
        <v>95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Y3 EBITDA 敏感性分析（万元）</t>
        </is>
      </c>
    </row>
    <row r="3">
      <c r="A3" s="5" t="inlineStr">
        <is>
          <t>一、单变量敏感性</t>
        </is>
      </c>
      <c r="B3" s="6" t="n"/>
      <c r="C3" s="6" t="n"/>
      <c r="D3" s="6" t="n"/>
      <c r="E3" s="6" t="n"/>
      <c r="F3" s="6" t="n"/>
      <c r="G3" s="7" t="n"/>
    </row>
    <row r="4">
      <c r="A4" s="26" t="inlineStr">
        <is>
          <t>变量</t>
        </is>
      </c>
      <c r="B4" s="26" t="inlineStr">
        <is>
          <t>−20%</t>
        </is>
      </c>
      <c r="C4" s="26" t="inlineStr">
        <is>
          <t>−10%</t>
        </is>
      </c>
      <c r="D4" s="26" t="inlineStr">
        <is>
          <t>基准</t>
        </is>
      </c>
      <c r="E4" s="26" t="inlineStr">
        <is>
          <t>+10%</t>
        </is>
      </c>
      <c r="F4" s="26" t="inlineStr">
        <is>
          <t>+20%</t>
        </is>
      </c>
      <c r="G4" s="26" t="inlineStr">
        <is>
          <t>Y3 EBITDA 弹性</t>
        </is>
      </c>
    </row>
    <row r="5">
      <c r="A5" s="16" t="inlineStr">
        <is>
          <t>入驻率</t>
        </is>
      </c>
      <c r="B5" s="21" t="n">
        <v>-1690</v>
      </c>
      <c r="C5" s="21" t="n">
        <v>-480</v>
      </c>
      <c r="D5" s="38" t="n">
        <v>1368</v>
      </c>
      <c r="E5" s="39" t="n">
        <v>220</v>
      </c>
      <c r="F5" s="39" t="n">
        <v>220</v>
      </c>
      <c r="G5" s="16" t="inlineStr">
        <is>
          <t>高（92% 已接近上限）</t>
        </is>
      </c>
    </row>
    <row r="6">
      <c r="A6" s="13" t="inlineStr">
        <is>
          <t>平均租金</t>
        </is>
      </c>
      <c r="B6" s="19" t="n">
        <v>-2810</v>
      </c>
      <c r="C6" s="19" t="n">
        <v>-210</v>
      </c>
      <c r="D6" s="38" t="n">
        <v>1368</v>
      </c>
      <c r="E6" s="40" t="n">
        <v>210</v>
      </c>
      <c r="F6" s="40" t="n">
        <v>1180</v>
      </c>
      <c r="G6" s="13" t="inlineStr">
        <is>
          <t>中</t>
        </is>
      </c>
    </row>
    <row r="7">
      <c r="A7" s="16" t="inlineStr">
        <is>
          <t>政策返还兑现率</t>
        </is>
      </c>
      <c r="B7" s="21" t="n">
        <v>-1820</v>
      </c>
      <c r="C7" s="21" t="n">
        <v>-450</v>
      </c>
      <c r="D7" s="38" t="n">
        <v>1368</v>
      </c>
      <c r="E7" s="17" t="n">
        <v>0</v>
      </c>
      <c r="F7" s="17" t="n">
        <v>0</v>
      </c>
      <c r="G7" s="16" t="inlineStr">
        <is>
          <t>中</t>
        </is>
      </c>
    </row>
    <row r="8">
      <c r="A8" s="13" t="inlineStr">
        <is>
          <t>冠名/服务/后市场</t>
        </is>
      </c>
      <c r="B8" s="19" t="n">
        <v>-1680</v>
      </c>
      <c r="C8" s="19" t="n">
        <v>-420</v>
      </c>
      <c r="D8" s="38" t="n">
        <v>1368</v>
      </c>
      <c r="E8" s="40" t="n">
        <v>420</v>
      </c>
      <c r="F8" s="40" t="n">
        <v>1180</v>
      </c>
      <c r="G8" s="13" t="inlineStr">
        <is>
          <t>中</t>
        </is>
      </c>
    </row>
    <row r="9">
      <c r="A9" s="16" t="inlineStr">
        <is>
          <t>团队人力</t>
        </is>
      </c>
      <c r="B9" s="39" t="n">
        <v>220</v>
      </c>
      <c r="C9" s="39" t="n">
        <v>110</v>
      </c>
      <c r="D9" s="38" t="n">
        <v>1368</v>
      </c>
      <c r="E9" s="21" t="n">
        <v>-110</v>
      </c>
      <c r="F9" s="21" t="n">
        <v>-220</v>
      </c>
      <c r="G9" s="16" t="inlineStr">
        <is>
          <t>低</t>
        </is>
      </c>
    </row>
    <row r="10">
      <c r="A10" s="13" t="inlineStr">
        <is>
          <t>装补摊销</t>
        </is>
      </c>
      <c r="B10" s="40" t="n">
        <v>90</v>
      </c>
      <c r="C10" s="40" t="n">
        <v>45</v>
      </c>
      <c r="D10" s="38" t="n">
        <v>1368</v>
      </c>
      <c r="E10" s="19" t="n">
        <v>-45</v>
      </c>
      <c r="F10" s="19" t="n">
        <v>-90</v>
      </c>
      <c r="G10" s="13" t="inlineStr">
        <is>
          <t>低</t>
        </is>
      </c>
    </row>
    <row r="11">
      <c r="A11" s="16" t="inlineStr">
        <is>
          <t>利息净额</t>
        </is>
      </c>
      <c r="B11" s="39" t="n">
        <v>104</v>
      </c>
      <c r="C11" s="39" t="n">
        <v>52</v>
      </c>
      <c r="D11" s="38" t="n">
        <v>1368</v>
      </c>
      <c r="E11" s="21" t="n">
        <v>-52</v>
      </c>
      <c r="F11" s="21" t="n">
        <v>-104</v>
      </c>
      <c r="G11" s="16" t="inlineStr">
        <is>
          <t>低</t>
        </is>
      </c>
    </row>
    <row r="14">
      <c r="A14" s="5" t="inlineStr">
        <is>
          <t>二、双变量矩阵：入驻率 × 平均租金 → Y3 EBITDA</t>
        </is>
      </c>
      <c r="B14" s="6" t="n"/>
      <c r="C14" s="6" t="n"/>
      <c r="D14" s="6" t="n"/>
      <c r="E14" s="6" t="n"/>
      <c r="F14" s="6" t="n"/>
      <c r="G14" s="7" t="n"/>
    </row>
    <row r="15">
      <c r="A15" s="26" t="inlineStr">
        <is>
          <t>入驻率 \ 租金</t>
        </is>
      </c>
      <c r="B15" s="26" t="inlineStr">
        <is>
          <t>5.8 元</t>
        </is>
      </c>
      <c r="C15" s="26" t="inlineStr">
        <is>
          <t>6.5 元</t>
        </is>
      </c>
      <c r="D15" s="26" t="inlineStr">
        <is>
          <t>7.0 元</t>
        </is>
      </c>
      <c r="E15" s="26" t="inlineStr">
        <is>
          <t>7.5 元</t>
        </is>
      </c>
      <c r="F15" s="26" t="inlineStr">
        <is>
          <t>8.0 元</t>
        </is>
      </c>
      <c r="G15" s="26" t="inlineStr">
        <is>
          <t>8.5 元</t>
        </is>
      </c>
    </row>
    <row r="16">
      <c r="A16" s="26" t="inlineStr">
        <is>
          <t>70%</t>
        </is>
      </c>
      <c r="B16" s="41" t="n">
        <v>-420</v>
      </c>
      <c r="C16" s="41" t="n">
        <v>-271</v>
      </c>
      <c r="D16" s="41" t="n">
        <v>-165</v>
      </c>
      <c r="E16" s="41" t="n">
        <v>-59</v>
      </c>
      <c r="F16" s="42" t="n">
        <v>47</v>
      </c>
      <c r="G16" s="42" t="n">
        <v>153</v>
      </c>
    </row>
    <row r="17">
      <c r="A17" s="26" t="inlineStr">
        <is>
          <t>80%</t>
        </is>
      </c>
      <c r="B17" s="41" t="n">
        <v>-68</v>
      </c>
      <c r="C17" s="42" t="n">
        <v>101</v>
      </c>
      <c r="D17" s="42" t="n">
        <v>223</v>
      </c>
      <c r="E17" s="42" t="n">
        <v>344</v>
      </c>
      <c r="F17" s="42" t="n">
        <v>465</v>
      </c>
      <c r="G17" s="42" t="n">
        <v>586</v>
      </c>
    </row>
    <row r="18">
      <c r="A18" s="26" t="inlineStr">
        <is>
          <t>85%</t>
        </is>
      </c>
      <c r="B18" s="42" t="n">
        <v>108</v>
      </c>
      <c r="C18" s="42" t="n">
        <v>288</v>
      </c>
      <c r="D18" s="42" t="n">
        <v>417</v>
      </c>
      <c r="E18" s="42" t="n">
        <v>545</v>
      </c>
      <c r="F18" s="42" t="n">
        <v>674</v>
      </c>
      <c r="G18" s="42" t="n">
        <v>803</v>
      </c>
    </row>
    <row r="19">
      <c r="A19" s="26" t="inlineStr">
        <is>
          <t>92%</t>
        </is>
      </c>
      <c r="B19" s="42" t="n">
        <v>354</v>
      </c>
      <c r="C19" s="42" t="n">
        <v>549</v>
      </c>
      <c r="D19" s="42" t="n">
        <v>688</v>
      </c>
      <c r="E19" s="42" t="n">
        <v>827</v>
      </c>
      <c r="F19" s="42" t="n">
        <v>967</v>
      </c>
      <c r="G19" s="43" t="n">
        <v>1106</v>
      </c>
    </row>
    <row r="20">
      <c r="A20" s="26" t="inlineStr">
        <is>
          <t>95%</t>
        </is>
      </c>
      <c r="B20" s="42" t="n">
        <v>459</v>
      </c>
      <c r="C20" s="42" t="n">
        <v>660</v>
      </c>
      <c r="D20" s="42" t="n">
        <v>804</v>
      </c>
      <c r="E20" s="42" t="n">
        <v>948</v>
      </c>
      <c r="F20" s="43" t="n">
        <v>1092</v>
      </c>
      <c r="G20" s="43" t="n">
        <v>1236</v>
      </c>
    </row>
    <row r="21">
      <c r="A21" s="26" t="inlineStr">
        <is>
          <t>100%</t>
        </is>
      </c>
      <c r="B21" s="42" t="n">
        <v>635</v>
      </c>
      <c r="C21" s="42" t="n">
        <v>847</v>
      </c>
      <c r="D21" s="42" t="n">
        <v>998</v>
      </c>
      <c r="E21" s="43" t="n">
        <v>1150</v>
      </c>
      <c r="F21" s="43" t="n">
        <v>1301</v>
      </c>
      <c r="G21" s="43" t="n">
        <v>1453</v>
      </c>
    </row>
    <row r="23">
      <c r="A23" s="23" t="inlineStr">
        <is>
          <t>图例：绿色 = 优秀（&gt;1,000） · 黄色 = 转正 · 红色 = 亏损</t>
        </is>
      </c>
      <c r="B23" s="6" t="n"/>
      <c r="C23" s="6" t="n"/>
      <c r="D23" s="6" t="n"/>
      <c r="E23" s="6" t="n"/>
      <c r="F23" s="6" t="n"/>
      <c r="G23" s="7" t="n"/>
    </row>
  </sheetData>
  <mergeCells count="4">
    <mergeCell ref="A3:G3"/>
    <mergeCell ref="A14:G14"/>
    <mergeCell ref="A1:G1"/>
    <mergeCell ref="A23:G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4" t="inlineStr">
        <is>
          <t>22 人团队薪酬带宽与年度成本</t>
        </is>
      </c>
    </row>
    <row r="3">
      <c r="A3" s="8" t="inlineStr">
        <is>
          <t>编号</t>
        </is>
      </c>
      <c r="B3" s="8" t="inlineStr">
        <is>
          <t>岗位</t>
        </is>
      </c>
      <c r="C3" s="8" t="inlineStr">
        <is>
          <t>等级</t>
        </is>
      </c>
      <c r="D3" s="8" t="inlineStr">
        <is>
          <t>年包带宽 (万元)</t>
        </is>
      </c>
      <c r="E3" s="8" t="inlineStr">
        <is>
          <t>Y1 配置</t>
        </is>
      </c>
      <c r="F3" s="8" t="inlineStr">
        <is>
          <t>Y2 配置</t>
        </is>
      </c>
      <c r="G3" s="8" t="inlineStr">
        <is>
          <t>Y3 配置</t>
        </is>
      </c>
      <c r="H3" s="8" t="inlineStr">
        <is>
          <t>Y3 中位包</t>
        </is>
      </c>
    </row>
    <row r="4">
      <c r="A4" s="44" t="n">
        <v>1</v>
      </c>
      <c r="B4" s="9" t="inlineStr">
        <is>
          <t>项目总监 GM</t>
        </is>
      </c>
      <c r="C4" s="45" t="inlineStr">
        <is>
          <t>D</t>
        </is>
      </c>
      <c r="D4" s="9" t="inlineStr">
        <is>
          <t>120-180</t>
        </is>
      </c>
      <c r="E4" s="44" t="n">
        <v>1</v>
      </c>
      <c r="F4" s="44" t="n">
        <v>1</v>
      </c>
      <c r="G4" s="44" t="n">
        <v>1</v>
      </c>
      <c r="H4" s="46" t="n">
        <v>150</v>
      </c>
    </row>
    <row r="5">
      <c r="A5" s="47" t="n">
        <v>2</v>
      </c>
      <c r="B5" s="11" t="inlineStr">
        <is>
          <t>GR 总监</t>
        </is>
      </c>
      <c r="C5" s="45" t="inlineStr">
        <is>
          <t>D</t>
        </is>
      </c>
      <c r="D5" s="11" t="inlineStr">
        <is>
          <t>80-130</t>
        </is>
      </c>
      <c r="E5" s="47" t="n">
        <v>1</v>
      </c>
      <c r="F5" s="47" t="n">
        <v>1</v>
      </c>
      <c r="G5" s="47" t="n">
        <v>1</v>
      </c>
      <c r="H5" s="48" t="n">
        <v>105</v>
      </c>
    </row>
    <row r="6">
      <c r="A6" s="44" t="n">
        <v>3</v>
      </c>
      <c r="B6" s="9" t="inlineStr">
        <is>
          <t>政府事务经理</t>
        </is>
      </c>
      <c r="C6" s="49" t="inlineStr">
        <is>
          <t>M</t>
        </is>
      </c>
      <c r="D6" s="9" t="inlineStr">
        <is>
          <t>40-60</t>
        </is>
      </c>
      <c r="E6" s="44" t="n">
        <v>0</v>
      </c>
      <c r="F6" s="44" t="n">
        <v>1</v>
      </c>
      <c r="G6" s="44" t="n">
        <v>1</v>
      </c>
      <c r="H6" s="46" t="n">
        <v>50</v>
      </c>
    </row>
    <row r="7">
      <c r="A7" s="47" t="n">
        <v>4</v>
      </c>
      <c r="B7" s="11" t="inlineStr">
        <is>
          <t>招商总监</t>
        </is>
      </c>
      <c r="C7" s="45" t="inlineStr">
        <is>
          <t>D</t>
        </is>
      </c>
      <c r="D7" s="11" t="inlineStr">
        <is>
          <t>80-120</t>
        </is>
      </c>
      <c r="E7" s="47" t="n">
        <v>1</v>
      </c>
      <c r="F7" s="47" t="n">
        <v>1</v>
      </c>
      <c r="G7" s="47" t="n">
        <v>1</v>
      </c>
      <c r="H7" s="48" t="n">
        <v>100</v>
      </c>
    </row>
    <row r="8">
      <c r="A8" s="44" t="n">
        <v>5</v>
      </c>
      <c r="B8" s="9" t="inlineStr">
        <is>
          <t>高级招商经理（链主线）</t>
        </is>
      </c>
      <c r="C8" s="50" t="inlineStr">
        <is>
          <t>S</t>
        </is>
      </c>
      <c r="D8" s="9" t="inlineStr">
        <is>
          <t>50-80</t>
        </is>
      </c>
      <c r="E8" s="44" t="n">
        <v>0</v>
      </c>
      <c r="F8" s="44" t="n">
        <v>1</v>
      </c>
      <c r="G8" s="44" t="n">
        <v>1</v>
      </c>
      <c r="H8" s="46" t="n">
        <v>65</v>
      </c>
    </row>
    <row r="9">
      <c r="A9" s="47" t="n">
        <v>6</v>
      </c>
      <c r="B9" s="11" t="inlineStr">
        <is>
          <t>招商经理（算法线）</t>
        </is>
      </c>
      <c r="C9" s="49" t="inlineStr">
        <is>
          <t>M</t>
        </is>
      </c>
      <c r="D9" s="11" t="inlineStr">
        <is>
          <t>30-45</t>
        </is>
      </c>
      <c r="E9" s="47" t="n">
        <v>0</v>
      </c>
      <c r="F9" s="47" t="n">
        <v>1</v>
      </c>
      <c r="G9" s="47" t="n">
        <v>1</v>
      </c>
      <c r="H9" s="48" t="n">
        <v>38</v>
      </c>
    </row>
    <row r="10">
      <c r="A10" s="44" t="n">
        <v>7</v>
      </c>
      <c r="B10" s="9" t="inlineStr">
        <is>
          <t>招商经理（核心研发线）</t>
        </is>
      </c>
      <c r="C10" s="49" t="inlineStr">
        <is>
          <t>M</t>
        </is>
      </c>
      <c r="D10" s="9" t="inlineStr">
        <is>
          <t>30-45</t>
        </is>
      </c>
      <c r="E10" s="44" t="n">
        <v>0</v>
      </c>
      <c r="F10" s="44" t="n">
        <v>1</v>
      </c>
      <c r="G10" s="44" t="n">
        <v>1</v>
      </c>
      <c r="H10" s="46" t="n">
        <v>38</v>
      </c>
    </row>
    <row r="11">
      <c r="A11" s="47" t="n">
        <v>8</v>
      </c>
      <c r="B11" s="11" t="inlineStr">
        <is>
          <t>招商经理（中介线）</t>
        </is>
      </c>
      <c r="C11" s="49" t="inlineStr">
        <is>
          <t>M</t>
        </is>
      </c>
      <c r="D11" s="11" t="inlineStr">
        <is>
          <t>30-45</t>
        </is>
      </c>
      <c r="E11" s="47" t="n">
        <v>0</v>
      </c>
      <c r="F11" s="47" t="n">
        <v>1</v>
      </c>
      <c r="G11" s="47" t="n">
        <v>1</v>
      </c>
      <c r="H11" s="48" t="n">
        <v>38</v>
      </c>
    </row>
    <row r="12">
      <c r="A12" s="44" t="n">
        <v>9</v>
      </c>
      <c r="B12" s="9" t="inlineStr">
        <is>
          <t>招商经理（自拓线）</t>
        </is>
      </c>
      <c r="C12" s="49" t="inlineStr">
        <is>
          <t>M</t>
        </is>
      </c>
      <c r="D12" s="9" t="inlineStr">
        <is>
          <t>30-45</t>
        </is>
      </c>
      <c r="E12" s="44" t="n">
        <v>0</v>
      </c>
      <c r="F12" s="44" t="n">
        <v>1</v>
      </c>
      <c r="G12" s="44" t="n">
        <v>1</v>
      </c>
      <c r="H12" s="46" t="n">
        <v>38</v>
      </c>
    </row>
    <row r="13">
      <c r="A13" s="47" t="n">
        <v>10</v>
      </c>
      <c r="B13" s="11" t="inlineStr">
        <is>
          <t>销售助理 / CRM</t>
        </is>
      </c>
      <c r="C13" s="51" t="inlineStr">
        <is>
          <t>E</t>
        </is>
      </c>
      <c r="D13" s="11" t="inlineStr">
        <is>
          <t>15-22</t>
        </is>
      </c>
      <c r="E13" s="47" t="n">
        <v>0</v>
      </c>
      <c r="F13" s="47" t="n">
        <v>1</v>
      </c>
      <c r="G13" s="47" t="n">
        <v>1</v>
      </c>
      <c r="H13" s="48" t="n">
        <v>19</v>
      </c>
    </row>
    <row r="14">
      <c r="A14" s="44" t="n">
        <v>11</v>
      </c>
      <c r="B14" s="9" t="inlineStr">
        <is>
          <t>客户成功经理</t>
        </is>
      </c>
      <c r="C14" s="49" t="inlineStr">
        <is>
          <t>M</t>
        </is>
      </c>
      <c r="D14" s="9" t="inlineStr">
        <is>
          <t>35-50</t>
        </is>
      </c>
      <c r="E14" s="44" t="n">
        <v>0</v>
      </c>
      <c r="F14" s="44" t="n">
        <v>0</v>
      </c>
      <c r="G14" s="44" t="n">
        <v>1</v>
      </c>
      <c r="H14" s="46" t="n">
        <v>42</v>
      </c>
    </row>
    <row r="15">
      <c r="A15" s="47" t="n">
        <v>12</v>
      </c>
      <c r="B15" s="11" t="inlineStr">
        <is>
          <t>运营总监</t>
        </is>
      </c>
      <c r="C15" s="45" t="inlineStr">
        <is>
          <t>D</t>
        </is>
      </c>
      <c r="D15" s="11" t="inlineStr">
        <is>
          <t>60-90</t>
        </is>
      </c>
      <c r="E15" s="47" t="n">
        <v>1</v>
      </c>
      <c r="F15" s="47" t="n">
        <v>1</v>
      </c>
      <c r="G15" s="47" t="n">
        <v>1</v>
      </c>
      <c r="H15" s="48" t="n">
        <v>75</v>
      </c>
    </row>
    <row r="16">
      <c r="A16" s="44" t="n">
        <v>13</v>
      </c>
      <c r="B16" s="9" t="inlineStr">
        <is>
          <t>物业主管</t>
        </is>
      </c>
      <c r="C16" s="50" t="inlineStr">
        <is>
          <t>S</t>
        </is>
      </c>
      <c r="D16" s="9" t="inlineStr">
        <is>
          <t>25-35</t>
        </is>
      </c>
      <c r="E16" s="44" t="n">
        <v>0</v>
      </c>
      <c r="F16" s="44" t="n">
        <v>1</v>
      </c>
      <c r="G16" s="44" t="n">
        <v>1</v>
      </c>
      <c r="H16" s="46" t="n">
        <v>30</v>
      </c>
    </row>
    <row r="17">
      <c r="A17" s="47" t="n">
        <v>14</v>
      </c>
      <c r="B17" s="11" t="inlineStr">
        <is>
          <t>IT / 数据经理</t>
        </is>
      </c>
      <c r="C17" s="50" t="inlineStr">
        <is>
          <t>S</t>
        </is>
      </c>
      <c r="D17" s="11" t="inlineStr">
        <is>
          <t>40-60</t>
        </is>
      </c>
      <c r="E17" s="47" t="n">
        <v>0</v>
      </c>
      <c r="F17" s="47" t="n">
        <v>1</v>
      </c>
      <c r="G17" s="47" t="n">
        <v>1</v>
      </c>
      <c r="H17" s="48" t="n">
        <v>50</v>
      </c>
    </row>
    <row r="18">
      <c r="A18" s="44" t="n">
        <v>15</v>
      </c>
      <c r="B18" s="9" t="inlineStr">
        <is>
          <t>测试场协同主任</t>
        </is>
      </c>
      <c r="C18" s="50" t="inlineStr">
        <is>
          <t>S</t>
        </is>
      </c>
      <c r="D18" s="9" t="inlineStr">
        <is>
          <t>40-55</t>
        </is>
      </c>
      <c r="E18" s="44" t="n">
        <v>0</v>
      </c>
      <c r="F18" s="44" t="n">
        <v>1</v>
      </c>
      <c r="G18" s="44" t="n">
        <v>1</v>
      </c>
      <c r="H18" s="46" t="n">
        <v>47</v>
      </c>
    </row>
    <row r="19">
      <c r="A19" s="47" t="n">
        <v>16</v>
      </c>
      <c r="B19" s="11" t="inlineStr">
        <is>
          <t>行政主任</t>
        </is>
      </c>
      <c r="C19" s="49" t="inlineStr">
        <is>
          <t>M</t>
        </is>
      </c>
      <c r="D19" s="11" t="inlineStr">
        <is>
          <t>20-30</t>
        </is>
      </c>
      <c r="E19" s="47" t="n">
        <v>0</v>
      </c>
      <c r="F19" s="47" t="n">
        <v>0</v>
      </c>
      <c r="G19" s="47" t="n">
        <v>1</v>
      </c>
      <c r="H19" s="48" t="n">
        <v>25</v>
      </c>
    </row>
    <row r="20">
      <c r="A20" s="44" t="n">
        <v>17</v>
      </c>
      <c r="B20" s="9" t="inlineStr">
        <is>
          <t>市场总监</t>
        </is>
      </c>
      <c r="C20" s="45" t="inlineStr">
        <is>
          <t>D</t>
        </is>
      </c>
      <c r="D20" s="9" t="inlineStr">
        <is>
          <t>60-85</t>
        </is>
      </c>
      <c r="E20" s="44" t="n">
        <v>0</v>
      </c>
      <c r="F20" s="44" t="n">
        <v>1</v>
      </c>
      <c r="G20" s="44" t="n">
        <v>1</v>
      </c>
      <c r="H20" s="46" t="n">
        <v>72</v>
      </c>
    </row>
    <row r="21">
      <c r="A21" s="47" t="n">
        <v>18</v>
      </c>
      <c r="B21" s="11" t="inlineStr">
        <is>
          <t>品牌经理</t>
        </is>
      </c>
      <c r="C21" s="49" t="inlineStr">
        <is>
          <t>M</t>
        </is>
      </c>
      <c r="D21" s="11" t="inlineStr">
        <is>
          <t>25-40</t>
        </is>
      </c>
      <c r="E21" s="47" t="n">
        <v>0</v>
      </c>
      <c r="F21" s="47" t="n">
        <v>1</v>
      </c>
      <c r="G21" s="47" t="n">
        <v>1</v>
      </c>
      <c r="H21" s="48" t="n">
        <v>32</v>
      </c>
    </row>
    <row r="22">
      <c r="A22" s="44" t="n">
        <v>19</v>
      </c>
      <c r="B22" s="9" t="inlineStr">
        <is>
          <t>活动经理</t>
        </is>
      </c>
      <c r="C22" s="49" t="inlineStr">
        <is>
          <t>M</t>
        </is>
      </c>
      <c r="D22" s="9" t="inlineStr">
        <is>
          <t>25-40</t>
        </is>
      </c>
      <c r="E22" s="44" t="n">
        <v>0</v>
      </c>
      <c r="F22" s="44" t="n">
        <v>0</v>
      </c>
      <c r="G22" s="44" t="n">
        <v>1</v>
      </c>
      <c r="H22" s="46" t="n">
        <v>32</v>
      </c>
    </row>
    <row r="23">
      <c r="A23" s="47" t="n">
        <v>20</v>
      </c>
      <c r="B23" s="11" t="inlineStr">
        <is>
          <t>法务经理</t>
        </is>
      </c>
      <c r="C23" s="50" t="inlineStr">
        <is>
          <t>S</t>
        </is>
      </c>
      <c r="D23" s="11" t="inlineStr">
        <is>
          <t>45-70</t>
        </is>
      </c>
      <c r="E23" s="47" t="n">
        <v>0</v>
      </c>
      <c r="F23" s="47" t="n">
        <v>1</v>
      </c>
      <c r="G23" s="47" t="n">
        <v>1</v>
      </c>
      <c r="H23" s="48" t="n">
        <v>57</v>
      </c>
    </row>
    <row r="24">
      <c r="A24" s="44" t="n">
        <v>21</v>
      </c>
      <c r="B24" s="9" t="inlineStr">
        <is>
          <t>财务经理</t>
        </is>
      </c>
      <c r="C24" s="50" t="inlineStr">
        <is>
          <t>S</t>
        </is>
      </c>
      <c r="D24" s="9" t="inlineStr">
        <is>
          <t>40-60</t>
        </is>
      </c>
      <c r="E24" s="44" t="n">
        <v>0</v>
      </c>
      <c r="F24" s="44" t="n">
        <v>1</v>
      </c>
      <c r="G24" s="44" t="n">
        <v>1</v>
      </c>
      <c r="H24" s="46" t="n">
        <v>50</v>
      </c>
    </row>
    <row r="25">
      <c r="A25" s="47" t="n">
        <v>22</v>
      </c>
      <c r="B25" s="11" t="inlineStr">
        <is>
          <t>HR 经理</t>
        </is>
      </c>
      <c r="C25" s="49" t="inlineStr">
        <is>
          <t>M</t>
        </is>
      </c>
      <c r="D25" s="11" t="inlineStr">
        <is>
          <t>30-45</t>
        </is>
      </c>
      <c r="E25" s="47" t="n">
        <v>0</v>
      </c>
      <c r="F25" s="47" t="n">
        <v>0</v>
      </c>
      <c r="G25" s="47" t="n">
        <v>1</v>
      </c>
      <c r="H25" s="48" t="n">
        <v>38</v>
      </c>
    </row>
    <row r="26">
      <c r="A26" s="52" t="inlineStr">
        <is>
          <t>—</t>
        </is>
      </c>
      <c r="B26" s="52" t="inlineStr">
        <is>
          <t>合计</t>
        </is>
      </c>
      <c r="C26" s="52" t="inlineStr">
        <is>
          <t>—</t>
        </is>
      </c>
      <c r="D26" s="53" t="inlineStr">
        <is>
          <t>—</t>
        </is>
      </c>
      <c r="E26" s="53">
        <f>SUM(E4:E25)</f>
        <v/>
      </c>
      <c r="F26" s="53">
        <f>SUM(F4:F25)</f>
        <v/>
      </c>
      <c r="G26" s="53">
        <f>SUM(G4:G25)</f>
        <v/>
      </c>
      <c r="H26" s="53">
        <f>SUMPRODUCT(G4:G25,H4:H25)</f>
        <v/>
      </c>
    </row>
    <row r="28">
      <c r="A28" s="54" t="inlineStr">
        <is>
          <t>Y1 团队预算约 ¥400 万 · Y2 ¥1,500 万 · Y3 ¥2,200 万 (与三年损益对齐)</t>
        </is>
      </c>
      <c r="B28" s="6" t="n"/>
      <c r="C28" s="6" t="n"/>
      <c r="D28" s="6" t="n"/>
      <c r="E28" s="6" t="n"/>
      <c r="F28" s="6" t="n"/>
      <c r="G28" s="6" t="n"/>
      <c r="H28" s="7" t="n"/>
    </row>
  </sheetData>
  <mergeCells count="2"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6" customWidth="1" min="4" max="4"/>
    <col width="16" customWidth="1" min="5" max="5"/>
    <col width="24" customWidth="1" min="6" max="6"/>
    <col width="28" customWidth="1" min="7" max="7"/>
  </cols>
  <sheetData>
    <row r="1" ht="28" customHeight="1">
      <c r="A1" s="24" t="inlineStr">
        <is>
          <t>链主谈判 · 让步阶梯计算器</t>
        </is>
      </c>
    </row>
    <row r="2" ht="22" customHeight="1">
      <c r="A2" s="25" t="inlineStr">
        <is>
          <t>每让一步必有'换'——本表计算每步让步对单户链主 6 年合同 NPV 的影响</t>
        </is>
      </c>
    </row>
    <row r="4">
      <c r="A4" s="8" t="inlineStr">
        <is>
          <t>步骤</t>
        </is>
      </c>
      <c r="B4" s="8" t="inlineStr">
        <is>
          <t>让步内容</t>
        </is>
      </c>
      <c r="C4" s="8" t="inlineStr">
        <is>
          <t>我方让步幅度</t>
        </is>
      </c>
      <c r="D4" s="8" t="inlineStr">
        <is>
          <t>6 年净 NPV 影响 (万元)</t>
        </is>
      </c>
      <c r="E4" s="8" t="inlineStr">
        <is>
          <t>对方对等承诺</t>
        </is>
      </c>
      <c r="F4" s="8" t="inlineStr">
        <is>
          <t>判断（接受 / 升级 / 拒绝）</t>
        </is>
      </c>
      <c r="G4" s="8" t="inlineStr">
        <is>
          <t>授权层</t>
        </is>
      </c>
    </row>
    <row r="5">
      <c r="A5" s="12" t="inlineStr">
        <is>
          <t>基准</t>
        </is>
      </c>
      <c r="B5" s="11" t="inlineStr">
        <is>
          <t>起始 6.5 元/㎡·天 · 9 月免租 · 装补 600/㎡ · 8 年</t>
        </is>
      </c>
      <c r="C5" s="47" t="inlineStr">
        <is>
          <t>—</t>
        </is>
      </c>
      <c r="D5" s="17" t="n">
        <v>0</v>
      </c>
      <c r="E5" s="11" t="inlineStr">
        <is>
          <t>—</t>
        </is>
      </c>
      <c r="F5" s="47" t="inlineStr">
        <is>
          <t>首报</t>
        </is>
      </c>
      <c r="G5" s="11" t="inlineStr">
        <is>
          <t>项目总监</t>
        </is>
      </c>
    </row>
    <row r="6">
      <c r="A6" s="10" t="inlineStr">
        <is>
          <t>让步 1</t>
        </is>
      </c>
      <c r="B6" s="9" t="inlineStr">
        <is>
          <t>起始 6.5 → 6.0 元/㎡·天</t>
        </is>
      </c>
      <c r="C6" s="44" t="inlineStr">
        <is>
          <t>−7.7%</t>
        </is>
      </c>
      <c r="D6" s="19" t="n">
        <v>-550</v>
      </c>
      <c r="E6" s="9" t="inlineStr">
        <is>
          <t>8 年长租 + 6 个月履约</t>
        </is>
      </c>
      <c r="F6" s="44" t="inlineStr">
        <is>
          <t>接受</t>
        </is>
      </c>
      <c r="G6" s="9" t="inlineStr">
        <is>
          <t>项目总监</t>
        </is>
      </c>
    </row>
    <row r="7">
      <c r="A7" s="12" t="inlineStr">
        <is>
          <t>让步 2</t>
        </is>
      </c>
      <c r="B7" s="11" t="inlineStr">
        <is>
          <t>免租 12 → 15 个月</t>
        </is>
      </c>
      <c r="C7" s="47" t="inlineStr">
        <is>
          <t>+25%</t>
        </is>
      </c>
      <c r="D7" s="21" t="n">
        <v>-240</v>
      </c>
      <c r="E7" s="11" t="inlineStr">
        <is>
          <t>装补封顶 1,000/㎡（不浮动）</t>
        </is>
      </c>
      <c r="F7" s="47" t="inlineStr">
        <is>
          <t>接受</t>
        </is>
      </c>
      <c r="G7" s="11" t="inlineStr">
        <is>
          <t>项目总监</t>
        </is>
      </c>
    </row>
    <row r="8">
      <c r="A8" s="10" t="inlineStr">
        <is>
          <t>让步 3</t>
        </is>
      </c>
      <c r="B8" s="9" t="inlineStr">
        <is>
          <t>装补 800 → 1,000 元/㎡</t>
        </is>
      </c>
      <c r="C8" s="44" t="inlineStr">
        <is>
          <t>+25%</t>
        </is>
      </c>
      <c r="D8" s="19" t="n">
        <v>-67</v>
      </c>
      <c r="E8" s="9" t="inlineStr">
        <is>
          <t>楼宇冠名 5 年 + 9 月发布会主旨</t>
        </is>
      </c>
      <c r="F8" s="44" t="inlineStr">
        <is>
          <t>接受</t>
        </is>
      </c>
      <c r="G8" s="9" t="inlineStr">
        <is>
          <t>项目总监</t>
        </is>
      </c>
    </row>
    <row r="9">
      <c r="A9" s="12" t="inlineStr">
        <is>
          <t>让步 4</t>
        </is>
      </c>
      <c r="B9" s="11" t="inlineStr">
        <is>
          <t>政策返还 70% → 80%</t>
        </is>
      </c>
      <c r="C9" s="47" t="inlineStr">
        <is>
          <t>+14%</t>
        </is>
      </c>
      <c r="D9" s="21" t="n">
        <v>-340</v>
      </c>
      <c r="E9" s="11" t="inlineStr">
        <is>
          <t>政策返还以政府专班书面文件兑现</t>
        </is>
      </c>
      <c r="F9" s="47" t="inlineStr">
        <is>
          <t>接受</t>
        </is>
      </c>
      <c r="G9" s="11" t="inlineStr">
        <is>
          <t>GR 总监 + 集团董事长</t>
        </is>
      </c>
    </row>
    <row r="10">
      <c r="A10" s="10" t="inlineStr">
        <is>
          <t>让步 5</t>
        </is>
      </c>
      <c r="B10" s="9" t="inlineStr">
        <is>
          <t>续约权（涨幅封顶 5%）</t>
        </is>
      </c>
      <c r="C10" s="44" t="inlineStr">
        <is>
          <t>—</t>
        </is>
      </c>
      <c r="D10" s="19" t="n">
        <v>-90</v>
      </c>
      <c r="E10" s="9" t="inlineStr">
        <is>
          <t>退租赔偿 ≥ 60% 政策返还回收</t>
        </is>
      </c>
      <c r="F10" s="44" t="inlineStr">
        <is>
          <t>接受</t>
        </is>
      </c>
      <c r="G10" s="9" t="inlineStr">
        <is>
          <t>项目总监</t>
        </is>
      </c>
    </row>
    <row r="11">
      <c r="A11" s="55" t="inlineStr">
        <is>
          <t>底线 🔴</t>
        </is>
      </c>
      <c r="B11" s="56" t="inlineStr">
        <is>
          <t>起始 5.0 / 免租 24 / 装补 1,500 / 5 年</t>
        </is>
      </c>
      <c r="C11" s="55" t="inlineStr">
        <is>
          <t>—</t>
        </is>
      </c>
      <c r="D11" s="41" t="n">
        <v>-1500</v>
      </c>
      <c r="E11" s="56" t="inlineStr">
        <is>
          <t>—</t>
        </is>
      </c>
      <c r="F11" s="55" t="inlineStr">
        <is>
          <t>拒绝（超线请示）</t>
        </is>
      </c>
      <c r="G11" s="56" t="inlineStr">
        <is>
          <t>集团董事长</t>
        </is>
      </c>
    </row>
    <row r="14">
      <c r="A14" s="23" t="inlineStr">
        <is>
          <t>📌 计算口径：6 年 NPV，按 8% 折现率，含装补/免租/政策返还/品牌权益等综合影响</t>
        </is>
      </c>
      <c r="B14" s="6" t="n"/>
      <c r="C14" s="6" t="n"/>
      <c r="D14" s="6" t="n"/>
      <c r="E14" s="6" t="n"/>
      <c r="F14" s="6" t="n"/>
      <c r="G14" s="7" t="n"/>
    </row>
    <row r="15">
      <c r="A15" s="57" t="inlineStr">
        <is>
          <t>📌 让步原则：每让一步必带条件；超过授权区间立即升级；底线（红线）不可越界</t>
        </is>
      </c>
      <c r="B15" s="6" t="n"/>
      <c r="C15" s="6" t="n"/>
      <c r="D15" s="6" t="n"/>
      <c r="E15" s="6" t="n"/>
      <c r="F15" s="6" t="n"/>
      <c r="G15" s="7" t="n"/>
    </row>
  </sheetData>
  <mergeCells count="4">
    <mergeCell ref="A14:G14"/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2026-05-08T00:30:32Z</dcterms:created>
  <dcterms:modified xmlns:dcterms="http://purl.org/dc/terms/" xmlns:xsi="http://www.w3.org/2001/XMLSchema-instance" xsi:type="dcterms:W3CDTF">2026-05-08T00:30:32Z</dcterms:modified>
</cp:coreProperties>
</file>