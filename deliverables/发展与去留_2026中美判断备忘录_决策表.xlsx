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能力溢价对照" sheetId="2" state="visible" r:id="rId2"/>
    <sheet xmlns:r="http://schemas.openxmlformats.org/officeDocument/2006/relationships" name="适配打分" sheetId="3" state="visible" r:id="rId3"/>
    <sheet xmlns:r="http://schemas.openxmlformats.org/officeDocument/2006/relationships" name="走的触发清单" sheetId="4" state="visible" r:id="rId4"/>
    <sheet xmlns:r="http://schemas.openxmlformats.org/officeDocument/2006/relationships" name="90天行动" sheetId="5" state="visible" r:id="rId5"/>
    <sheet xmlns:r="http://schemas.openxmlformats.org/officeDocument/2006/relationships" name="对那段话" sheetId="6" state="visible" r:id="rId6"/>
  </sheets>
  <definedNames>
    <definedName name="_xlnm.Print_Titles" localSheetId="0">'使用说明'!$1:$2</definedName>
    <definedName name="_xlnm._FilterDatabase" localSheetId="1" hidden="1">'能力溢价对照'!$A$3:$E$9</definedName>
    <definedName name="_xlnm._FilterDatabase" localSheetId="2" hidden="1">'适配打分'!$A$4:$G$14</definedName>
    <definedName name="_xlnm._FilterDatabase" localSheetId="4" hidden="1">'90天行动'!$A$3:$F$12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微软雅黑"/>
      <b val="1"/>
      <color rgb="000F172A"/>
      <sz val="20"/>
    </font>
    <font>
      <name val="微软雅黑"/>
      <color rgb="000F766E"/>
      <sz val="12"/>
    </font>
    <font>
      <name val="微软雅黑"/>
      <b val="1"/>
      <color rgb="00FFFFFF"/>
      <sz val="11"/>
    </font>
    <font>
      <name val="微软雅黑"/>
      <color rgb="000F172A"/>
      <sz val="11"/>
    </font>
    <font>
      <name val="微软雅黑"/>
      <b val="1"/>
      <color rgb="000F766E"/>
      <sz val="11"/>
    </font>
    <font>
      <name val="微软雅黑"/>
      <b val="1"/>
      <color rgb="000F172A"/>
      <sz val="14"/>
    </font>
    <font>
      <name val="微软雅黑"/>
      <b val="1"/>
      <color rgb="000F172A"/>
      <sz val="16"/>
    </font>
    <font>
      <name val="微软雅黑"/>
      <b val="1"/>
      <color rgb="000F172A"/>
      <sz val="11"/>
    </font>
    <font>
      <name val="微软雅黑"/>
      <color rgb="00475569"/>
      <sz val="11"/>
    </font>
    <font>
      <name val="微软雅黑"/>
      <color rgb="00475569"/>
      <sz val="10"/>
    </font>
    <font>
      <name val="微软雅黑"/>
      <b val="1"/>
      <color rgb="000F172A"/>
      <sz val="12"/>
    </font>
    <font>
      <name val="微软雅黑"/>
      <b val="1"/>
      <color rgb="00BE1231"/>
      <sz val="11"/>
    </font>
    <font>
      <name val="微软雅黑"/>
      <b val="1"/>
      <color rgb="000F766E"/>
      <sz val="14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BE1231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164" fontId="4" fillId="4" borderId="1" applyAlignment="1" pivotButton="0" quotePrefix="0" xfId="0">
      <alignment horizontal="left" vertical="center" wrapText="1"/>
    </xf>
    <xf numFmtId="1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left" vertical="center" wrapText="1"/>
    </xf>
    <xf numFmtId="2" fontId="4" fillId="5" borderId="1" applyAlignment="1" pivotButton="0" quotePrefix="0" xfId="0">
      <alignment horizontal="left" vertical="center" wrapText="1"/>
    </xf>
    <xf numFmtId="2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13" fillId="0" borderId="0" pivotButton="0" quotePrefix="0" xfId="0"/>
  </cellXfs>
  <cellStyles count="1">
    <cellStyle name="Normal" xfId="0" builtinId="0" hidden="0"/>
  </cellStyles>
  <dxfs count="5">
    <dxf>
      <font>
        <name val="微软雅黑"/>
        <b val="1"/>
        <color rgb="000F766E"/>
        <sz val="12"/>
      </font>
      <fill>
        <patternFill patternType="solid">
          <fgColor rgb="00ECFDF5"/>
        </patternFill>
      </fill>
    </dxf>
    <dxf>
      <font>
        <name val="微软雅黑"/>
        <b val="1"/>
        <color rgb="00D97706"/>
        <sz val="12"/>
      </font>
      <fill>
        <patternFill patternType="solid">
          <fgColor rgb="00FFF7ED"/>
        </patternFill>
      </fill>
    </dxf>
    <dxf>
      <font>
        <name val="微软雅黑"/>
        <b val="1"/>
        <color rgb="00BE1231"/>
        <sz val="12"/>
      </font>
      <fill>
        <patternFill patternType="solid">
          <fgColor rgb="00FFE4E6"/>
        </patternFill>
      </fill>
    </dxf>
    <dxf>
      <font>
        <name val="微软雅黑"/>
        <b val="1"/>
        <color rgb="000F766E"/>
        <sz val="11"/>
      </font>
      <fill>
        <patternFill patternType="solid">
          <fgColor rgb="00ECFDF5"/>
        </patternFill>
      </fill>
    </dxf>
    <dxf>
      <font>
        <name val="微软雅黑"/>
        <b val="1"/>
        <color rgb="00BE1231"/>
        <sz val="11"/>
      </font>
      <fill>
        <patternFill patternType="solid">
          <fgColor rgb="00FFE4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留 vs 走 加权总分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'适配打分'!$A$16:$A$17</f>
            </numRef>
          </cat>
          <val>
            <numRef>
              <f>'适配打分'!$B$16:$B$17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加权分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发展与去留 · 2026 中美判断备忘录</t>
        </is>
      </c>
    </row>
    <row r="2" ht="20" customHeight="1">
      <c r="A2" s="2" t="inlineStr">
        <is>
          <t>个人决策表 · 默认深耕，出海做成期权 · 不构成移民/投资/法律建议</t>
        </is>
      </c>
    </row>
    <row r="4">
      <c r="A4" s="3" t="inlineStr">
        <is>
          <t>工作表</t>
        </is>
      </c>
      <c r="B4" s="3" t="inlineStr">
        <is>
          <t>用途</t>
        </is>
      </c>
    </row>
    <row r="5" ht="22" customHeight="1">
      <c r="A5" s="4" t="inlineStr">
        <is>
          <t>1. 使用说明</t>
        </is>
      </c>
      <c r="B5" s="5" t="inlineStr">
        <is>
          <t>读完再填。分数只帮助显形，不代替判断。</t>
        </is>
      </c>
    </row>
    <row r="6" ht="22" customHeight="1">
      <c r="A6" s="4" t="inlineStr">
        <is>
          <t>2. 能力溢价对照</t>
        </is>
      </c>
      <c r="B6" s="5" t="inlineStr">
        <is>
          <t>先看你的能力放在哪边更值钱。</t>
        </is>
      </c>
    </row>
    <row r="7" ht="22" customHeight="1">
      <c r="A7" s="4" t="inlineStr">
        <is>
          <t>3. 适配打分</t>
        </is>
      </c>
      <c r="B7" s="5" t="inlineStr">
        <is>
          <t>1–5 分自评。预填示例为「本地有网络、海外无书面机会」，自动汇总象限。</t>
        </is>
      </c>
    </row>
    <row r="8" ht="22" customHeight="1">
      <c r="A8" s="4" t="inlineStr">
        <is>
          <t>4. 走的触发清单</t>
        </is>
      </c>
      <c r="B8" s="5" t="inlineStr">
        <is>
          <t>硬条件 / 事业 / 心理。未同时点亮，不到果断的时候。</t>
        </is>
      </c>
    </row>
    <row r="9" ht="22" customHeight="1">
      <c r="A9" s="4" t="inlineStr">
        <is>
          <t>5. 90天行动</t>
        </is>
      </c>
      <c r="B9" s="5" t="inlineStr">
        <is>
          <t>可勾选。把判断做成行为。</t>
        </is>
      </c>
    </row>
    <row r="10" ht="22" customHeight="1">
      <c r="A10" s="4" t="inlineStr">
        <is>
          <t>6. 对那段话</t>
        </is>
      </c>
      <c r="B10" s="5" t="inlineStr">
        <is>
          <t>原句与改写对照。收藏修辞，不让修辞代替战略。</t>
        </is>
      </c>
    </row>
    <row r="12">
      <c r="A12" s="6" t="inlineStr">
        <is>
          <t>填表纪律</t>
        </is>
      </c>
    </row>
    <row r="13" ht="32" customHeight="1">
      <c r="A13" s="7" t="inlineStr">
        <is>
          <t>1. 先填「能力溢价对照」和「适配打分」，再看触发清单。不要先被那段话带着走。</t>
        </is>
      </c>
    </row>
    <row r="14" ht="32" customHeight="1">
      <c r="A14" s="7" t="inlineStr">
        <is>
          <t>2. 打分用「过去 12 个月已经发生的事实」，不用「我希望明年发生的故事」。</t>
        </is>
      </c>
    </row>
    <row r="15" ht="32" customHeight="1">
      <c r="A15" s="7" t="inlineStr">
        <is>
          <t>3. 「去美国」三件套缺一不可：书面机会、签证路径、三年财务缓冲。缺一件，就还在路径 A 或 B。</t>
        </is>
      </c>
    </row>
    <row r="16" ht="32" customHeight="1">
      <c r="A16" s="7" t="inlineStr">
        <is>
          <t>4. 宏观不适（觉得大环境差）不等于个人错配（你在这里已经做不成想做的事）。</t>
        </is>
      </c>
    </row>
    <row r="17" ht="32" customHeight="1">
      <c r="A17" s="7" t="inlineStr">
        <is>
          <t>5. 本表可每月复盘一次。若连续三个月「留」的主航道仍无订单，再上调「走」的权重。</t>
        </is>
      </c>
    </row>
  </sheetData>
  <mergeCells count="14">
    <mergeCell ref="B4:F4"/>
    <mergeCell ref="A2:F2"/>
    <mergeCell ref="A16:F16"/>
    <mergeCell ref="B7:F7"/>
    <mergeCell ref="B6:F6"/>
    <mergeCell ref="A13:F13"/>
    <mergeCell ref="A14:F14"/>
    <mergeCell ref="B10:F10"/>
    <mergeCell ref="A1:F1"/>
    <mergeCell ref="B5:F5"/>
    <mergeCell ref="A15:F15"/>
    <mergeCell ref="A17:F17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6" customWidth="1" min="4" max="4"/>
    <col width="42" customWidth="1" min="5" max="5"/>
  </cols>
  <sheetData>
    <row r="1">
      <c r="A1" s="8" t="inlineStr">
        <is>
          <t>能力结构对照：溢价在哪边，迁移成本有多高</t>
        </is>
      </c>
    </row>
    <row r="3">
      <c r="A3" s="3" t="inlineStr">
        <is>
          <t>能力类型</t>
        </is>
      </c>
      <c r="B3" s="3" t="inlineStr">
        <is>
          <t>在中国的溢价</t>
        </is>
      </c>
      <c r="C3" s="3" t="inlineStr">
        <is>
          <t>在美国的溢价</t>
        </is>
      </c>
      <c r="D3" s="3" t="inlineStr">
        <is>
          <t>迁移成本</t>
        </is>
      </c>
      <c r="E3" s="3" t="inlineStr">
        <is>
          <t>若这是你的主能力，默认建议</t>
        </is>
      </c>
    </row>
    <row r="4" ht="36" customHeight="1">
      <c r="A4" s="9" t="inlineStr">
        <is>
          <t>Frontier 研究 / 训练</t>
        </is>
      </c>
      <c r="B4" s="10" t="inlineStr">
        <is>
          <t>中（少数实验室）</t>
        </is>
      </c>
      <c r="C4" s="10" t="inlineStr">
        <is>
          <t>极高</t>
        </is>
      </c>
      <c r="D4" s="10" t="inlineStr">
        <is>
          <t>中（有论文与推荐时）</t>
        </is>
      </c>
      <c r="E4" s="10" t="inlineStr">
        <is>
          <t>有锁定再走；无锁定则不必为高地迁徙</t>
        </is>
      </c>
    </row>
    <row r="5" ht="36" customHeight="1">
      <c r="A5" s="9" t="inlineStr">
        <is>
          <t>大厂工程 / 算法岗</t>
        </is>
      </c>
      <c r="B5" s="10" t="inlineStr">
        <is>
          <t>高，但内卷</t>
        </is>
      </c>
      <c r="C5" s="10" t="inlineStr">
        <is>
          <t>高，但签证卡脖子</t>
        </is>
      </c>
      <c r="D5" s="10" t="inlineStr">
        <is>
          <t>高</t>
        </is>
      </c>
      <c r="E5" s="10" t="inlineStr">
        <is>
          <t>有书面 offer + 签证再评估，否则留</t>
        </is>
      </c>
    </row>
    <row r="6" ht="36" customHeight="1">
      <c r="A6" s="9" t="inlineStr">
        <is>
          <t>产业场景转化 / 落地</t>
        </is>
      </c>
      <c r="B6" s="10" t="inlineStr">
        <is>
          <t>很高（政府+制造+园区）</t>
        </is>
      </c>
      <c r="C6" s="10" t="inlineStr">
        <is>
          <t>中低（要重做信用）</t>
        </is>
      </c>
      <c r="D6" s="10" t="inlineStr">
        <is>
          <t>极高</t>
        </is>
      </c>
      <c r="E6" s="10" t="inlineStr">
        <is>
          <t>默认深耕中国，出海只做项目驻留</t>
        </is>
      </c>
    </row>
    <row r="7" ht="36" customHeight="1">
      <c r="A7" s="11" t="inlineStr">
        <is>
          <t>高校 / 园区 / 商会网络</t>
        </is>
      </c>
      <c r="B7" s="5" t="inlineStr">
        <is>
          <t>核心资产</t>
        </is>
      </c>
      <c r="C7" s="5" t="inlineStr">
        <is>
          <t>接近归零</t>
        </is>
      </c>
      <c r="D7" s="5" t="inlineStr">
        <is>
          <t>极高</t>
        </is>
      </c>
      <c r="E7" s="5" t="inlineStr">
        <is>
          <t>默认留下；走 = 资产归零后再创业</t>
        </is>
      </c>
    </row>
    <row r="8" ht="36" customHeight="1">
      <c r="A8" s="11" t="inlineStr">
        <is>
          <t>不动产 + 产业空间</t>
        </is>
      </c>
      <c r="B8" s="5" t="inlineStr">
        <is>
          <t>存量时代仍有专业位</t>
        </is>
      </c>
      <c r="C8" s="5" t="inlineStr">
        <is>
          <t>需牌照与本地信用</t>
        </is>
      </c>
      <c r="D8" s="5" t="inlineStr">
        <is>
          <t>极高</t>
        </is>
      </c>
      <c r="E8" s="5" t="inlineStr">
        <is>
          <t>转向存量 / 场景载体，而不是换国家</t>
        </is>
      </c>
    </row>
    <row r="9" ht="36" customHeight="1">
      <c r="A9" s="11" t="inlineStr">
        <is>
          <t>英语内容 / 跨境合作</t>
        </is>
      </c>
      <c r="B9" s="5" t="inlineStr">
        <is>
          <t>稀缺加分</t>
        </is>
      </c>
      <c r="C9" s="5" t="inlineStr">
        <is>
          <t>入场券，不是护城河</t>
        </is>
      </c>
      <c r="D9" s="5" t="inlineStr">
        <is>
          <t>中</t>
        </is>
      </c>
      <c r="E9" s="5" t="inlineStr">
        <is>
          <t>作为双根结构的工具，不作为迁徙理由</t>
        </is>
      </c>
    </row>
    <row r="11" ht="28" customHeight="1">
      <c r="A11" s="12" t="inlineStr">
        <is>
          <t>使用：圈出你最强的 1–2 项。若落在绿色三行，2026 年默认路径是 A 深耕，而不是 C 迁徙。</t>
        </is>
      </c>
    </row>
  </sheetData>
  <autoFilter ref="A3:E9"/>
  <mergeCells count="2">
    <mergeCell ref="A11:E1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10" customWidth="1" min="4" max="4"/>
    <col width="16" customWidth="1" min="5" max="5"/>
    <col width="12" customWidth="1" min="6" max="6"/>
    <col width="44" customWidth="1" min="7" max="7"/>
  </cols>
  <sheetData>
    <row r="1">
      <c r="A1" s="8" t="inlineStr">
        <is>
          <t>适配打分（1–5）。请只依据过去 12 个月的事实。</t>
        </is>
      </c>
    </row>
    <row r="2">
      <c r="A2" s="13" t="inlineStr">
        <is>
          <t>1=完全不符合  3=中性  5=非常符合。预填为「本地有网络、海外无书面机会」的示例分，请改成你的事实分。</t>
        </is>
      </c>
    </row>
    <row r="4">
      <c r="A4" s="3" t="inlineStr">
        <is>
          <t>维度</t>
        </is>
      </c>
      <c r="B4" s="3" t="inlineStr">
        <is>
          <t>具体问题</t>
        </is>
      </c>
      <c r="C4" s="3" t="inlineStr">
        <is>
          <t>留/走</t>
        </is>
      </c>
      <c r="D4" s="3" t="inlineStr">
        <is>
          <t>权重</t>
        </is>
      </c>
      <c r="E4" s="3" t="inlineStr">
        <is>
          <t>你的打分(1-5)</t>
        </is>
      </c>
      <c r="F4" s="3" t="inlineStr">
        <is>
          <t>加权分</t>
        </is>
      </c>
      <c r="G4" s="3" t="inlineStr">
        <is>
          <t>填写提示</t>
        </is>
      </c>
    </row>
    <row r="5" ht="36" customHeight="1">
      <c r="A5" s="9" t="inlineStr">
        <is>
          <t>本地主航道</t>
        </is>
      </c>
      <c r="B5" s="10" t="inlineStr">
        <is>
          <t>过去 12 个月，你是否仍能把一件事推进到可报价 / 可试点？</t>
        </is>
      </c>
      <c r="C5" s="10" t="inlineStr">
        <is>
          <t>留</t>
        </is>
      </c>
      <c r="D5" s="14" t="n">
        <v>1.2</v>
      </c>
      <c r="E5" s="15" t="n">
        <v>4</v>
      </c>
      <c r="F5" s="16">
        <f>D5*E5</f>
        <v/>
      </c>
      <c r="G5" s="10" t="inlineStr">
        <is>
          <t>有真实线索打 4–5；只有会议打 2–3；完全停摆打 1</t>
        </is>
      </c>
    </row>
    <row r="6" ht="36" customHeight="1">
      <c r="A6" s="9" t="inlineStr">
        <is>
          <t>网络可变现</t>
        </is>
      </c>
      <c r="B6" s="10" t="inlineStr">
        <is>
          <t>高校 / 园区 / 企业 / 资本关系，是否仍能约到关键人并形成下一步？</t>
        </is>
      </c>
      <c r="C6" s="10" t="inlineStr">
        <is>
          <t>留</t>
        </is>
      </c>
      <c r="D6" s="14" t="n">
        <v>1.2</v>
      </c>
      <c r="E6" s="15" t="n">
        <v>4</v>
      </c>
      <c r="F6" s="16">
        <f>D6*E6</f>
        <v/>
      </c>
      <c r="G6" s="10" t="inlineStr">
        <is>
          <t>能约到且有下一步=5；只能吃饭叙旧=2</t>
        </is>
      </c>
    </row>
    <row r="7" ht="36" customHeight="1">
      <c r="A7" s="9" t="inlineStr">
        <is>
          <t>新动能重叠</t>
        </is>
      </c>
      <c r="B7" s="10" t="inlineStr">
        <is>
          <t>你的工作是否已经接到 AI / 先进制造 / 数智服务，而不是纯增量地产？</t>
        </is>
      </c>
      <c r="C7" s="10" t="inlineStr">
        <is>
          <t>留</t>
        </is>
      </c>
      <c r="D7" s="14" t="n">
        <v>1.1</v>
      </c>
      <c r="E7" s="15" t="n">
        <v>4</v>
      </c>
      <c r="F7" s="16">
        <f>D7*E7</f>
        <v/>
      </c>
      <c r="G7" s="10" t="inlineStr">
        <is>
          <t>已有项目=5；正在转=3；仍在旧剧本=1</t>
        </is>
      </c>
    </row>
    <row r="8" ht="36" customHeight="1">
      <c r="A8" s="9" t="inlineStr">
        <is>
          <t>订单与现金流</t>
        </is>
      </c>
      <c r="B8" s="10" t="inlineStr">
        <is>
          <t>未来 12 个月，本地是否看得到养活自己的路径？</t>
        </is>
      </c>
      <c r="C8" s="10" t="inlineStr">
        <is>
          <t>留</t>
        </is>
      </c>
      <c r="D8" s="14" t="n">
        <v>1.3</v>
      </c>
      <c r="E8" s="15" t="n">
        <v>4</v>
      </c>
      <c r="F8" s="16">
        <f>D8*E8</f>
        <v/>
      </c>
      <c r="G8" s="10" t="inlineStr">
        <is>
          <t>已有合同=5；有高概率线索=3；完全不确定=1</t>
        </is>
      </c>
    </row>
    <row r="9" ht="36" customHeight="1">
      <c r="A9" s="9" t="inlineStr">
        <is>
          <t>意义与心安</t>
        </is>
      </c>
      <c r="B9" s="10" t="inlineStr">
        <is>
          <t>在本地做事时，你是否仍能感到「这事值得我认真做」？</t>
        </is>
      </c>
      <c r="C9" s="10" t="inlineStr">
        <is>
          <t>留</t>
        </is>
      </c>
      <c r="D9" s="14" t="n">
        <v>1</v>
      </c>
      <c r="E9" s="15" t="n">
        <v>4</v>
      </c>
      <c r="F9" s="16">
        <f>D9*E9</f>
        <v/>
      </c>
      <c r="G9" s="10" t="inlineStr">
        <is>
          <t>这是心安指标。长期 1–2 分，留下也会空转</t>
        </is>
      </c>
    </row>
    <row r="10" ht="36" customHeight="1">
      <c r="A10" s="17" t="inlineStr">
        <is>
          <t>书面机会</t>
        </is>
      </c>
      <c r="B10" s="18" t="inlineStr">
        <is>
          <t>是否已有美国（或海外）雇主 / 机构的书面机会？</t>
        </is>
      </c>
      <c r="C10" s="18" t="inlineStr">
        <is>
          <t>走</t>
        </is>
      </c>
      <c r="D10" s="19" t="n">
        <v>1.4</v>
      </c>
      <c r="E10" s="20" t="n">
        <v>2</v>
      </c>
      <c r="F10" s="21">
        <f>D10*E10</f>
        <v/>
      </c>
      <c r="G10" s="18" t="inlineStr">
        <is>
          <t>有正式书面=5；口头意向=3；完全没有=1</t>
        </is>
      </c>
    </row>
    <row r="11" ht="36" customHeight="1">
      <c r="A11" s="17" t="inlineStr">
        <is>
          <t>签证路径</t>
        </is>
      </c>
      <c r="B11" s="18" t="inlineStr">
        <is>
          <t>签证路径是否清楚，且不依赖纯粹抽签？</t>
        </is>
      </c>
      <c r="C11" s="18" t="inlineStr">
        <is>
          <t>走</t>
        </is>
      </c>
      <c r="D11" s="19" t="n">
        <v>1.3</v>
      </c>
      <c r="E11" s="20" t="n">
        <v>2</v>
      </c>
      <c r="F11" s="21">
        <f>D11*E11</f>
        <v/>
      </c>
      <c r="G11" s="18" t="inlineStr">
        <is>
          <t>路径清楚=5；要赌 H-1B=2；没研究过=1</t>
        </is>
      </c>
    </row>
    <row r="12" ht="36" customHeight="1">
      <c r="A12" s="17" t="inlineStr">
        <is>
          <t>能力可迁移</t>
        </is>
      </c>
      <c r="B12" s="18" t="inlineStr">
        <is>
          <t>你最强的能力，到美国是否仍能直接变现，而不是归零重来？</t>
        </is>
      </c>
      <c r="C12" s="18" t="inlineStr">
        <is>
          <t>走</t>
        </is>
      </c>
      <c r="D12" s="19" t="n">
        <v>1.2</v>
      </c>
      <c r="E12" s="20" t="n">
        <v>2</v>
      </c>
      <c r="F12" s="21">
        <f>D12*E12</f>
        <v/>
      </c>
      <c r="G12" s="18" t="inlineStr">
        <is>
          <t>论文/工程履历=4–5；本地网络型=1–2</t>
        </is>
      </c>
    </row>
    <row r="13" ht="36" customHeight="1">
      <c r="A13" s="17" t="inlineStr">
        <is>
          <t>财务缓冲</t>
        </is>
      </c>
      <c r="B13" s="18" t="inlineStr">
        <is>
          <t>是否有 3 年财务缓冲，不把全部流动性押上？</t>
        </is>
      </c>
      <c r="C13" s="18" t="inlineStr">
        <is>
          <t>走</t>
        </is>
      </c>
      <c r="D13" s="19" t="n">
        <v>1.1</v>
      </c>
      <c r="E13" s="20" t="n">
        <v>2</v>
      </c>
      <c r="F13" s="21">
        <f>D13*E13</f>
        <v/>
      </c>
      <c r="G13" s="18" t="inlineStr">
        <is>
          <t>有 3 年=5；有 1 年=3；没有=1</t>
        </is>
      </c>
    </row>
    <row r="14" ht="36" customHeight="1">
      <c r="A14" s="17" t="inlineStr">
        <is>
          <t>不可替代性</t>
        </is>
      </c>
      <c r="B14" s="18" t="inlineStr">
        <is>
          <t>去了是否能做这里做不了的事，而不是换个地方重复焦虑？</t>
        </is>
      </c>
      <c r="C14" s="18" t="inlineStr">
        <is>
          <t>走</t>
        </is>
      </c>
      <c r="D14" s="19" t="n">
        <v>1.2</v>
      </c>
      <c r="E14" s="20" t="n">
        <v>2</v>
      </c>
      <c r="F14" s="21">
        <f>D14*E14</f>
        <v/>
      </c>
      <c r="G14" s="18" t="inlineStr">
        <is>
          <t>能明确说出「只有那边能做」=5；说不清=1</t>
        </is>
      </c>
    </row>
    <row r="16" ht="26" customHeight="1">
      <c r="A16" s="4" t="inlineStr">
        <is>
          <t>留的加权总分</t>
        </is>
      </c>
      <c r="B16" s="22">
        <f>SUMIF(C5:C14,"留",F5:F14)</f>
        <v/>
      </c>
      <c r="C16" s="5" t="n"/>
      <c r="D16" s="5" t="n"/>
      <c r="E16" s="5" t="n"/>
      <c r="F16" s="5" t="n"/>
      <c r="G16" s="5" t="n"/>
    </row>
    <row r="17" ht="26" customHeight="1">
      <c r="A17" s="4" t="inlineStr">
        <is>
          <t>走的加权总分</t>
        </is>
      </c>
      <c r="B17" s="22">
        <f>SUMIF(C5:C14,"走",F5:F14)</f>
        <v/>
      </c>
      <c r="C17" s="5" t="n"/>
      <c r="D17" s="5" t="n"/>
      <c r="E17" s="5" t="n"/>
      <c r="F17" s="5" t="n"/>
      <c r="G17" s="5" t="n"/>
    </row>
    <row r="18" ht="26" customHeight="1">
      <c r="A18" s="4" t="inlineStr">
        <is>
          <t>差值（留 − 走）</t>
        </is>
      </c>
      <c r="B18" s="22">
        <f>B16-B17</f>
        <v/>
      </c>
      <c r="C18" s="5" t="n"/>
      <c r="D18" s="5" t="n"/>
      <c r="E18" s="5" t="n"/>
      <c r="F18" s="5" t="n"/>
      <c r="G18" s="5" t="n"/>
    </row>
    <row r="19" ht="26" customHeight="1">
      <c r="A19" s="4" t="inlineStr">
        <is>
          <t>当前象限（自动）</t>
        </is>
      </c>
      <c r="B19" s="23">
        <f>IF(AND(B16&gt;=18,B17&lt;18),"深耕中国",IF(AND(B16&gt;=18,B17&gt;=18),"有限期出海",IF(AND(B16&lt;18,B17&gt;=18),"才考虑迁徙","先造航道")))</f>
        <v/>
      </c>
      <c r="C19" s="5" t="n"/>
      <c r="D19" s="5" t="n"/>
      <c r="E19" s="5" t="n"/>
      <c r="F19" s="5" t="n"/>
      <c r="G19" s="5" t="n"/>
    </row>
    <row r="20" ht="36" customHeight="1">
      <c r="A20" s="4" t="inlineStr">
        <is>
          <t>一句话建议</t>
        </is>
      </c>
      <c r="B20" s="23">
        <f>IF(B19="深耕中国","默认留下，90 天把一条主航道做成可报价项目。",IF(B19="有限期出海","可以去 12–36 个月，写返回条款，不斩根。",IF(B19="才考虑迁徙","走之前仍要补齐书面机会与签证路径。","先不要走，先把本地一件事做实。")))</f>
        <v/>
      </c>
      <c r="C20" s="5" t="n"/>
      <c r="D20" s="5" t="n"/>
      <c r="E20" s="5" t="n"/>
      <c r="F20" s="5" t="n"/>
      <c r="G20" s="5" t="n"/>
    </row>
    <row r="38">
      <c r="A38" s="13" t="inlineStr">
        <is>
          <t>读法：预填示例会落在「深耕中国」。请务必改成你的事实分。差值 &gt; 4 且象限为「深耕中国」，不要被诀别辞带走。</t>
        </is>
      </c>
    </row>
  </sheetData>
  <autoFilter ref="A4:G14"/>
  <mergeCells count="8">
    <mergeCell ref="B16:G16"/>
    <mergeCell ref="B19:G19"/>
    <mergeCell ref="B20:G20"/>
    <mergeCell ref="A1:G1"/>
    <mergeCell ref="B17:G17"/>
    <mergeCell ref="A38:G38"/>
    <mergeCell ref="A2:G2"/>
    <mergeCell ref="B18:G18"/>
  </mergeCells>
  <conditionalFormatting sqref="B19">
    <cfRule type="expression" priority="1" dxfId="0">
      <formula>B19="深耕中国"</formula>
    </cfRule>
    <cfRule type="expression" priority="2" dxfId="1">
      <formula>B19="有限期出海"</formula>
    </cfRule>
    <cfRule type="expression" priority="3" dxfId="2">
      <formula>B19="才考虑迁徙"</formula>
    </cfRule>
  </conditionalFormatting>
  <dataValidations count="1">
    <dataValidation sqref="E5:E14" showDropDown="0" showInputMessage="0" showErrorMessage="0" allowBlank="0" errorTitle="打分超范围" error="请输入 1 到 5 的整数" promptTitle="打分" prompt="1–5" type="whole" operator="between">
      <formula1>1</formula1>
      <formula2>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48" customWidth="1" min="4" max="4"/>
  </cols>
  <sheetData>
    <row r="1">
      <c r="A1" s="8" t="inlineStr">
        <is>
          <t>什么情况下才该走：未同时点亮，就还不到「果断」</t>
        </is>
      </c>
    </row>
    <row r="3">
      <c r="A3" s="24" t="inlineStr">
        <is>
          <t>类别</t>
        </is>
      </c>
      <c r="B3" s="24" t="inlineStr">
        <is>
          <t>条件</t>
        </is>
      </c>
      <c r="C3" s="24" t="inlineStr">
        <is>
          <t>是否点亮</t>
        </is>
      </c>
      <c r="D3" s="24" t="inlineStr">
        <is>
          <t>证据（填写具体事实，禁止空话）</t>
        </is>
      </c>
    </row>
    <row r="4" ht="28" customHeight="1">
      <c r="A4" s="9" t="inlineStr">
        <is>
          <t>硬条件</t>
        </is>
      </c>
      <c r="B4" s="10" t="inlineStr">
        <is>
          <t>已有雇主或机构的书面机会</t>
        </is>
      </c>
      <c r="C4" s="10" t="inlineStr">
        <is>
          <t>未点亮</t>
        </is>
      </c>
      <c r="D4" s="10" t="inlineStr"/>
    </row>
    <row r="5" ht="28" customHeight="1">
      <c r="A5" s="9" t="inlineStr">
        <is>
          <t>硬条件</t>
        </is>
      </c>
      <c r="B5" s="10" t="inlineStr">
        <is>
          <t>签证路径清楚，不靠赌抽签</t>
        </is>
      </c>
      <c r="C5" s="10" t="inlineStr">
        <is>
          <t>未点亮</t>
        </is>
      </c>
      <c r="D5" s="10" t="inlineStr"/>
    </row>
    <row r="6" ht="28" customHeight="1">
      <c r="A6" s="9" t="inlineStr">
        <is>
          <t>硬条件</t>
        </is>
      </c>
      <c r="B6" s="10" t="inlineStr">
        <is>
          <t>3 年财务缓冲，不押上全部流动性</t>
        </is>
      </c>
      <c r="C6" s="10" t="inlineStr">
        <is>
          <t>未点亮</t>
        </is>
      </c>
      <c r="D6" s="10" t="inlineStr"/>
    </row>
    <row r="7" ht="28" customHeight="1">
      <c r="A7" s="17" t="inlineStr">
        <is>
          <t>事业条件</t>
        </is>
      </c>
      <c r="B7" s="18" t="inlineStr">
        <is>
          <t>去了能做这里做不了的事</t>
        </is>
      </c>
      <c r="C7" s="18" t="inlineStr">
        <is>
          <t>未点亮</t>
        </is>
      </c>
      <c r="D7" s="18" t="inlineStr"/>
    </row>
    <row r="8" ht="28" customHeight="1">
      <c r="A8" s="17" t="inlineStr">
        <is>
          <t>事业条件</t>
        </is>
      </c>
      <c r="B8" s="18" t="inlineStr">
        <is>
          <t>不是逃避失败，而是升级能力</t>
        </is>
      </c>
      <c r="C8" s="18" t="inlineStr">
        <is>
          <t>未点亮</t>
        </is>
      </c>
      <c r="D8" s="18" t="inlineStr"/>
    </row>
    <row r="9" ht="28" customHeight="1">
      <c r="A9" s="17" t="inlineStr">
        <is>
          <t>事业条件</t>
        </is>
      </c>
      <c r="B9" s="18" t="inlineStr">
        <is>
          <t>走之前本地资产有交接，而非蒸发</t>
        </is>
      </c>
      <c r="C9" s="18" t="inlineStr">
        <is>
          <t>未点亮</t>
        </is>
      </c>
      <c r="D9" s="18" t="inlineStr"/>
    </row>
    <row r="10" ht="28" customHeight="1">
      <c r="A10" s="11" t="inlineStr">
        <is>
          <t>心理条件</t>
        </is>
      </c>
      <c r="B10" s="5" t="inlineStr">
        <is>
          <t>能忍受身份不确定与可能的社会降级</t>
        </is>
      </c>
      <c r="C10" s="5" t="inlineStr">
        <is>
          <t>未点亮</t>
        </is>
      </c>
      <c r="D10" s="5" t="inlineStr"/>
    </row>
    <row r="11" ht="28" customHeight="1">
      <c r="A11" s="11" t="inlineStr">
        <is>
          <t>心理条件</t>
        </is>
      </c>
      <c r="B11" s="5" t="inlineStr">
        <is>
          <t>不需要靠「封存故乡」才能行动</t>
        </is>
      </c>
      <c r="C11" s="5" t="inlineStr">
        <is>
          <t>未点亮</t>
        </is>
      </c>
      <c r="D11" s="5" t="inlineStr"/>
    </row>
    <row r="12" ht="28" customHeight="1">
      <c r="A12" s="11" t="inlineStr">
        <is>
          <t>心理条件</t>
        </is>
      </c>
      <c r="B12" s="5" t="inlineStr">
        <is>
          <t>家人知情同意，不是一个人的诗</t>
        </is>
      </c>
      <c r="C12" s="5" t="inlineStr">
        <is>
          <t>未点亮</t>
        </is>
      </c>
      <c r="D12" s="5" t="inlineStr"/>
    </row>
    <row r="14" ht="28" customHeight="1">
      <c r="A14" s="25" t="inlineStr">
        <is>
          <t>已点亮条数</t>
        </is>
      </c>
      <c r="B14" s="23">
        <f>COUNTIF(C4:C12,"已点亮")</f>
        <v/>
      </c>
      <c r="C14" s="5" t="n"/>
      <c r="D14" s="5" t="n"/>
    </row>
    <row r="15" ht="28" customHeight="1">
      <c r="A15" s="25" t="inlineStr">
        <is>
          <t>硬条件是否齐</t>
        </is>
      </c>
      <c r="B15" s="23">
        <f>IF(COUNTIF(C4:C6,"已点亮")=3,"齐","不齐")</f>
        <v/>
      </c>
      <c r="C15" s="5" t="n"/>
      <c r="D15" s="5" t="n"/>
    </row>
    <row r="16" ht="28" customHeight="1">
      <c r="A16" s="25" t="inlineStr">
        <is>
          <t>是否进入「果断」</t>
        </is>
      </c>
      <c r="B16" s="23">
        <f>IF(AND(COUNTIF(C4:C6,"已点亮")=3,COUNTIF(C7:C9,"已点亮")=3,COUNTIF(C10:C12,"已点亮")&gt;=2),"可以认真谈走","还不到果断的时候")</f>
        <v/>
      </c>
      <c r="C16" s="5" t="n"/>
      <c r="D16" s="5" t="n"/>
    </row>
    <row r="17" ht="40" customHeight="1">
      <c r="A17" s="25" t="inlineStr">
        <is>
          <t>建议动作</t>
        </is>
      </c>
      <c r="B17" s="23">
        <f>IF(B16="可以认真谈走","进入路径 C：谈 offer、签证、返回条款，仍不接受「不要回来」作为人生协议。","留在路径 A 或 B。缺的硬条件用 90 天去补证据，而不是补情绪。")</f>
        <v/>
      </c>
      <c r="C17" s="5" t="n"/>
      <c r="D17" s="5" t="n"/>
    </row>
  </sheetData>
  <mergeCells count="5">
    <mergeCell ref="A1:D1"/>
    <mergeCell ref="B14:D14"/>
    <mergeCell ref="B17:D17"/>
    <mergeCell ref="B15:D15"/>
    <mergeCell ref="B16:D16"/>
  </mergeCells>
  <conditionalFormatting sqref="C4:C12">
    <cfRule type="expression" priority="1" dxfId="3">
      <formula>C4="已点亮"</formula>
    </cfRule>
  </conditionalFormatting>
  <dataValidations count="1">
    <dataValidation sqref="C4:C12" showDropDown="0" showInputMessage="0" showErrorMessage="0" allowBlank="0" type="list">
      <formula1>"已点亮,未点亮"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8" customWidth="1" min="3" max="3"/>
    <col width="32" customWidth="1" min="4" max="4"/>
    <col width="12" customWidth="1" min="5" max="5"/>
    <col width="28" customWidth="1" min="6" max="6"/>
  </cols>
  <sheetData>
    <row r="1">
      <c r="A1" s="8" t="inlineStr">
        <is>
          <t>90 天行动清单：前 30 天收束，中 30 天验证，后 30 天只开一条海外期权</t>
        </is>
      </c>
    </row>
    <row r="3">
      <c r="A3" s="26" t="inlineStr">
        <is>
          <t>阶段</t>
        </is>
      </c>
      <c r="B3" s="26" t="inlineStr">
        <is>
          <t>序号</t>
        </is>
      </c>
      <c r="C3" s="26" t="inlineStr">
        <is>
          <t>动作</t>
        </is>
      </c>
      <c r="D3" s="26" t="inlineStr">
        <is>
          <t>完成标准</t>
        </is>
      </c>
      <c r="E3" s="26" t="inlineStr">
        <is>
          <t>状态</t>
        </is>
      </c>
      <c r="F3" s="26" t="inlineStr">
        <is>
          <t>记录（日期 / 结果）</t>
        </is>
      </c>
    </row>
    <row r="4" ht="32" customHeight="1">
      <c r="A4" s="9" t="inlineStr">
        <is>
          <t>D1–30 收束</t>
        </is>
      </c>
      <c r="B4" s="10" t="inlineStr">
        <is>
          <t>A1</t>
        </is>
      </c>
      <c r="C4" s="10" t="inlineStr">
        <is>
          <t>只留一条主航道，写清卖什么、卖给谁、凭什么是你</t>
        </is>
      </c>
      <c r="D4" s="10" t="inlineStr">
        <is>
          <t>一页纸，能在 3 分钟内讲完</t>
        </is>
      </c>
      <c r="E4" s="10" t="inlineStr">
        <is>
          <t>未开始</t>
        </is>
      </c>
      <c r="F4" s="10" t="n"/>
    </row>
    <row r="5" ht="32" customHeight="1">
      <c r="A5" s="9" t="inlineStr">
        <is>
          <t>D1–30 收束</t>
        </is>
      </c>
      <c r="B5" s="10" t="inlineStr">
        <is>
          <t>A2</t>
        </is>
      </c>
      <c r="C5" s="10" t="inlineStr">
        <is>
          <t>停掉「既要出国又要本地爆」的并行幻想</t>
        </is>
      </c>
      <c r="D5" s="10" t="inlineStr">
        <is>
          <t>日历上删除所有无主航道会议</t>
        </is>
      </c>
      <c r="E5" s="10" t="inlineStr">
        <is>
          <t>未开始</t>
        </is>
      </c>
      <c r="F5" s="10" t="n"/>
    </row>
    <row r="6" ht="32" customHeight="1">
      <c r="A6" s="9" t="inlineStr">
        <is>
          <t>D1–30 收束</t>
        </is>
      </c>
      <c r="B6" s="10" t="inlineStr">
        <is>
          <t>A3</t>
        </is>
      </c>
      <c r="C6" s="10" t="inlineStr">
        <is>
          <t>把地产旧能力映射到产业空间 / 存量资产管理</t>
        </is>
      </c>
      <c r="D6" s="10" t="inlineStr">
        <is>
          <t>列出 3 件可立刻做的事</t>
        </is>
      </c>
      <c r="E6" s="10" t="inlineStr">
        <is>
          <t>未开始</t>
        </is>
      </c>
      <c r="F6" s="10" t="n"/>
    </row>
    <row r="7" ht="32" customHeight="1">
      <c r="A7" s="17" t="inlineStr">
        <is>
          <t>D31–60 验证</t>
        </is>
      </c>
      <c r="B7" s="18" t="inlineStr">
        <is>
          <t>B1</t>
        </is>
      </c>
      <c r="C7" s="18" t="inlineStr">
        <is>
          <t>推进 1 个可报价、可试点的 AI 场景项目</t>
        </is>
      </c>
      <c r="D7" s="18" t="inlineStr">
        <is>
          <t>出现报价单或试点纪要</t>
        </is>
      </c>
      <c r="E7" s="18" t="inlineStr">
        <is>
          <t>未开始</t>
        </is>
      </c>
      <c r="F7" s="18" t="n"/>
    </row>
    <row r="8" ht="32" customHeight="1">
      <c r="A8" s="17" t="inlineStr">
        <is>
          <t>D31–60 验证</t>
        </is>
      </c>
      <c r="B8" s="18" t="inlineStr">
        <is>
          <t>B2</t>
        </is>
      </c>
      <c r="C8" s="18" t="inlineStr">
        <is>
          <t>周复盘：线索 / 会议 / 订单哪一项在动</t>
        </is>
      </c>
      <c r="D8" s="18" t="inlineStr">
        <is>
          <t>连续 4 周有书面复盘</t>
        </is>
      </c>
      <c r="E8" s="18" t="inlineStr">
        <is>
          <t>未开始</t>
        </is>
      </c>
      <c r="F8" s="18" t="n"/>
    </row>
    <row r="9" ht="32" customHeight="1">
      <c r="A9" s="17" t="inlineStr">
        <is>
          <t>D31–60 验证</t>
        </is>
      </c>
      <c r="B9" s="18" t="inlineStr">
        <is>
          <t>B3</t>
        </is>
      </c>
      <c r="C9" s="18" t="inlineStr">
        <is>
          <t>宏观新闻降权，客户反馈升权</t>
        </is>
      </c>
      <c r="D9" s="18" t="inlineStr">
        <is>
          <t>每周客户对话 ≥ 宏观阅读时间</t>
        </is>
      </c>
      <c r="E9" s="18" t="inlineStr">
        <is>
          <t>未开始</t>
        </is>
      </c>
      <c r="F9" s="18" t="n"/>
    </row>
    <row r="10" ht="32" customHeight="1">
      <c r="A10" s="11" t="inlineStr">
        <is>
          <t>D61–90 期权</t>
        </is>
      </c>
      <c r="B10" s="5" t="inlineStr">
        <is>
          <t>C1</t>
        </is>
      </c>
      <c r="C10" s="5" t="inlineStr">
        <is>
          <t>准备英文一页纸 + 两个项目案例</t>
        </is>
      </c>
      <c r="D10" s="5" t="inlineStr">
        <is>
          <t>PDF 可外发</t>
        </is>
      </c>
      <c r="E10" s="5" t="inlineStr">
        <is>
          <t>未开始</t>
        </is>
      </c>
      <c r="F10" s="5" t="n"/>
    </row>
    <row r="11" ht="32" customHeight="1">
      <c r="A11" s="11" t="inlineStr">
        <is>
          <t>D61–90 期权</t>
        </is>
      </c>
      <c r="B11" s="5" t="inlineStr">
        <is>
          <t>C2</t>
        </is>
      </c>
      <c r="C11" s="5" t="inlineStr">
        <is>
          <t>锁定 1–2 个跨境合作接口（机构 / 校友 / 展会）</t>
        </is>
      </c>
      <c r="D11" s="5" t="inlineStr">
        <is>
          <t>至少一次实质对话记录</t>
        </is>
      </c>
      <c r="E11" s="5" t="inlineStr">
        <is>
          <t>未开始</t>
        </is>
      </c>
      <c r="F11" s="5" t="n"/>
    </row>
    <row r="12" ht="32" customHeight="1">
      <c r="A12" s="11" t="inlineStr">
        <is>
          <t>D61–90 期权</t>
        </is>
      </c>
      <c r="B12" s="5" t="inlineStr">
        <is>
          <t>C3</t>
        </is>
      </c>
      <c r="C12" s="5" t="inlineStr">
        <is>
          <t>没有书面机会，就不谈移民时间表</t>
        </is>
      </c>
      <c r="D12" s="5" t="inlineStr">
        <is>
          <t>家庭会议达成这条纪律</t>
        </is>
      </c>
      <c r="E12" s="5" t="inlineStr">
        <is>
          <t>未开始</t>
        </is>
      </c>
      <c r="F12" s="5" t="n"/>
    </row>
    <row r="14" ht="28" customHeight="1">
      <c r="A14" s="4" t="inlineStr">
        <is>
          <t>已完成</t>
        </is>
      </c>
      <c r="B14" s="23">
        <f>COUNTIF(E4:E12,"已完成")&amp;" / 9"</f>
        <v/>
      </c>
      <c r="C14" s="5" t="n"/>
      <c r="D14" s="5" t="n"/>
      <c r="E14" s="5" t="n"/>
      <c r="F14" s="5" t="n"/>
    </row>
    <row r="15" ht="28" customHeight="1">
      <c r="A15" s="4" t="inlineStr">
        <is>
          <t>进行中</t>
        </is>
      </c>
      <c r="B15" s="23">
        <f>COUNTIF(E4:E12,"进行中")</f>
        <v/>
      </c>
      <c r="C15" s="5" t="n"/>
      <c r="D15" s="5" t="n"/>
      <c r="E15" s="5" t="n"/>
      <c r="F15" s="5" t="n"/>
    </row>
    <row r="16" ht="40" customHeight="1">
      <c r="A16" s="4" t="inlineStr">
        <is>
          <t>卡点提示</t>
        </is>
      </c>
      <c r="B16" s="23">
        <f>IF(COUNTIF(E4:E6,"已完成")&lt;3,"先完成收束，再谈验证。",IF(COUNTIF(E7:E9,"已完成")&lt;1,"还没有报价或试点，出国讨论暂停。","可以开始做海外期权，但仍禁止无书面机会就定移民时间表。"))</f>
        <v/>
      </c>
      <c r="C16" s="5" t="n"/>
      <c r="D16" s="5" t="n"/>
      <c r="E16" s="5" t="n"/>
      <c r="F16" s="5" t="n"/>
    </row>
  </sheetData>
  <autoFilter ref="A3:F12"/>
  <mergeCells count="4">
    <mergeCell ref="B16:F16"/>
    <mergeCell ref="B15:F15"/>
    <mergeCell ref="A1:F1"/>
    <mergeCell ref="B14:F14"/>
  </mergeCells>
  <conditionalFormatting sqref="E4:E12">
    <cfRule type="expression" priority="1" dxfId="3">
      <formula>E4="已完成"</formula>
    </cfRule>
    <cfRule type="expression" priority="2" dxfId="4">
      <formula>E4="已放弃"</formula>
    </cfRule>
  </conditionalFormatting>
  <dataValidations count="1">
    <dataValidation sqref="E4:E12" showDropDown="0" showInputMessage="0" showErrorMessage="0" allowBlank="0" type="list">
      <formula1>"未开始,进行中,已完成,已放弃"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52" customWidth="1" min="3" max="3"/>
  </cols>
  <sheetData>
    <row r="1">
      <c r="A1" s="8" t="inlineStr">
        <is>
          <t>那段话：收藏修辞，不让修辞代替战略</t>
        </is>
      </c>
    </row>
    <row r="3">
      <c r="A3" s="3" t="inlineStr">
        <is>
          <t>原句（诀别）</t>
        </is>
      </c>
      <c r="B3" s="3" t="inlineStr">
        <is>
          <t>改写（战略）</t>
        </is>
      </c>
      <c r="C3" s="3" t="inlineStr">
        <is>
          <t>为什么要改</t>
        </is>
      </c>
    </row>
    <row r="4" ht="42" customHeight="1">
      <c r="A4" s="11" t="inlineStr">
        <is>
          <t>不要回来</t>
        </is>
      </c>
      <c r="B4" s="5" t="inlineStr">
        <is>
          <t>可以回来，也可以不回来；回来与否由价值与心安决定，不由誓言决定</t>
        </is>
      </c>
      <c r="C4" s="5" t="inlineStr">
        <is>
          <t>「不要回来」是走了之后的自我保护，不能充当走之前的可行性研究</t>
        </is>
      </c>
    </row>
    <row r="5" ht="42" customHeight="1">
      <c r="A5" s="11" t="inlineStr">
        <is>
          <t>不要想念我们</t>
        </is>
      </c>
      <c r="B5" s="5" t="inlineStr">
        <is>
          <t>可以想家，但不让想家做决定；每周只留一个固定时段处理思念</t>
        </is>
      </c>
      <c r="C5" s="5" t="inlineStr">
        <is>
          <t>禁止想念会让思念改道成暗伤；管理想念才是成人</t>
        </is>
      </c>
    </row>
    <row r="6" ht="42" customHeight="1">
      <c r="A6" s="11" t="inlineStr">
        <is>
          <t>不要回头</t>
        </is>
      </c>
      <c r="B6" s="5" t="inlineStr">
        <is>
          <t>可以回头看，但每周只看一次，看完继续做主航道</t>
        </is>
      </c>
      <c r="C6" s="5" t="inlineStr">
        <is>
          <t>完全不回头会失去校准；频繁回头会失去行动</t>
        </is>
      </c>
    </row>
    <row r="7" ht="42" customHeight="1">
      <c r="A7" s="11" t="inlineStr">
        <is>
          <t>不要写信</t>
        </is>
      </c>
      <c r="B7" s="5" t="inlineStr">
        <is>
          <t>可以写信，把思念变成连接，而不是抽签式倾诉</t>
        </is>
      </c>
      <c r="C7" s="5" t="inlineStr">
        <is>
          <t>连接是资产；封存是销毁资产</t>
        </is>
      </c>
    </row>
    <row r="8" ht="42" customHeight="1">
      <c r="A8" s="11" t="inlineStr">
        <is>
          <t>不要向乡愁屈服</t>
        </is>
      </c>
      <c r="B8" s="5" t="inlineStr">
        <is>
          <t>乡愁不是软肋，失控的乡愁才是</t>
        </is>
      </c>
      <c r="C8" s="5" t="inlineStr">
        <is>
          <t>原句把情感污名化，容易让人用决绝掩盖尚未想清的事</t>
        </is>
      </c>
    </row>
    <row r="9" ht="42" customHeight="1">
      <c r="A9" s="11" t="inlineStr">
        <is>
          <t>不要落叶归根</t>
        </is>
      </c>
      <c r="B9" s="5" t="inlineStr">
        <is>
          <t>不必归根，也不必斩根</t>
        </is>
      </c>
      <c r="C9" s="5" t="inlineStr">
        <is>
          <t>归根不是失败；斩根也不是成功</t>
        </is>
      </c>
    </row>
    <row r="10" ht="42" customHeight="1">
      <c r="A10" s="11" t="inlineStr">
        <is>
          <t>而要落地生根</t>
        </is>
      </c>
      <c r="B10" s="5" t="inlineStr">
        <is>
          <t>先在能创造价值的地方生根；生根不等于切断旧根</t>
        </is>
      </c>
      <c r="C10" s="5" t="inlineStr">
        <is>
          <t>双根结构比斩根结构更适合有护照、有职业选择的人</t>
        </is>
      </c>
    </row>
    <row r="11" ht="42" customHeight="1">
      <c r="A11" s="9" t="inlineStr">
        <is>
          <t>心安之处即是家</t>
        </is>
      </c>
      <c r="B11" s="10" t="inlineStr">
        <is>
          <t>保留。心安要自己养，不能靠切断记忆来换</t>
        </is>
      </c>
      <c r="C11" s="10" t="inlineStr">
        <is>
          <t>这是原话里唯一应当完整保留的内核</t>
        </is>
      </c>
    </row>
    <row r="12" ht="42" customHeight="1">
      <c r="A12" s="11" t="inlineStr">
        <is>
          <t>把关于这里的一切都封存起来</t>
        </is>
      </c>
      <c r="B12" s="5" t="inlineStr">
        <is>
          <t>把「这里」编码进能力，而不是封存进遗忘</t>
        </is>
      </c>
      <c r="C12" s="5" t="inlineStr">
        <is>
          <t>对网络型从业者，这里的一切往往就是资产负债表</t>
        </is>
      </c>
    </row>
    <row r="13" ht="42" customHeight="1">
      <c r="A13" s="11" t="inlineStr">
        <is>
          <t>别让思念成为你的软肋</t>
        </is>
      </c>
      <c r="B13" s="5" t="inlineStr">
        <is>
          <t>别让失控的思念成为软肋；健康的思念是导航，不是枷锁</t>
        </is>
      </c>
      <c r="C13" s="5" t="inlineStr">
        <is>
          <t>软肋来自失控，不来自还有所爱</t>
        </is>
      </c>
    </row>
    <row r="15">
      <c r="A15" s="27" t="inlineStr">
        <is>
          <t>可带走的三句</t>
        </is>
      </c>
    </row>
    <row r="16" ht="28" customHeight="1">
      <c r="A16" s="6" t="inlineStr">
        <is>
          <t>别回头，向前走。不归根，也可以不斩根。心安处，即吾乡。</t>
        </is>
      </c>
    </row>
    <row r="18" ht="32" customHeight="1">
      <c r="A18" s="12" t="inlineStr">
        <is>
          <t>家是养出来的，不是逃出来的。如果必须把过去全部封存才能迈步，说明迈步的理由还不够硬，硬的是情绪。</t>
        </is>
      </c>
    </row>
  </sheetData>
  <mergeCells count="4">
    <mergeCell ref="A1:C1"/>
    <mergeCell ref="A18:C18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2026-08-13T17:08:18Z</dcterms:created>
  <dcterms:modified xmlns:dcterms="http://purl.org/dc/terms/" xmlns:xsi="http://www.w3.org/2001/XMLSchema-instance" xsi:type="dcterms:W3CDTF">2026-08-13T17:08:18Z</dcterms:modified>
</cp:coreProperties>
</file>