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办理顺序" sheetId="1" state="visible" r:id="rId1"/>
    <sheet xmlns:r="http://schemas.openxmlformats.org/officeDocument/2006/relationships" name="材料核心" sheetId="2" state="visible" r:id="rId2"/>
    <sheet xmlns:r="http://schemas.openxmlformats.org/officeDocument/2006/relationships" name="伤情鉴定" sheetId="3" state="visible" r:id="rId3"/>
    <sheet xmlns:r="http://schemas.openxmlformats.org/officeDocument/2006/relationships" name="伤残情况" sheetId="4" state="visible" r:id="rId4"/>
    <sheet xmlns:r="http://schemas.openxmlformats.org/officeDocument/2006/relationships" name="外伤与退变对照" sheetId="5" state="visible" r:id="rId5"/>
    <sheet xmlns:r="http://schemas.openxmlformats.org/officeDocument/2006/relationships" name="转院报销" sheetId="6" state="visible" r:id="rId6"/>
    <sheet xmlns:r="http://schemas.openxmlformats.org/officeDocument/2006/relationships" name="费用台账" sheetId="7" state="visible" r:id="rId7"/>
    <sheet xmlns:r="http://schemas.openxmlformats.org/officeDocument/2006/relationships" name="72小时待办" sheetId="8" state="visible" r:id="rId8"/>
    <sheet xmlns:r="http://schemas.openxmlformats.org/officeDocument/2006/relationships" name="沟通口径卡" sheetId="9" state="visible" r:id="rId9"/>
    <sheet xmlns:r="http://schemas.openxmlformats.org/officeDocument/2006/relationships" name="责任与程序" sheetId="10" state="visible" r:id="rId10"/>
    <sheet xmlns:r="http://schemas.openxmlformats.org/officeDocument/2006/relationships" name="刘孝春分担清单" sheetId="11" state="visible" r:id="rId11"/>
    <sheet xmlns:r="http://schemas.openxmlformats.org/officeDocument/2006/relationships" name="法律关系提醒" sheetId="12" state="visible" r:id="rId12"/>
    <sheet xmlns:r="http://schemas.openxmlformats.org/officeDocument/2006/relationships" name="待补充信息" sheetId="13" state="visible" r:id="rId13"/>
    <sheet xmlns:r="http://schemas.openxmlformats.org/officeDocument/2006/relationships" name="录音来源" sheetId="14" state="visible" r:id="rId14"/>
    <sheet xmlns:r="http://schemas.openxmlformats.org/officeDocument/2006/relationships" name="附录轻弦洽谈" sheetId="15" state="visible" r:id="rId15"/>
  </sheets>
  <definedNames>
    <definedName name="_xlnm._FilterDatabase" localSheetId="0" hidden="1">'办理顺序'!$A$1:$G$21</definedName>
    <definedName name="_xlnm.Print_Titles" localSheetId="0">'办理顺序'!$1:$2</definedName>
    <definedName name="_xlnm._FilterDatabase" localSheetId="1" hidden="1">'材料核心'!$A$1:$D$17</definedName>
    <definedName name="_xlnm.Print_Titles" localSheetId="1">'材料核心'!$1:$2</definedName>
    <definedName name="_xlnm._FilterDatabase" localSheetId="2" hidden="1">'伤情鉴定'!$A$1:$F$8</definedName>
    <definedName name="_xlnm.Print_Titles" localSheetId="2">'伤情鉴定'!$1:$2</definedName>
    <definedName name="_xlnm._FilterDatabase" localSheetId="3" hidden="1">'伤残情况'!$A$1:$C$15</definedName>
    <definedName name="_xlnm.Print_Titles" localSheetId="3">'伤残情况'!$1:$2</definedName>
    <definedName name="_xlnm._FilterDatabase" localSheetId="4" hidden="1">'外伤与退变对照'!$A$1:$C$18</definedName>
    <definedName name="_xlnm.Print_Titles" localSheetId="4">'外伤与退变对照'!$1:$2</definedName>
    <definedName name="_xlnm._FilterDatabase" localSheetId="5" hidden="1">'转院报销'!$A$1:$C$10</definedName>
    <definedName name="_xlnm.Print_Titles" localSheetId="5">'转院报销'!$1:$2</definedName>
    <definedName name="_xlnm._FilterDatabase" localSheetId="6" hidden="1">'费用台账'!$A$2:$H$30</definedName>
    <definedName name="_xlnm.Print_Titles" localSheetId="6">'费用台账'!$1:$2</definedName>
    <definedName name="_xlnm._FilterDatabase" localSheetId="7" hidden="1">'72小时待办'!$A$1:$E$10</definedName>
    <definedName name="_xlnm.Print_Titles" localSheetId="7">'72小时待办'!$1:$2</definedName>
    <definedName name="_xlnm._FilterDatabase" localSheetId="8" hidden="1">'沟通口径卡'!$A$1:$B$36</definedName>
    <definedName name="_xlnm.Print_Titles" localSheetId="8">'沟通口径卡'!$1:$2</definedName>
    <definedName name="_xlnm._FilterDatabase" localSheetId="9" hidden="1">'责任与程序'!$A$1:$C$14</definedName>
    <definedName name="_xlnm.Print_Titles" localSheetId="9">'责任与程序'!$1:$2</definedName>
    <definedName name="_xlnm._FilterDatabase" localSheetId="10" hidden="1">'刘孝春分担清单'!$A$1:$E$28</definedName>
    <definedName name="_xlnm.Print_Titles" localSheetId="10">'刘孝春分担清单'!$1:$2</definedName>
    <definedName name="_xlnm._FilterDatabase" localSheetId="11" hidden="1">'法律关系提醒'!$A$1:$B$8</definedName>
    <definedName name="_xlnm.Print_Titles" localSheetId="11">'法律关系提醒'!$1:$2</definedName>
    <definedName name="_xlnm._FilterDatabase" localSheetId="12" hidden="1">'待补充信息'!$A$1:$E$14</definedName>
    <definedName name="_xlnm.Print_Titles" localSheetId="12">'待补充信息'!$1:$2</definedName>
    <definedName name="_xlnm._FilterDatabase" localSheetId="13" hidden="1">'录音来源'!$A$1:$D$20</definedName>
    <definedName name="_xlnm.Print_Titles" localSheetId="13">'录音来源'!$1:$2</definedName>
    <definedName name="_xlnm._FilterDatabase" localSheetId="14" hidden="1">'附录轻弦洽谈'!$A$1:$B$6</definedName>
    <definedName name="_xlnm.Print_Titles" localSheetId="14">'附录轻弦洽谈'!$1:$2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0B2F5B"/>
      <sz val="14"/>
    </font>
    <font>
      <name val="微软雅黑"/>
      <b val="1"/>
      <color rgb="00FFFFFF"/>
      <sz val="11"/>
    </font>
    <font>
      <name val="微软雅黑"/>
      <color rgb="001F2A37"/>
      <sz val="10"/>
    </font>
    <font>
      <name val="微软雅黑"/>
      <b val="1"/>
      <color rgb="00A63D2F"/>
      <sz val="10"/>
    </font>
    <font>
      <name val="微软雅黑"/>
      <b val="1"/>
      <color rgb="00B57A2A"/>
      <sz val="10"/>
    </font>
    <font>
      <name val="微软雅黑"/>
      <b val="1"/>
      <color rgb="000B2F5B"/>
      <sz val="10"/>
    </font>
    <font>
      <name val="微软雅黑"/>
      <b val="1"/>
      <color rgb="002F6B4F"/>
      <sz val="10"/>
    </font>
    <font>
      <name val="微软雅黑"/>
      <b val="1"/>
      <color rgb="001F2A37"/>
      <sz val="10"/>
    </font>
  </fonts>
  <fills count="4">
    <fill>
      <patternFill/>
    </fill>
    <fill>
      <patternFill patternType="gray125"/>
    </fill>
    <fill>
      <patternFill patternType="solid">
        <fgColor rgb="000B2F5B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4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4" fontId="3" fillId="0" borderId="1" applyAlignment="1" pivotButton="0" quotePrefix="0" xfId="0">
      <alignment vertical="center" wrapText="1"/>
    </xf>
    <xf numFmtId="4" fontId="3" fillId="3" borderId="1" applyAlignment="1" pivotButton="0" quotePrefix="0" xfId="0">
      <alignment vertical="center" wrapText="1"/>
    </xf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28" customWidth="1" min="5" max="5"/>
    <col width="55" customWidth="1" min="6" max="6"/>
    <col width="36" customWidth="1" min="7" max="7"/>
  </cols>
  <sheetData>
    <row r="1" ht="24" customHeight="1">
      <c r="A1" s="1" t="inlineStr">
        <is>
          <t>现阶段不谈总赔偿数额。先固定监控和用工证据，取得书面认定，确认保险与医院资格，核清费用；鉴定后再算。</t>
        </is>
      </c>
    </row>
    <row r="2" ht="22" customHeight="1">
      <c r="A2" s="2" t="inlineStr">
        <is>
          <t>序号</t>
        </is>
      </c>
      <c r="B2" s="2" t="inlineStr">
        <is>
          <t>缓急</t>
        </is>
      </c>
      <c r="C2" s="2" t="inlineStr">
        <is>
          <t>时限</t>
        </is>
      </c>
      <c r="D2" s="2" t="inlineStr">
        <is>
          <t>事项</t>
        </is>
      </c>
      <c r="E2" s="2" t="inlineStr">
        <is>
          <t>谁来办</t>
        </is>
      </c>
      <c r="F2" s="2" t="inlineStr">
        <is>
          <t>怎么办理</t>
        </is>
      </c>
      <c r="G2" s="2" t="inlineStr">
        <is>
          <t>完成标志</t>
        </is>
      </c>
    </row>
    <row r="3" ht="72" customHeight="1">
      <c r="A3" s="3" t="inlineStr">
        <is>
          <t>S0</t>
        </is>
      </c>
      <c r="B3" s="4" t="inlineStr">
        <is>
          <t>贯穿禁止</t>
        </is>
      </c>
      <c r="C3" s="3" t="inlineStr">
        <is>
          <t>从现在到评残结束</t>
        </is>
      </c>
      <c r="D3" s="3" t="inlineStr">
        <is>
          <t>不谈总赔偿数额</t>
        </is>
      </c>
      <c r="E3" s="3" t="inlineStr">
        <is>
          <t>全体对外场合（骑手、保险、刘孝春、交警）</t>
        </is>
      </c>
      <c r="F3" s="3" t="inlineStr">
        <is>
          <t>对骑手、刘孝春、保险只谈已发生发票、住院号、拉群、认定书进度。有人问「一共要多少」：答「费用还在发生，等认定书和治疗稳定后再按票算」。3 万垫付收据写明不是了结。内部测算数字不要发到群里。</t>
        </is>
      </c>
      <c r="G3" s="3" t="inlineStr">
        <is>
          <t>所有书面沟通都没有总包数字；没有签了结协议。</t>
        </is>
      </c>
    </row>
    <row r="4" ht="72" customHeight="1">
      <c r="A4" s="5" t="inlineStr">
        <is>
          <t>S1</t>
        </is>
      </c>
      <c r="B4" s="6" t="inlineStr">
        <is>
          <t>紧急</t>
        </is>
      </c>
      <c r="C4" s="5" t="inlineStr">
        <is>
          <t>本周，可并行</t>
        </is>
      </c>
      <c r="D4" s="5" t="inlineStr">
        <is>
          <t>固定监控证据</t>
        </is>
      </c>
      <c r="E4" s="5" t="inlineStr">
        <is>
          <t>胡继刚 → 市北区交警陈师傅</t>
        </is>
      </c>
      <c r="F4" s="5" t="inlineStr">
        <is>
          <t>微信或当面问四件事并请他回复留痕：①事故编号；②监控是否已调取、保存到何时；③家属或律师何时可查看、能否复制；④书面认定书预计哪天出具。不要只靠手机偷拍交警屏幕。能拿到复制件最好；拿不到至少要「已调取+允许查看」的微信回执。</t>
        </is>
      </c>
      <c r="G4" s="5" t="inlineStr">
        <is>
          <t>事故编号 + 监控调取/查看回执（微信截图即可）写进台账。</t>
        </is>
      </c>
    </row>
    <row r="5" ht="72" customHeight="1">
      <c r="A5" s="3" t="inlineStr">
        <is>
          <t>S2</t>
        </is>
      </c>
      <c r="B5" s="4" t="inlineStr">
        <is>
          <t>紧急</t>
        </is>
      </c>
      <c r="C5" s="3" t="inlineStr">
        <is>
          <t>本周，可并行</t>
        </is>
      </c>
      <c r="D5" s="3" t="inlineStr">
        <is>
          <t>固定用工证据</t>
        </is>
      </c>
      <c r="E5" s="3" t="inlineStr">
        <is>
          <t>胡继刚 + 刘孝春</t>
        </is>
      </c>
      <c r="F5" s="3" t="inlineStr">
        <is>
          <t>当天做三张纸：①3 万现金收据，写「垫付医疗费，不是借款，不是一次性了结交通事故，不冲抵未结工钱，不代美团赔偿」；②未结工钱约 5000 另写欠条/微信确认，不乘责任比例；③保存派活微信、内部牌照片、转向灯损坏照片、当天卸货事实。营业执照或微信抬头能要则要。不要去人社局报工伤。</t>
        </is>
      </c>
      <c r="G5" s="3" t="inlineStr">
        <is>
          <t>收据原件、欠条/微信确认、派活和车辆照片已拍照备份。</t>
        </is>
      </c>
    </row>
    <row r="6" ht="72" customHeight="1">
      <c r="A6" s="5" t="inlineStr">
        <is>
          <t>S3</t>
        </is>
      </c>
      <c r="B6" s="6" t="inlineStr">
        <is>
          <t>紧急</t>
        </is>
      </c>
      <c r="C6" s="5" t="inlineStr">
        <is>
          <t>本周，可并行</t>
        </is>
      </c>
      <c r="D6" s="5" t="inlineStr">
        <is>
          <t>确认医院资格并办住院号</t>
        </is>
      </c>
      <c r="E6" s="5" t="inlineStr">
        <is>
          <t>家属 → 人民医院入院处 / 齐鲁出院处</t>
        </is>
      </c>
      <c r="F6" s="5" t="inlineStr">
        <is>
          <t>先办齐鲁出院结算和 33 床出院记录，再办人民医院住院号。向保险书面确认：市北区人民医院（抚顺路院区）是否可赔、赔付比例、医保范围内用药如何核。口径是二级以上公立、医保范围内用药可以；比例未书面确定前不要按全额报销花钱。出院前索取住院费用清单、诊断证明、出院小结。发热、伤口、外固定异常立刻回三甲急诊。</t>
        </is>
      </c>
      <c r="G6" s="5" t="inlineStr">
        <is>
          <t>住院号办成；保险对医院资格有书面或群内文字答复。</t>
        </is>
      </c>
    </row>
    <row r="7" ht="72" customHeight="1">
      <c r="A7" s="3" t="inlineStr">
        <is>
          <t>S4</t>
        </is>
      </c>
      <c r="B7" s="4" t="inlineStr">
        <is>
          <t>紧急</t>
        </is>
      </c>
      <c r="C7" s="3" t="inlineStr">
        <is>
          <t>本周，可并行</t>
        </is>
      </c>
      <c r="D7" s="3" t="inlineStr">
        <is>
          <t>确认保险（承保公司、保单、比例）</t>
        </is>
      </c>
      <c r="E7" s="3" t="inlineStr">
        <is>
          <t>家属 + 骑手拉群</t>
        </is>
      </c>
      <c r="F7" s="3" t="inlineStr">
        <is>
          <t>骑手必须拉群：骑手、站点、保险客服、家属。群里书面要：保险公司全称、保单号、报案号、限额、人民医院书面赔付比例、要不要认定书才能垫付医疗费、理赔材料清单。不要只打电话。超 3 天无保险对接人，才触发律师函，现在不先发。</t>
        </is>
      </c>
      <c r="G7" s="3" t="inlineStr">
        <is>
          <t>四方微信群建立；保单号/报案号和书面比例（或「待书面」的催告记录）在群里。</t>
        </is>
      </c>
    </row>
    <row r="8" ht="72" customHeight="1">
      <c r="A8" s="5" t="inlineStr">
        <is>
          <t>S5</t>
        </is>
      </c>
      <c r="B8" s="6" t="inlineStr">
        <is>
          <t>紧急</t>
        </is>
      </c>
      <c r="C8" s="5" t="inlineStr">
        <is>
          <t>本周起持续</t>
        </is>
      </c>
      <c r="D8" s="5" t="inlineStr">
        <is>
          <t>核清全部费用</t>
        </is>
      </c>
      <c r="E8" s="5" t="inlineStr">
        <is>
          <t>家属（医院窗口 + 护工公司 + 刘孝春收据）</t>
        </is>
      </c>
      <c r="F8" s="5" t="inlineStr">
        <is>
          <t>用发票做台账，分清：刘孝春垫付现金 3 万是一笔；费用口径 4 万是累计还是另一笔。逐项贴票：齐鲁手术/CT、人民医院、药品、护工（医院推荐一对一 24 小时，300 元/天，须合同+发票）、救护车 160 元。医保已报金额单独记，避免重复报。记录 13 的 8000 元、蒋玉年不是本案。无票现金先不要对外报。</t>
        </is>
      </c>
      <c r="G8" s="5" t="inlineStr">
        <is>
          <t>Excel 费用台账能对上发票；对外只报对上票的一个数。</t>
        </is>
      </c>
    </row>
    <row r="9" ht="72" customHeight="1">
      <c r="A9" s="3" t="inlineStr">
        <is>
          <t>S6</t>
        </is>
      </c>
      <c r="B9" s="7" t="inlineStr">
        <is>
          <t>急</t>
        </is>
      </c>
      <c r="C9" s="3" t="inlineStr">
        <is>
          <t>1–2 周</t>
        </is>
      </c>
      <c r="D9" s="3" t="inlineStr">
        <is>
          <t>取得书面责任认定</t>
        </is>
      </c>
      <c r="E9" s="3" t="inlineStr">
        <is>
          <t>胡继刚催陈师傅；签字前律师看</t>
        </is>
      </c>
      <c r="F9" s="3" t="inlineStr">
        <is>
          <t>本周先要「预计出具日」。收到认定书先核对：地点是否写抚顺路和哈尔滨路路口、双方身份、过错描述、责任比例。不服有复核期，不要当场情绪化拒签，先拍照发给律师。认定书不管金额，不要逼交警写赔多少。简易或一般程序由律师看完监控再定，家属不自己拍板。</t>
        </is>
      </c>
      <c r="G9" s="3" t="inlineStr">
        <is>
          <t>认定书原件在手，复印件/照片已备份；路名和责任比例已记下。</t>
        </is>
      </c>
    </row>
    <row r="10" ht="72" customHeight="1">
      <c r="A10" s="5" t="inlineStr">
        <is>
          <t>S7</t>
        </is>
      </c>
      <c r="B10" s="8" t="inlineStr">
        <is>
          <t>急</t>
        </is>
      </c>
      <c r="C10" s="5" t="inlineStr">
        <is>
          <t>看完监控后、签程序前</t>
        </is>
      </c>
      <c r="D10" s="5" t="inlineStr">
        <is>
          <t>律师确定简易或一般程序</t>
        </is>
      </c>
      <c r="E10" s="5" t="inlineStr">
        <is>
          <t>岳父场外把关；家属不拍板</t>
        </is>
      </c>
      <c r="F10" s="5" t="inlineStr">
        <is>
          <t>岳父看监控复制件或指导查看、看内部牌和灯坏情况后，书面或微信明确「走简易」或「走一般」。同意任何责任比例之前必须看完。现在不到场见骑手或刘孝春、不先发律师函。</t>
        </is>
      </c>
      <c r="G10" s="5" t="inlineStr">
        <is>
          <t>律师对程序有明确意见；家属按该意见回复交警。</t>
        </is>
      </c>
    </row>
    <row r="11" ht="72" customHeight="1">
      <c r="A11" s="3" t="inlineStr">
        <is>
          <t>S8</t>
        </is>
      </c>
      <c r="B11" s="9" t="inlineStr">
        <is>
          <t>中</t>
        </is>
      </c>
      <c r="C11" s="3" t="inlineStr">
        <is>
          <t>治疗期间持续，不挡本周急事</t>
        </is>
      </c>
      <c r="D11" s="3" t="inlineStr">
        <is>
          <t>补现场与护栏证据</t>
        </is>
      </c>
      <c r="E11" s="3" t="inlineStr">
        <is>
          <t>胡继刚补拍；以认定书为准</t>
        </is>
      </c>
      <c r="F11" s="3" t="inlineStr">
        <is>
          <t>补拍护栏开口、路口方向、内部牌。3D 示范动画留作待用，等交警原视频再做写实，本次不重做。对外地点统一用：抚顺路和哈尔滨路路口（抚顺路批发市场）。</t>
        </is>
      </c>
      <c r="G11" s="3" t="inlineStr">
        <is>
          <t>现场照片已存；认定书正式路名已核对。</t>
        </is>
      </c>
    </row>
    <row r="12" ht="72" customHeight="1">
      <c r="A12" s="5" t="inlineStr">
        <is>
          <t>S9</t>
        </is>
      </c>
      <c r="B12" s="10" t="inlineStr">
        <is>
          <t>后</t>
        </is>
      </c>
      <c r="C12" s="5" t="inlineStr">
        <is>
          <t>病情稳定、鉴定条件成熟（常见伤后约 3 个月，以鉴定机构书面要求为准）</t>
        </is>
      </c>
      <c r="D12" s="5" t="inlineStr">
        <is>
          <t>再计算交通事故赔偿和用工责任请求</t>
        </is>
      </c>
      <c r="E12" s="5" t="inlineStr">
        <is>
          <t>家属 + 律师；司法鉴定机构</t>
        </is>
      </c>
      <c r="F12" s="5" t="inlineStr">
        <is>
          <t>治疗终结后做道路交通事故伤残鉴定（人体损伤致残程度分级），用途写清交通事故，右足骨刺不送评，不要走人社局工伤标准。鉴定后才计算：①对骑手/美团平台险的交通事故赔偿（按认定书比例）；②对刘孝春的雇员受害（民法典 1192）和车主过错（1209），只切己方缺口里与其过错相当的部分，不替美团补约 70%。未结工钱始终 100% 由刘付。谈不拢再起诉。</t>
        </is>
      </c>
      <c r="G12" s="5" t="inlineStr">
        <is>
          <t>鉴定意见出具后，按票+残级+责任比例列出请求清单，再进入调解或起诉。</t>
        </is>
      </c>
    </row>
    <row r="14">
      <c r="A14" s="11" t="inlineStr">
        <is>
          <t>贯穿禁止</t>
        </is>
      </c>
    </row>
    <row r="15" ht="28" customHeight="1">
      <c r="A15" s="11" t="inlineStr">
        <is>
          <t>不要现在谈总赔偿数额、总包、一次性了结，也不要报残级。</t>
        </is>
      </c>
    </row>
    <row r="16" ht="28" customHeight="1">
      <c r="A16" s="11" t="inlineStr">
        <is>
          <t>不要把内部测算（残疾赔偿金基数、70%/30%）说给骑手或刘孝春当报价。</t>
        </is>
      </c>
    </row>
    <row r="17" ht="28" customHeight="1">
      <c r="A17" s="11" t="inlineStr">
        <is>
          <t>不要去人社局报工伤；用工责任按雇员受害和车主过错另走。</t>
        </is>
      </c>
    </row>
    <row r="18" ht="28" customHeight="1">
      <c r="A18" s="11" t="inlineStr">
        <is>
          <t>不要签任何写着「一次了结、以后不再主张」的纸，包括微信里口头两清。</t>
        </is>
      </c>
    </row>
    <row r="19" ht="28" customHeight="1">
      <c r="A19" s="11" t="inlineStr">
        <is>
          <t>3 万垫付收据必须写清：垫付医疗费，不是借款，不是了结。</t>
        </is>
      </c>
    </row>
    <row r="21" ht="48" customHeight="1">
      <c r="A21" s="11" t="inlineStr">
        <is>
          <t>本案现阶段不应急于谈一个总赔偿数额。应先固定监控和用工证据、取得书面责任认定、确认保险与医院资格、核清全部费用，再在病情稳定及鉴定条件成熟后计算交通事故赔偿，以及可能的雇员受害/车主过错请求。本案未签劳动合同，不具备工伤认定条件，不要去人社局报工伤。</t>
        </is>
      </c>
    </row>
  </sheetData>
  <autoFilter ref="A1:G21"/>
  <mergeCells count="8">
    <mergeCell ref="A14:G14"/>
    <mergeCell ref="A1:G1"/>
    <mergeCell ref="A17:G17"/>
    <mergeCell ref="A18:G18"/>
    <mergeCell ref="A21:G21"/>
    <mergeCell ref="A16:G16"/>
    <mergeCell ref="A15:G15"/>
    <mergeCell ref="A19:G19"/>
  </mergeCell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55" customWidth="1" min="4" max="4"/>
  </cols>
  <sheetData>
    <row r="1" ht="24" customHeight="1">
      <c r="A1" s="1" t="inlineStr">
        <is>
          <t>17 份转写去重：转院只三点，事故四条，立即八事。费用按 4 万元逐笔核。</t>
        </is>
      </c>
    </row>
    <row r="2" ht="22" customHeight="1">
      <c r="A2" s="2" t="inlineStr">
        <is>
          <t>块</t>
        </is>
      </c>
      <c r="B2" s="2" t="inlineStr">
        <is>
          <t>序号</t>
        </is>
      </c>
      <c r="C2" s="2" t="inlineStr">
        <is>
          <t>事项</t>
        </is>
      </c>
      <c r="D2" s="2" t="inlineStr">
        <is>
          <t>怎么做 / 口径</t>
        </is>
      </c>
    </row>
    <row r="3" ht="56" customHeight="1">
      <c r="A3" s="3" t="inlineStr">
        <is>
          <t>转院三点</t>
        </is>
      </c>
      <c r="B3" s="3" t="n">
        <v>1</v>
      </c>
      <c r="C3" s="3" t="inlineStr">
        <is>
          <t>先完成原医院结算</t>
        </is>
      </c>
      <c r="D3" s="3" t="inlineStr">
        <is>
          <t>齐鲁出院结算、33 床出院记录、押金原路退。跨院必须先结上一院，才能办人民医院入院。 完成：齐鲁出院手续办完，人民医院能收材料。</t>
        </is>
      </c>
    </row>
    <row r="4" ht="56" customHeight="1">
      <c r="A4" s="5" t="inlineStr">
        <is>
          <t>转院三点</t>
        </is>
      </c>
      <c r="B4" s="5" t="n">
        <v>2</v>
      </c>
      <c r="C4" s="5" t="inlineStr">
        <is>
          <t>确认新医院能否正常入院</t>
        </is>
      </c>
      <c r="D4" s="5" t="inlineStr">
        <is>
          <t>市北区人民医院（抚顺路院区）办住院号。医疗安全为先：手续卡住先问齐鲁能否收回，不要另找三甲碰运气。 完成：住院号办成。</t>
        </is>
      </c>
    </row>
    <row r="5" ht="56" customHeight="1">
      <c r="A5" s="3" t="inlineStr">
        <is>
          <t>转院三点</t>
        </is>
      </c>
      <c r="B5" s="3" t="n">
        <v>3</v>
      </c>
      <c r="C5" s="3" t="inlineStr">
        <is>
          <t>向实际承保公司书面确认二甲医院的赔付资格和比例</t>
        </is>
      </c>
      <c r="D5" s="3" t="inlineStr">
        <is>
          <t>骑手拉群报案。要保单号、书面比例。不依赖交警、医院或非经办人员的口头判断。家属确认可以赔、比例待定，不等于书面已到。 完成：书面或群内文字：认不认人民医院、比例多少。</t>
        </is>
      </c>
    </row>
    <row r="6" ht="56" customHeight="1">
      <c r="A6" s="5" t="inlineStr">
        <is>
          <t>事故四条</t>
        </is>
      </c>
      <c r="B6" s="5" t="inlineStr">
        <is>
          <t>早期口述</t>
        </is>
      </c>
      <c r="C6" s="5" t="inlineStr">
        <is>
          <t>伤者和家属早期口述事故、伤情、费用及「对方全责」看法。</t>
        </is>
      </c>
      <c r="D6" s="5" t="inlineStr">
        <is>
          <t>全责已排除，早期口述不作对外口径。</t>
        </is>
      </c>
    </row>
    <row r="7" ht="56" customHeight="1">
      <c r="A7" s="3" t="inlineStr">
        <is>
          <t>事故四条</t>
        </is>
      </c>
      <c r="B7" s="3" t="inlineStr">
        <is>
          <t>与骑手通话</t>
        </is>
      </c>
      <c r="C7" s="3" t="inlineStr">
        <is>
          <t>家属与骑手通话，确认书面责任认定尚未出具，并提出建立多方沟通群。</t>
        </is>
      </c>
      <c r="D7" s="3" t="inlineStr">
        <is>
          <t>认定书尚未出具，先拉群。</t>
        </is>
      </c>
    </row>
    <row r="8" ht="56" customHeight="1">
      <c r="A8" s="5" t="inlineStr">
        <is>
          <t>事故四条</t>
        </is>
      </c>
      <c r="B8" s="5" t="inlineStr">
        <is>
          <t>交警口头分析（最关键）</t>
        </is>
      </c>
      <c r="C8" s="5" t="inlineStr">
        <is>
          <t>最关键的交警口头分析，说明监控所见、双方过错及两种程序。</t>
        </is>
      </c>
      <c r="D8" s="5" t="inlineStr">
        <is>
          <t>书面认定书尚未出具。</t>
        </is>
      </c>
    </row>
    <row r="9" ht="56" customHeight="1">
      <c r="A9" s="3" t="inlineStr">
        <is>
          <t>事故四条</t>
        </is>
      </c>
      <c r="B9" s="3" t="inlineStr">
        <is>
          <t>内部讨论</t>
        </is>
      </c>
      <c r="C9" s="3" t="inlineStr">
        <is>
          <t>家属对车辆行驶路线、护栏影响、车辆归属和责任比例的内部讨论。</t>
        </is>
      </c>
      <c r="D9" s="3" t="inlineStr">
        <is>
          <t>护栏可解释动作，不能据此争全责。</t>
        </is>
      </c>
    </row>
    <row r="10" ht="56" customHeight="1">
      <c r="A10" s="5" t="inlineStr">
        <is>
          <t>立即八事</t>
        </is>
      </c>
      <c r="B10" s="5" t="n">
        <v>1</v>
      </c>
      <c r="C10" s="5" t="inlineStr">
        <is>
          <t>向交警确认书面事故认定书的进度，并索取事故编号、监控保存情况及简易/一般程序的书面说明。</t>
        </is>
      </c>
      <c r="D10" s="5" t="inlineStr">
        <is>
          <t>胡继刚 → 陈师傅。口头排除全责不能当证据。没有编号和监控回执，等于还没固定。</t>
        </is>
      </c>
    </row>
    <row r="11" ht="56" customHeight="1">
      <c r="A11" s="3" t="inlineStr">
        <is>
          <t>立即八事</t>
        </is>
      </c>
      <c r="B11" s="3" t="n">
        <v>2</v>
      </c>
      <c r="C11" s="3" t="inlineStr">
        <is>
          <t>在同意任何责任比例或程序选择前，查看监控和车辆材料，尤其评估一般程序可能带来的车辆与驾驶资格风险。不到场见骑手，不先发函。</t>
        </is>
      </c>
      <c r="D11" s="3" t="inlineStr">
        <is>
          <t>岳父（执业三十余年，场外把关）。驾驶人有证，无证风险下降；无青岛市号牌风险仍在。家属不自己拍板。现在不请诉讼律师当面谈。</t>
        </is>
      </c>
    </row>
    <row r="12" ht="56" customHeight="1">
      <c r="A12" s="5" t="inlineStr">
        <is>
          <t>立即八事</t>
        </is>
      </c>
      <c r="B12" s="5" t="n">
        <v>3</v>
      </c>
      <c r="C12" s="5" t="inlineStr">
        <is>
          <t>向实际承保保险公司报案并取得书面答复，不再依赖交警、医院或非经办人员的口头判断。</t>
        </is>
      </c>
      <c r="D12" s="5" t="inlineStr">
        <is>
          <t>家属 + 骑手拉群。对方无交强险。大头在美团平台险。人民医院可以赔、比例待书面。</t>
        </is>
      </c>
    </row>
    <row r="13" ht="56" customHeight="1">
      <c r="A13" s="3" t="inlineStr">
        <is>
          <t>立即八事</t>
        </is>
      </c>
      <c r="B13" s="3" t="n">
        <v>4</v>
      </c>
      <c r="C13" s="3" t="inlineStr">
        <is>
          <t>以医疗安全为先确定住院地点，补齐齐鲁医院出院结算、出院记录和市北区人民医院入院材料。</t>
        </is>
      </c>
      <c r="D13" s="3" t="inlineStr">
        <is>
          <t>家属 → 齐鲁出院处 / 人民医院入院处。转院类录音大量重复，核心就是结算、入院、保险书面确认这三步。</t>
        </is>
      </c>
    </row>
    <row r="14" ht="56" customHeight="1">
      <c r="A14" s="5" t="inlineStr">
        <is>
          <t>立即八事</t>
        </is>
      </c>
      <c r="B14" s="5" t="n">
        <v>5</v>
      </c>
      <c r="C14" s="5" t="inlineStr">
        <is>
          <t>立即建立费用台账，逐笔核清 4 万元金额。</t>
        </is>
      </c>
      <c r="D14" s="5" t="inlineStr">
        <is>
          <t>家属。费用口径就是 4 万。用发票逐笔核，并与刘孝春垫付现金 3 万分清。不能再对外报 3.5 万或 7 万。</t>
        </is>
      </c>
    </row>
    <row r="15" ht="56" customHeight="1">
      <c r="A15" s="3" t="inlineStr">
        <is>
          <t>立即八事</t>
        </is>
      </c>
      <c r="B15" s="3" t="n">
        <v>6</v>
      </c>
      <c r="C15" s="3" t="inlineStr">
        <is>
          <t>保存事故监控、全部病历、票据、转运材料及沟通记录原件和电子备份。</t>
        </is>
      </c>
      <c r="D15" s="3" t="inlineStr">
        <is>
          <t>家属。原件和照片/扫描各一份。监控至少要调取回执。</t>
        </is>
      </c>
    </row>
    <row r="16" ht="56" customHeight="1">
      <c r="A16" s="5" t="inlineStr">
        <is>
          <t>立即八事</t>
        </is>
      </c>
      <c r="B16" s="5" t="n">
        <v>7</v>
      </c>
      <c r="C16" s="5" t="inlineStr">
        <is>
          <t>核实伤者与用工方关系、车辆归属、工资结算和事故当日工作任务，为可能的工伤或用工责任主张留证。</t>
        </is>
      </c>
      <c r="D16" s="5" t="inlineStr">
        <is>
          <t>胡继刚 + 刘孝春。留证现在做。未签劳动合同，工伤认定条件目前不具备，不去人社局；用工责任按雇员受害和车主过错主张。3 万收据、5000 欠条现在就写。</t>
        </is>
      </c>
    </row>
    <row r="17" ht="56" customHeight="1">
      <c r="A17" s="3" t="inlineStr">
        <is>
          <t>立即八事</t>
        </is>
      </c>
      <c r="B17" s="3" t="n">
        <v>8</v>
      </c>
      <c r="C17" s="3" t="inlineStr">
        <is>
          <t>待病情稳定并达到鉴定条件后，再由有资质机构进行伤残鉴定；不要根据录音中的推测提前确定等级或金额。</t>
        </is>
      </c>
      <c r="D17" s="3" t="inlineStr">
        <is>
          <t>家属 + 鉴定机构（后）。现阶段不谈总赔偿数额。记录 16 的九级、25–30 万是另一案，不能套到本案。</t>
        </is>
      </c>
    </row>
  </sheetData>
  <autoFilter ref="A1:D17"/>
  <mergeCells count="1">
    <mergeCell ref="A1:D1"/>
  </mergeCells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42" customWidth="1" min="4" max="4"/>
    <col width="36" customWidth="1" min="5" max="5"/>
    <col width="22" customWidth="1" min="6" max="6"/>
  </cols>
  <sheetData>
    <row r="1" ht="24" customHeight="1">
      <c r="A1" s="1" t="inlineStr">
        <is>
          <t>齐鲁医院云影像 + 出院记录 · 谁受伤、伤了什么（2026-08-19 核对病历）</t>
        </is>
      </c>
    </row>
    <row r="2" ht="22" customHeight="1">
      <c r="A2" s="2" t="inlineStr">
        <is>
          <t>日期</t>
        </is>
      </c>
      <c r="B2" s="2" t="inlineStr">
        <is>
          <t>检查号</t>
        </is>
      </c>
      <c r="C2" s="2" t="inlineStr">
        <is>
          <t>项目 / 科室</t>
        </is>
      </c>
      <c r="D2" s="2" t="inlineStr">
        <is>
          <t>影像所见（报告原文）</t>
        </is>
      </c>
      <c r="E2" s="2" t="inlineStr">
        <is>
          <t>影像诊断（报告原文）</t>
        </is>
      </c>
      <c r="F2" s="2" t="inlineStr">
        <is>
          <t>本次事故？</t>
        </is>
      </c>
    </row>
    <row r="3" ht="72" customHeight="1">
      <c r="A3" s="3" t="inlineStr">
        <is>
          <t>2026-08-14</t>
        </is>
      </c>
      <c r="B3" s="3" t="inlineStr">
        <is>
          <t>10008056847</t>
        </is>
      </c>
      <c r="C3" s="3" t="inlineStr">
        <is>
          <t>右小腿CT平扫（薄层）＋骨三维成像
急诊 · 急诊骨科 · 已审核</t>
        </is>
      </c>
      <c r="D3" s="3" t="inlineStr">
        <is>
          <t>右侧胫骨远端、腓骨近端骨质不连续，断端移位，踝关节对位不良，胫距关节间隙增宽。距骨内缘、外踝下方见小骨片影。右小腿、踝关节软组织肿胀。</t>
        </is>
      </c>
      <c r="E3" s="3" t="inlineStr">
        <is>
          <t>右侧胫骨远端、腓骨近端骨折，并踝关节半脱位
右距骨内缘、外踝撕脱性骨折
右小腿、踝关节软组织肿胀</t>
        </is>
      </c>
      <c r="F3" s="3" t="inlineStr">
        <is>
          <t>是，计入本次</t>
        </is>
      </c>
    </row>
    <row r="4" ht="56" customHeight="1">
      <c r="A4" s="5" t="inlineStr">
        <is>
          <t>2026-08-14</t>
        </is>
      </c>
      <c r="B4" s="5" t="inlineStr">
        <is>
          <t>10008056848</t>
        </is>
      </c>
      <c r="C4" s="5" t="inlineStr">
        <is>
          <t>右足CT平扫（薄层）＋骨三维成像
急诊 · 急诊骨科 · 已审核</t>
        </is>
      </c>
      <c r="D4" s="5" t="inlineStr">
        <is>
          <t>右足诸关节在位，组成骨结构完整，边缘见骨质增生，跟骨见骨刺影，第一跖骨头见囊状低密度影，边缘硬化。</t>
        </is>
      </c>
      <c r="E4" s="5" t="inlineStr">
        <is>
          <t>右足退行性变、跟骨骨刺
右第一跖骨头囊变</t>
        </is>
      </c>
      <c r="F4" s="5" t="inlineStr">
        <is>
          <t>否，退变/陈旧，不计入评残</t>
        </is>
      </c>
    </row>
    <row r="5" ht="48" customHeight="1">
      <c r="A5" s="3" t="inlineStr">
        <is>
          <t>2026-08-15</t>
        </is>
      </c>
      <c r="B5" s="3" t="inlineStr">
        <is>
          <t>10008059257</t>
        </is>
      </c>
      <c r="C5" s="3" t="inlineStr">
        <is>
          <t>右踝关节CT平扫（薄层）＋骨三维成像
住院 · 手足与显微重建外科 · 33 床 · 已审核</t>
        </is>
      </c>
      <c r="D5" s="3" t="inlineStr">
        <is>
          <t>右踝关节骨折内外固定术后复查，内外固定在位，位线可。周围软组织肿胀，密度增高。</t>
        </is>
      </c>
      <c r="E5" s="3" t="inlineStr">
        <is>
          <t>右踝关节骨折内外固定术后复查</t>
        </is>
      </c>
      <c r="F5" s="3" t="inlineStr">
        <is>
          <t>是，计入本次</t>
        </is>
      </c>
    </row>
    <row r="7">
      <c r="A7" s="12" t="inlineStr">
        <is>
          <t>患者：胡志远 / 男 / 64岁　　门诊号 0002750430　　住院号 0001519455　　11D 手足与显微重建外科病区 33床</t>
        </is>
      </c>
    </row>
    <row r="8" ht="48" customHeight="1">
      <c r="A8" t="inlineStr">
        <is>
          <t>手术：2026-08-14 19:01 右踝关节骨折脱位切开复位内外固定、韧带缝合、软组织清创、VSD 负压吸引。出院诊断：右开放性踝关节骨折；右开放性踝关节脱位；右踝部韧带断裂；右踝挫伤并皮肤坏死。报告页注明：本报告仅供临床医生参考，不作任何证明。</t>
        </is>
      </c>
    </row>
  </sheetData>
  <autoFilter ref="A1:F8"/>
  <mergeCells count="3">
    <mergeCell ref="A8:F8"/>
    <mergeCell ref="A1:F1"/>
    <mergeCell ref="A7:F7"/>
  </mergeCells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36" customWidth="1" min="3" max="3"/>
  </cols>
  <sheetData>
    <row r="1" ht="24" customHeight="1">
      <c r="A1" s="1" t="inlineStr">
        <is>
          <t>伤残：现在不能定级。只准备材料。</t>
        </is>
      </c>
    </row>
    <row r="2" ht="22" customHeight="1">
      <c r="A2" s="2" t="inlineStr">
        <is>
          <t>问题</t>
        </is>
      </c>
      <c r="B2" s="2" t="inlineStr">
        <is>
          <t>结论</t>
        </is>
      </c>
      <c r="C2" s="2" t="inlineStr">
        <is>
          <t>家属立刻怎么做</t>
        </is>
      </c>
    </row>
    <row r="3" ht="48" customHeight="1">
      <c r="A3" s="3" t="inlineStr">
        <is>
          <t>谁可能评残</t>
        </is>
      </c>
      <c r="B3" s="3" t="inlineStr">
        <is>
          <t>仅伤者本人：64 岁男性胡志远（病历名；云影像脱敏为胡**）。家属胡继刚、美团骑手均无本次伤残材料。</t>
        </is>
      </c>
      <c r="C3" s="3" t="inlineStr">
        <is>
          <t>只为伤者本人建病历档案，不要给别人做伤残材料</t>
        </is>
      </c>
    </row>
    <row r="4" ht="48" customHeight="1">
      <c r="A4" s="5" t="inlineStr">
        <is>
          <t>现在有没有残级</t>
        </is>
      </c>
      <c r="B4" s="5" t="inlineStr">
        <is>
          <t>尚未做伤残鉴定。云影像三份 CT 是影像诊断，不是伤残鉴定书，不能当残级用。</t>
        </is>
      </c>
      <c r="C4" s="5" t="inlineStr">
        <is>
          <t>对外禁止说「已经几级」</t>
        </is>
      </c>
    </row>
    <row r="5" ht="48" customHeight="1">
      <c r="A5" s="3" t="inlineStr">
        <is>
          <t>什么时候评</t>
        </is>
      </c>
      <c r="B5" s="3" t="inlineStr">
        <is>
          <t>须治疗终结、临床相对稳定后，由有资质的司法鉴定机构评定。骨折内固定常见窗口是伤后约 3 个月以上，以鉴定机构书面要求为准；是否取内固定后再评，也以鉴定机构为准。</t>
        </is>
      </c>
      <c r="C5" s="3" t="inlineStr">
        <is>
          <t>先治病，3 个月窗口前不要催鉴定</t>
        </is>
      </c>
    </row>
    <row r="6" ht="48" customHeight="1">
      <c r="A6" s="5" t="inlineStr">
        <is>
          <t>用哪套标准</t>
        </is>
      </c>
      <c r="B6" s="5" t="inlineStr">
        <is>
          <t>道路交通事故人身损害评残，实务中多用《人体损伤致残程度分级》（两院三部 2017）。不要用工伤标准去套交通事故，也不要按网上计算器先报一个级数给对方。</t>
        </is>
      </c>
      <c r="C6" s="5" t="inlineStr">
        <is>
          <t>交通事故用人体损伤致残程度分级，不要套工伤</t>
        </is>
      </c>
    </row>
    <row r="7" ht="48" customHeight="1">
      <c r="A7" s="3" t="inlineStr">
        <is>
          <t>评哪些伤</t>
        </is>
      </c>
      <c r="B7" s="3" t="inlineStr">
        <is>
          <t>与本次事故相关、日后可能构成评残基础的，是右开放性踝关节骨折脱位、韧带断裂、皮肤坏死清创及 VSD、胫骨远端和腓骨近端骨折治疗后残留的踝关节功能、行走能力、畸形或疼痛。高血压、糖尿病和右足退变、骨刺不计入本次。</t>
        </is>
      </c>
      <c r="C7" s="3" t="inlineStr">
        <is>
          <t>踝关节功能+行走；右足骨刺删除</t>
        </is>
      </c>
    </row>
    <row r="8" ht="48" customHeight="1">
      <c r="A8" s="5" t="inlineStr">
        <is>
          <t>现在能否报价</t>
        </is>
      </c>
      <c r="B8" s="5" t="inlineStr">
        <is>
          <t>现在不能、也不应对外报「几级伤残」。等级取决于日后功能，不取决于急诊 CT 有多吓人。</t>
        </is>
      </c>
      <c r="C8" s="5" t="inlineStr">
        <is>
          <t>面谈不谈残级、不签总包死价</t>
        </is>
      </c>
    </row>
    <row r="10">
      <c r="A10" s="13" t="inlineStr">
        <is>
          <t>评残前材料清单</t>
        </is>
      </c>
    </row>
    <row r="11">
      <c r="A11" s="3" t="n">
        <v>1</v>
      </c>
      <c r="B11" s="3" t="inlineStr">
        <is>
          <t>保存三份 CT 报告、出院记录、腕带信息、破伤风处方；再向病案室要完整手术记录和植入物清单</t>
        </is>
      </c>
      <c r="C11" s="3" t="n"/>
    </row>
    <row r="12">
      <c r="A12" s="5" t="n">
        <v>2</v>
      </c>
      <c r="B12" s="5" t="inlineStr">
        <is>
          <t>后续每次复查都留报告（是否骨愈合、是否感染、踝关节活动度）</t>
        </is>
      </c>
      <c r="C12" s="5" t="n"/>
    </row>
    <row r="13">
      <c r="A13" s="3" t="n">
        <v>3</v>
      </c>
      <c r="B13" s="3" t="inlineStr">
        <is>
          <t>伤残鉴定前不要在协商里提前锁定残级或总包死价</t>
        </is>
      </c>
      <c r="C13" s="3" t="n"/>
    </row>
    <row r="14">
      <c r="A14" s="5" t="n">
        <v>4</v>
      </c>
      <c r="B14" s="5" t="inlineStr">
        <is>
          <t>鉴定机构须合法，报告用途写清「道路交通事故」</t>
        </is>
      </c>
      <c r="C14" s="5" t="n"/>
    </row>
    <row r="15">
      <c r="A15" s="3" t="n">
        <v>5</v>
      </c>
      <c r="B15" s="3" t="inlineStr">
        <is>
          <t>不要把人社局电话咨询当成交通事故评残。人社局管工伤、残疾人证等另一套制度；本案评残走司法鉴定</t>
        </is>
      </c>
      <c r="C15" s="3" t="n"/>
    </row>
  </sheetData>
  <autoFilter ref="A1:C15"/>
  <mergeCells count="7">
    <mergeCell ref="B13:C13"/>
    <mergeCell ref="A10:C10"/>
    <mergeCell ref="B15:C15"/>
    <mergeCell ref="A1:C1"/>
    <mergeCell ref="B11:C11"/>
    <mergeCell ref="B14:C14"/>
    <mergeCell ref="B12:C12"/>
  </mergeCells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</cols>
  <sheetData>
    <row r="1" ht="24" customHeight="1">
      <c r="A1" s="1" t="inlineStr">
        <is>
          <t>通话口述 vs 医院 CT：必须改口的清单</t>
        </is>
      </c>
    </row>
    <row r="2" ht="22" customHeight="1">
      <c r="A2" s="2" t="inlineStr">
        <is>
          <t>来源</t>
        </is>
      </c>
      <c r="B2" s="2" t="inlineStr">
        <is>
          <t>内容</t>
        </is>
      </c>
      <c r="C2" s="2" t="inlineStr">
        <is>
          <t>处理</t>
        </is>
      </c>
    </row>
    <row r="3" ht="110" customHeight="1">
      <c r="A3" s="3" t="inlineStr">
        <is>
          <t>CT：本次外伤</t>
        </is>
      </c>
      <c r="B3" s="3" t="inlineStr">
        <is>
          <t>• 右侧胫骨远端骨折（断端移位）
• 右侧腓骨近端骨折（断端移位）
• 右踝关节半脱位（CT）；出院诊断为右开放性踝关节骨折、右开放性踝关节脱位
• 右距骨内缘撕脱性骨折、右外踝撕脱性骨折
• 右踝部韧带断裂（出院诊断）
• 右踝挫伤并皮肤坏死；内踝碾挫伤创面深达骨质（入院查体）
• 右小腿、踝关节软组织肿胀
• 2026-08-14 19:01 行切开复位内外固定、韧带缝合、清创、VSD 负压吸引；外固定架及克氏针固定可靠</t>
        </is>
      </c>
      <c r="C3" s="3" t="inlineStr">
        <is>
          <t>对外、对保险、对鉴定都用这套</t>
        </is>
      </c>
    </row>
    <row r="4" ht="70" customHeight="1">
      <c r="A4" s="5" t="inlineStr">
        <is>
          <t>CT：非本次外伤</t>
        </is>
      </c>
      <c r="B4" s="5" t="inlineStr">
        <is>
          <t>• 右足组成骨结构完整，诸关节在位，未见本次外伤性骨折
• 右足退行性变、跟骨骨刺、第一跖骨头囊变：属退变/陈旧改变，一般不计入本次交通事故伤残
• 高血压、糖尿病：既往病，写在出院诊断里是为围手术期管理，不向肇事方按事故伤索赔</t>
        </is>
      </c>
      <c r="C4" s="5" t="inlineStr">
        <is>
          <t>不要写成跟骨粉碎骨折</t>
        </is>
      </c>
    </row>
    <row r="5" ht="40" customHeight="1">
      <c r="A5" s="3" t="inlineStr">
        <is>
          <t>通话须改口</t>
        </is>
      </c>
      <c r="B5" s="3" t="inlineStr">
        <is>
          <t>通话里说「右脚后跟粉碎性骨折」</t>
        </is>
      </c>
      <c r="C5" s="3" t="inlineStr">
        <is>
          <t>右足 CT 未见跟骨粉碎骨折，跟骨仅为骨刺；粉碎/移位主要在胫骨远端和踝关节。</t>
        </is>
      </c>
    </row>
    <row r="6" ht="40" customHeight="1">
      <c r="A6" s="5" t="inlineStr">
        <is>
          <t>通话须改口</t>
        </is>
      </c>
      <c r="B6" s="5" t="inlineStr">
        <is>
          <t>通话里说「腓骨下段/小腿外侧骨折」</t>
        </is>
      </c>
      <c r="C6" s="5" t="inlineStr">
        <is>
          <t>急诊小腿 CT 写的是「腓骨近端」骨折，另有「外踝撕脱性骨折」（外踝属腓骨远端）。两处都要记，不要只记一处。</t>
        </is>
      </c>
    </row>
    <row r="7" ht="40" customHeight="1">
      <c r="A7" s="3" t="inlineStr">
        <is>
          <t>通话须改口</t>
        </is>
      </c>
      <c r="B7" s="3" t="inlineStr">
        <is>
          <t>通话里钢钉数量 2 根或 4 根说法不一</t>
        </is>
      </c>
      <c r="C7" s="3" t="inlineStr">
        <is>
          <t>出院记录写的是外固定架及克氏针，未写锁定钉根数。完整手术记录和植入物清单仍要向病案室要，不以口述根数为准。</t>
        </is>
      </c>
    </row>
    <row r="8" ht="40" customHeight="1">
      <c r="A8" s="5" t="inlineStr">
        <is>
          <t>通话须改口</t>
        </is>
      </c>
      <c r="B8" s="5" t="inlineStr">
        <is>
          <t>8 月 15 日部分通话说已出院回家</t>
        </is>
      </c>
      <c r="C8" s="5" t="inlineStr">
        <is>
          <t>出院记录：2026-08-14 14:14 入院，2026-08-17 08:00 出院，住院 3 天。8 月 15 日是术后 CT，人还在齐鲁 33 床。</t>
        </is>
      </c>
    </row>
    <row r="9" ht="40" customHeight="1">
      <c r="A9" s="3" t="inlineStr">
        <is>
          <t>通话须改口</t>
        </is>
      </c>
      <c r="B9" s="3" t="inlineStr">
        <is>
          <t>录音把车说成「叉车」</t>
        </is>
      </c>
      <c r="C9" s="3" t="inlineStr">
        <is>
          <t>涉事是货运三轮，交警口头认定为机动车。不要对外说叉车。</t>
        </is>
      </c>
    </row>
    <row r="10" ht="40" customHeight="1">
      <c r="A10" s="5" t="inlineStr">
        <is>
          <t>通话须改口</t>
        </is>
      </c>
      <c r="B10" s="5" t="inlineStr">
        <is>
          <t>地点曾有多种市场别称</t>
        </is>
      </c>
      <c r="C10" s="5" t="inlineStr">
        <is>
          <t>家属确认对外统一写：抚顺路和哈尔滨路路口（抚顺路批发市场）。仍以认定书为准。</t>
        </is>
      </c>
    </row>
    <row r="11" ht="40" customHeight="1">
      <c r="A11" s="3" t="inlineStr">
        <is>
          <t>通话须改口</t>
        </is>
      </c>
      <c r="B11" s="3" t="inlineStr">
        <is>
          <t>录音写成「刘小春」</t>
        </is>
      </c>
      <c r="C11" s="3" t="inlineStr">
        <is>
          <t>家属口述用工老板为刘孝春。转写可能同音错字，以身份证、微信实名为准。</t>
        </is>
      </c>
    </row>
    <row r="12" ht="40" customHeight="1">
      <c r="A12" s="5" t="inlineStr">
        <is>
          <t>通话须改口</t>
        </is>
      </c>
      <c r="B12" s="5" t="inlineStr">
        <is>
          <t>录音写成「胡志远」、对外写胡某</t>
        </is>
      </c>
      <c r="C12" s="5" t="inlineStr">
        <is>
          <t>齐鲁门诊病历、腕带、出院记录姓名均为胡志远。家属口语称老爷子。法律文书以身份证和病历首页为准。</t>
        </is>
      </c>
    </row>
    <row r="13" ht="40" customHeight="1">
      <c r="A13" s="3" t="inlineStr">
        <is>
          <t>通话须改口</t>
        </is>
      </c>
      <c r="B13" s="3" t="inlineStr">
        <is>
          <t>律师沟通里出现九级伤残、赔偿 25 万至 30 万</t>
        </is>
      </c>
      <c r="C13" s="3" t="inlineStr">
        <is>
          <t>那是记录 16 的远洋工伤另一案（已评残、拖了近五年），不能当本案结论。</t>
        </is>
      </c>
    </row>
    <row r="14" ht="40" customHeight="1">
      <c r="A14" s="5" t="inlineStr">
        <is>
          <t>通话须改口</t>
        </is>
      </c>
      <c r="B14" s="5" t="inlineStr">
        <is>
          <t>合集目录把 17 份拆成多起车祸/叉车/行人</t>
        </is>
      </c>
      <c r="C14" s="5" t="inlineStr">
        <is>
          <t>记录 1、3–15、17 是同一起三轮×美团女骑手事故。记录 2 轻弦无关。记录 16 是另一案。</t>
        </is>
      </c>
    </row>
    <row r="15" ht="40" customHeight="1">
      <c r="A15" s="3" t="inlineStr">
        <is>
          <t>通话须改口</t>
        </is>
      </c>
      <c r="B15" s="3" t="inlineStr">
        <is>
          <t>有人问是不是给孙总卸货</t>
        </is>
      </c>
      <c r="C15" s="3" t="inlineStr">
        <is>
          <t>伤者当场否认，说是给刘孝春干活。不要写成孙总。</t>
        </is>
      </c>
    </row>
    <row r="16" ht="40" customHeight="1">
      <c r="A16" s="5" t="inlineStr">
        <is>
          <t>通话须改口</t>
        </is>
      </c>
      <c r="B16" s="5" t="inlineStr">
        <is>
          <t>记录 13 出现蒋玉年、陈先建、26 床、8000 元</t>
        </is>
      </c>
      <c r="C16" s="5" t="inlineStr">
        <is>
          <t>病区串台。本案只取 33 床补打出院记录、一楼原路退费。其他人和其他钱不要进台账。</t>
        </is>
      </c>
    </row>
    <row r="17" ht="40" customHeight="1">
      <c r="A17" s="3" t="inlineStr">
        <is>
          <t>通话须改口</t>
        </is>
      </c>
      <c r="B17" s="3" t="inlineStr">
        <is>
          <t>8 月 15 日说交警已经定全责</t>
        </is>
      </c>
      <c r="C17" s="3" t="inlineStr">
        <is>
          <t>8 月 17 日交警看监控排除任何一方全责。早期口述作废。</t>
        </is>
      </c>
    </row>
    <row r="18" ht="40" customHeight="1">
      <c r="A18" s="5" t="inlineStr">
        <is>
          <t>通话须改口</t>
        </is>
      </c>
      <c r="B18" s="5" t="inlineStr">
        <is>
          <t>记录 17 说驾驶人 0 责、刘孝春把 30% 全包</t>
        </is>
      </c>
      <c r="C18" s="5" t="inlineStr">
        <is>
          <t>内部设想。交警仍可能把无牌、灯坏、掉头记在三轮使用人胡某这一方。</t>
        </is>
      </c>
    </row>
  </sheetData>
  <autoFilter ref="A1:C18"/>
  <mergeCells count="1">
    <mergeCell ref="A1:C1"/>
  </mergeCells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0" customWidth="1" min="3" max="3"/>
  </cols>
  <sheetData>
    <row r="1" ht="24" customHeight="1">
      <c r="A1" s="1" t="inlineStr">
        <is>
          <t>转院录音大量重复。核心只三点：原医院结算、新医院入院、承保公司书面确认二甲。</t>
        </is>
      </c>
    </row>
    <row r="2" ht="22" customHeight="1">
      <c r="A2" s="2" t="inlineStr">
        <is>
          <t>序号</t>
        </is>
      </c>
      <c r="B2" s="2" t="inlineStr">
        <is>
          <t>事项</t>
        </is>
      </c>
      <c r="C2" s="2" t="inlineStr">
        <is>
          <t>怎么做 / 完成标志</t>
        </is>
      </c>
    </row>
    <row r="3" ht="52" customHeight="1">
      <c r="A3" s="3" t="n">
        <v>1</v>
      </c>
      <c r="B3" s="3" t="inlineStr">
        <is>
          <t>先完成原医院结算</t>
        </is>
      </c>
      <c r="C3" s="3" t="inlineStr">
        <is>
          <t>齐鲁出院结算、33 床出院记录、押金原路退。跨院必须先结上一院，才能办人民医院入院。 完成：齐鲁出院手续办完，人民医院能收材料。</t>
        </is>
      </c>
    </row>
    <row r="4" ht="52" customHeight="1">
      <c r="A4" s="5" t="n">
        <v>2</v>
      </c>
      <c r="B4" s="5" t="inlineStr">
        <is>
          <t>确认新医院能否正常入院</t>
        </is>
      </c>
      <c r="C4" s="5" t="inlineStr">
        <is>
          <t>市北区人民医院（抚顺路院区）办住院号。医疗安全为先：手续卡住先问齐鲁能否收回，不要另找三甲碰运气。 完成：住院号办成。</t>
        </is>
      </c>
    </row>
    <row r="5" ht="52" customHeight="1">
      <c r="A5" s="3" t="n">
        <v>3</v>
      </c>
      <c r="B5" s="3" t="inlineStr">
        <is>
          <t>向实际承保公司书面确认二甲医院的赔付资格和比例</t>
        </is>
      </c>
      <c r="C5" s="3" t="inlineStr">
        <is>
          <t>骑手拉群报案。要保单号、书面比例。不依赖交警、医院或非经办人员的口头判断。家属确认可以赔、比例待定，不等于书面已到。 完成：书面或群内文字：认不认人民医院、比例多少。</t>
        </is>
      </c>
    </row>
    <row r="6" ht="52" customHeight="1">
      <c r="A6" s="5" t="inlineStr">
        <is>
          <t>补</t>
        </is>
      </c>
      <c r="B6" s="5" t="inlineStr">
        <is>
          <t>结算铁律</t>
        </is>
      </c>
      <c r="C6" s="5" t="inlineStr">
        <is>
          <t>跨院必须先在上一院结算，才能办下一院入院。出院部和科室权责分离，只找出院部催科室留床没有用。证件、押金票据带到齐鲁办理窗口（通话提到 11 楼）。</t>
        </is>
      </c>
    </row>
    <row r="7" ht="52" customHeight="1">
      <c r="A7" s="3" t="inlineStr">
        <is>
          <t>补</t>
        </is>
      </c>
      <c r="B7" s="3" t="inlineStr">
        <is>
          <t>找哪家保险</t>
        </is>
      </c>
      <c r="C7" s="3" t="inlineStr">
        <is>
          <t>咨询人说「认定单上一定有保险公司电话」。本案对方是外卖电动车，没有交强险、商业三者险。认定书上未必印着人保/平安。要找的是美团平台险，问交警、骑手、站点，不要只在认定单上找传统车险公司。</t>
        </is>
      </c>
    </row>
    <row r="8" ht="52" customHeight="1">
      <c r="A8" s="5" t="inlineStr">
        <is>
          <t>补</t>
        </is>
      </c>
      <c r="B8" s="5" t="inlineStr">
        <is>
          <t>家属口径</t>
        </is>
      </c>
      <c r="C8" s="5" t="inlineStr">
        <is>
          <t>家属确认人民医院可以赔、比例待定。向保险继续要书面：赔付比例、保单号、限额、要不要认定书才能垫付。医院全称：市北区人民医院（抚顺路院区）。</t>
        </is>
      </c>
    </row>
    <row r="9" ht="52" customHeight="1">
      <c r="A9" s="3" t="inlineStr">
        <is>
          <t>补</t>
        </is>
      </c>
      <c r="B9" s="3" t="inlineStr">
        <is>
          <t>不是康复期</t>
        </is>
      </c>
      <c r="C9" s="3" t="inlineStr">
        <is>
          <t>不要把现在当成康复期。手术是 8 月 14 日 19:01，出院 8 月 17 日 08:00，出院时仍带 VSD 和外固定架，医嘱继续负压吸引、根据创面二期治疗。8 月 15 日术后 CT 仍写软组织肿胀。朋友说「已经康复期就别折腾」与病历不符。</t>
        </is>
      </c>
    </row>
    <row r="10" ht="52" customHeight="1">
      <c r="A10" s="5" t="inlineStr">
        <is>
          <t>禁</t>
        </is>
      </c>
      <c r="B10" s="5" t="inlineStr">
        <is>
          <t>不要另找三甲</t>
        </is>
      </c>
      <c r="C10" s="5" t="inlineStr">
        <is>
          <t>不要另找别的三甲碰运气。齐鲁是山大直属附属医院，床位本就紧；全国三甲都考床位周转，病情未到「必须三甲抢救」时，别人也难收长期占床。</t>
        </is>
      </c>
    </row>
  </sheetData>
  <autoFilter ref="A1:C10"/>
  <mergeCells count="1">
    <mergeCell ref="A1:C1"/>
  </mergeCells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6" customWidth="1" min="4" max="4"/>
    <col width="14" customWidth="1" min="5" max="5"/>
    <col width="12" customWidth="1" min="6" max="6"/>
    <col width="14" customWidth="1" min="7" max="7"/>
    <col width="36" customWidth="1" min="8" max="8"/>
  </cols>
  <sheetData>
    <row r="1" ht="24" customHeight="1">
      <c r="A1" s="1" t="inlineStr">
        <is>
          <t>用发票分清：用工方垫付现金 3 万，费用口径确认 4 万。对外只报对上票的数。</t>
        </is>
      </c>
    </row>
    <row r="2" ht="22" customHeight="1">
      <c r="A2" s="2" t="inlineStr">
        <is>
          <t>日期</t>
        </is>
      </c>
      <c r="B2" s="2" t="inlineStr">
        <is>
          <t>项目</t>
        </is>
      </c>
      <c r="C2" s="2" t="inlineStr">
        <is>
          <t>金额（元）</t>
        </is>
      </c>
      <c r="D2" s="2" t="inlineStr">
        <is>
          <t>已付/未付</t>
        </is>
      </c>
      <c r="E2" s="2" t="inlineStr">
        <is>
          <t>付款人</t>
        </is>
      </c>
      <c r="F2" s="2" t="inlineStr">
        <is>
          <t>有无发票</t>
        </is>
      </c>
      <c r="G2" s="2" t="inlineStr">
        <is>
          <t>票据号</t>
        </is>
      </c>
      <c r="H2" s="2" t="inlineStr">
        <is>
          <t>备注</t>
        </is>
      </c>
    </row>
    <row r="3">
      <c r="A3" s="3" t="inlineStr">
        <is>
          <t>2026-08-14</t>
        </is>
      </c>
      <c r="B3" s="3" t="inlineStr">
        <is>
          <t>破伤风人免疫球蛋白 250iu 肌注</t>
        </is>
      </c>
      <c r="C3" s="14" t="n">
        <v>270</v>
      </c>
      <c r="D3" s="3" t="inlineStr">
        <is>
          <t>已付待核</t>
        </is>
      </c>
      <c r="E3" s="3" t="inlineStr">
        <is>
          <t>家属</t>
        </is>
      </c>
      <c r="F3" s="3" t="inlineStr">
        <is>
          <t>待贴</t>
        </is>
      </c>
      <c r="G3" s="3" t="inlineStr"/>
      <c r="H3" s="3" t="inlineStr">
        <is>
          <t>急诊处方，医师甄洪岩</t>
        </is>
      </c>
    </row>
    <row r="4">
      <c r="A4" s="5" t="inlineStr">
        <is>
          <t>2026-08-14</t>
        </is>
      </c>
      <c r="B4" s="5" t="inlineStr">
        <is>
          <t>急诊右小腿CT（10008056847）</t>
        </is>
      </c>
      <c r="C4" s="15" t="inlineStr"/>
      <c r="D4" s="5" t="inlineStr">
        <is>
          <t>已付待核</t>
        </is>
      </c>
      <c r="E4" s="5" t="inlineStr">
        <is>
          <t>家属</t>
        </is>
      </c>
      <c r="F4" s="5" t="inlineStr">
        <is>
          <t>待贴</t>
        </is>
      </c>
      <c r="G4" s="5" t="inlineStr"/>
      <c r="H4" s="5" t="inlineStr">
        <is>
          <t>齐鲁医院 13:02</t>
        </is>
      </c>
    </row>
    <row r="5">
      <c r="A5" s="3" t="inlineStr">
        <is>
          <t>2026-08-14</t>
        </is>
      </c>
      <c r="B5" s="3" t="inlineStr">
        <is>
          <t>急诊右足CT（10008056848）</t>
        </is>
      </c>
      <c r="C5" s="14" t="inlineStr"/>
      <c r="D5" s="3" t="inlineStr">
        <is>
          <t>已付待核</t>
        </is>
      </c>
      <c r="E5" s="3" t="inlineStr">
        <is>
          <t>家属</t>
        </is>
      </c>
      <c r="F5" s="3" t="inlineStr">
        <is>
          <t>待贴</t>
        </is>
      </c>
      <c r="G5" s="3" t="inlineStr"/>
      <c r="H5" s="3" t="inlineStr">
        <is>
          <t>齐鲁医院 13:02</t>
        </is>
      </c>
    </row>
    <row r="6">
      <c r="A6" s="5" t="inlineStr">
        <is>
          <t>2026-08-14 19:01</t>
        </is>
      </c>
      <c r="B6" s="5" t="inlineStr">
        <is>
          <t>右踝骨折脱位切开复位内外固定+韧带缝合+清创+VSD</t>
        </is>
      </c>
      <c r="C6" s="15" t="inlineStr"/>
      <c r="D6" s="5" t="inlineStr">
        <is>
          <t>已付待核</t>
        </is>
      </c>
      <c r="E6" s="5" t="inlineStr">
        <is>
          <t>家属</t>
        </is>
      </c>
      <c r="F6" s="5" t="inlineStr">
        <is>
          <t>待贴</t>
        </is>
      </c>
      <c r="G6" s="5" t="inlineStr"/>
      <c r="H6" s="5" t="inlineStr">
        <is>
          <t>出院记录已载术式；植入物编码仍缺</t>
        </is>
      </c>
    </row>
    <row r="7">
      <c r="A7" s="3" t="inlineStr">
        <is>
          <t>2026-08-15</t>
        </is>
      </c>
      <c r="B7" s="3" t="inlineStr">
        <is>
          <t>住院右踝CT术后复查（10008059257）</t>
        </is>
      </c>
      <c r="C7" s="14" t="inlineStr"/>
      <c r="D7" s="3" t="inlineStr">
        <is>
          <t>已付待核</t>
        </is>
      </c>
      <c r="E7" s="3" t="inlineStr">
        <is>
          <t>家属</t>
        </is>
      </c>
      <c r="F7" s="3" t="inlineStr">
        <is>
          <t>待贴</t>
        </is>
      </c>
      <c r="G7" s="3" t="inlineStr"/>
      <c r="H7" s="3" t="inlineStr">
        <is>
          <t>手足与显微重建外科 33 床</t>
        </is>
      </c>
    </row>
    <row r="8">
      <c r="A8" s="5" t="inlineStr"/>
      <c r="B8" s="5" t="inlineStr">
        <is>
          <t>住院押金/预缴</t>
        </is>
      </c>
      <c r="C8" s="15" t="inlineStr"/>
      <c r="D8" s="5" t="inlineStr">
        <is>
          <t>已付待核</t>
        </is>
      </c>
      <c r="E8" s="5" t="inlineStr">
        <is>
          <t>家属</t>
        </is>
      </c>
      <c r="F8" s="5" t="inlineStr">
        <is>
          <t>待贴</t>
        </is>
      </c>
      <c r="G8" s="5" t="inlineStr"/>
      <c r="H8" s="5" t="inlineStr">
        <is>
          <t>费用口径确认 4 万，须对账单</t>
        </is>
      </c>
    </row>
    <row r="9">
      <c r="A9" s="3" t="inlineStr"/>
      <c r="B9" s="3" t="inlineStr">
        <is>
          <t>药品（院内）</t>
        </is>
      </c>
      <c r="C9" s="14" t="inlineStr"/>
      <c r="D9" s="3" t="inlineStr">
        <is>
          <t>已付待核</t>
        </is>
      </c>
      <c r="E9" s="3" t="inlineStr">
        <is>
          <t>家属</t>
        </is>
      </c>
      <c r="F9" s="3" t="inlineStr">
        <is>
          <t>待贴</t>
        </is>
      </c>
      <c r="G9" s="3" t="inlineStr"/>
      <c r="H9" s="3" t="inlineStr">
        <is>
          <t>医保范围内用药，保险可赔、比例待定</t>
        </is>
      </c>
    </row>
    <row r="10">
      <c r="A10" s="5" t="inlineStr"/>
      <c r="B10" s="5" t="inlineStr">
        <is>
          <t>护工费</t>
        </is>
      </c>
      <c r="C10" s="15" t="inlineStr"/>
      <c r="D10" s="5" t="inlineStr">
        <is>
          <t>已付待核</t>
        </is>
      </c>
      <c r="E10" s="5" t="inlineStr">
        <is>
          <t>家属</t>
        </is>
      </c>
      <c r="F10" s="5" t="inlineStr">
        <is>
          <t>待贴</t>
        </is>
      </c>
      <c r="G10" s="5" t="inlineStr"/>
      <c r="H10" s="5" t="inlineStr">
        <is>
          <t>24小时一对一，合同+发票；按责比例报</t>
        </is>
      </c>
    </row>
    <row r="11">
      <c r="A11" s="3" t="inlineStr"/>
      <c r="B11" s="3" t="inlineStr">
        <is>
          <t>护理耗材（垫、便盆等）</t>
        </is>
      </c>
      <c r="C11" s="14" t="inlineStr"/>
      <c r="D11" s="3" t="inlineStr">
        <is>
          <t>已付待核</t>
        </is>
      </c>
      <c r="E11" s="3" t="inlineStr">
        <is>
          <t>家属</t>
        </is>
      </c>
      <c r="F11" s="3" t="inlineStr">
        <is>
          <t>待贴</t>
        </is>
      </c>
      <c r="G11" s="3" t="inlineStr"/>
      <c r="H11" s="3" t="inlineStr"/>
    </row>
    <row r="12">
      <c r="A12" s="5" t="inlineStr">
        <is>
          <t>2026-08-17</t>
        </is>
      </c>
      <c r="B12" s="5" t="inlineStr">
        <is>
          <t>转院救护车</t>
        </is>
      </c>
      <c r="C12" s="15" t="n">
        <v>160</v>
      </c>
      <c r="D12" s="5" t="inlineStr">
        <is>
          <t>已付待核</t>
        </is>
      </c>
      <c r="E12" s="5" t="inlineStr">
        <is>
          <t>家属</t>
        </is>
      </c>
      <c r="F12" s="5" t="inlineStr">
        <is>
          <t>待贴</t>
        </is>
      </c>
      <c r="G12" s="5" t="inlineStr"/>
      <c r="H12" s="5" t="inlineStr">
        <is>
          <t>预估150，实收160，必须发票</t>
        </is>
      </c>
    </row>
    <row r="13">
      <c r="A13" s="3" t="inlineStr"/>
      <c r="B13" s="3" t="inlineStr">
        <is>
          <t>用工方垫付现金</t>
        </is>
      </c>
      <c r="C13" s="14" t="n">
        <v>30000</v>
      </c>
      <c r="D13" s="3" t="inlineStr">
        <is>
          <t>已付待写收据</t>
        </is>
      </c>
      <c r="E13" s="3" t="inlineStr">
        <is>
          <t>乔刘记商贸/刘孝春</t>
        </is>
      </c>
      <c r="F13" s="3" t="inlineStr">
        <is>
          <t>收据</t>
        </is>
      </c>
      <c r="G13" s="3" t="inlineStr"/>
      <c r="H13" s="3" t="inlineStr">
        <is>
          <t>写明垫付不是借款、不是了结、不冲抵欠薪</t>
        </is>
      </c>
    </row>
    <row r="14">
      <c r="A14" s="5" t="inlineStr"/>
      <c r="B14" s="5" t="inlineStr">
        <is>
          <t>未结工钱</t>
        </is>
      </c>
      <c r="C14" s="15" t="n">
        <v>5000</v>
      </c>
      <c r="D14" s="5" t="inlineStr">
        <is>
          <t>未付</t>
        </is>
      </c>
      <c r="E14" s="5" t="inlineStr">
        <is>
          <t>刘孝春</t>
        </is>
      </c>
      <c r="F14" s="5" t="inlineStr">
        <is>
          <t>欠条</t>
        </is>
      </c>
      <c r="G14" s="5" t="inlineStr"/>
      <c r="H14" s="5" t="inlineStr">
        <is>
          <t>另写一张，不乘 30%，不和 3 万垫付混</t>
        </is>
      </c>
    </row>
    <row r="15">
      <c r="A15" s="3" t="inlineStr"/>
      <c r="B15" s="3" t="inlineStr">
        <is>
          <t>责任方已付（美团侧）</t>
        </is>
      </c>
      <c r="C15" s="14" t="n">
        <v>0</v>
      </c>
      <c r="D15" s="3" t="inlineStr">
        <is>
          <t>待拉群</t>
        </is>
      </c>
      <c r="E15" s="3" t="inlineStr">
        <is>
          <t>骑手/平台险</t>
        </is>
      </c>
      <c r="F15" s="3" t="inlineStr">
        <is>
          <t>无</t>
        </is>
      </c>
      <c r="G15" s="3" t="inlineStr"/>
      <c r="H15" s="3" t="inlineStr">
        <is>
          <t>保单和限额待骑手拉群</t>
        </is>
      </c>
    </row>
    <row r="17">
      <c r="A17" s="12" t="inlineStr">
        <is>
          <t>合计（仅填写了数字的行）</t>
        </is>
      </c>
      <c r="C17" s="16">
        <f>SUM(C3:C15)</f>
        <v/>
      </c>
    </row>
  </sheetData>
  <autoFilter ref="A2:H30"/>
  <mergeCells count="1">
    <mergeCell ref="A1:H1"/>
  </mergeCells>
  <dataValidations count="2">
    <dataValidation sqref="D3:D30" showDropDown="0" showInputMessage="0" showErrorMessage="0" allowBlank="1" type="list">
      <formula1>"已付,未付,已付待核,未发生或待核"</formula1>
    </dataValidation>
    <dataValidation sqref="F3:F30" showDropDown="0" showInputMessage="0" showErrorMessage="0" allowBlank="1" type="list">
      <formula1>"有,无,待贴,待核"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8" customWidth="1" min="3" max="3"/>
    <col width="40" customWidth="1" min="4" max="4"/>
    <col width="14" customWidth="1" min="5" max="5"/>
  </cols>
  <sheetData>
    <row r="1" ht="24" customHeight="1">
      <c r="A1" s="1" t="inlineStr">
        <is>
          <t>立即八事。转院录音只看三点。费用按 4 万元逐笔核。不谈总赔偿数额。</t>
        </is>
      </c>
    </row>
    <row r="2" ht="22" customHeight="1">
      <c r="A2" s="2" t="inlineStr">
        <is>
          <t>序号</t>
        </is>
      </c>
      <c r="B2" s="2" t="inlineStr">
        <is>
          <t>谁</t>
        </is>
      </c>
      <c r="C2" s="2" t="inlineStr">
        <is>
          <t>做什么</t>
        </is>
      </c>
      <c r="D2" s="2" t="inlineStr">
        <is>
          <t>为什么</t>
        </is>
      </c>
      <c r="E2" s="2" t="inlineStr">
        <is>
          <t>状态</t>
        </is>
      </c>
    </row>
    <row r="3" ht="52" customHeight="1">
      <c r="A3" s="3" t="n">
        <v>1</v>
      </c>
      <c r="B3" s="3" t="inlineStr">
        <is>
          <t>胡继刚 → 陈师傅</t>
        </is>
      </c>
      <c r="C3" s="3" t="inlineStr">
        <is>
          <t>向交警确认书面事故认定书的进度，并索取事故编号、监控保存情况及简易/一般程序的书面说明。</t>
        </is>
      </c>
      <c r="D3" s="3" t="inlineStr">
        <is>
          <t>口头排除全责不能当证据。没有编号和监控回执，等于还没固定。</t>
        </is>
      </c>
      <c r="E3" s="3" t="inlineStr">
        <is>
          <t>未完成</t>
        </is>
      </c>
    </row>
    <row r="4" ht="52" customHeight="1">
      <c r="A4" s="5" t="n">
        <v>2</v>
      </c>
      <c r="B4" s="5" t="inlineStr">
        <is>
          <t>岳父（执业三十余年，场外把关）</t>
        </is>
      </c>
      <c r="C4" s="5" t="inlineStr">
        <is>
          <t>在同意任何责任比例或程序选择前，查看监控和车辆材料，尤其评估一般程序可能带来的车辆与驾驶资格风险。不到场见骑手，不先发函。</t>
        </is>
      </c>
      <c r="D4" s="5" t="inlineStr">
        <is>
          <t>驾驶人有证，无证风险下降；无青岛市号牌风险仍在。家属不自己拍板。现在不请诉讼律师当面谈。</t>
        </is>
      </c>
      <c r="E4" s="5" t="inlineStr">
        <is>
          <t>未完成</t>
        </is>
      </c>
    </row>
    <row r="5" ht="52" customHeight="1">
      <c r="A5" s="3" t="n">
        <v>3</v>
      </c>
      <c r="B5" s="3" t="inlineStr">
        <is>
          <t>家属 + 骑手拉群</t>
        </is>
      </c>
      <c r="C5" s="3" t="inlineStr">
        <is>
          <t>向实际承保保险公司报案并取得书面答复，不再依赖交警、医院或非经办人员的口头判断。</t>
        </is>
      </c>
      <c r="D5" s="3" t="inlineStr">
        <is>
          <t>对方无交强险。大头在美团平台险。人民医院可以赔、比例待书面。</t>
        </is>
      </c>
      <c r="E5" s="3" t="inlineStr">
        <is>
          <t>未完成</t>
        </is>
      </c>
    </row>
    <row r="6" ht="52" customHeight="1">
      <c r="A6" s="5" t="n">
        <v>4</v>
      </c>
      <c r="B6" s="5" t="inlineStr">
        <is>
          <t>家属 → 齐鲁出院处 / 人民医院入院处</t>
        </is>
      </c>
      <c r="C6" s="5" t="inlineStr">
        <is>
          <t>以医疗安全为先确定住院地点，补齐齐鲁医院出院结算、出院记录和市北区人民医院入院材料。</t>
        </is>
      </c>
      <c r="D6" s="5" t="inlineStr">
        <is>
          <t>转院类录音大量重复，核心就是结算、入院、保险书面确认这三步。</t>
        </is>
      </c>
      <c r="E6" s="5" t="inlineStr">
        <is>
          <t>未完成</t>
        </is>
      </c>
    </row>
    <row r="7" ht="52" customHeight="1">
      <c r="A7" s="3" t="n">
        <v>5</v>
      </c>
      <c r="B7" s="3" t="inlineStr">
        <is>
          <t>家属</t>
        </is>
      </c>
      <c r="C7" s="3" t="inlineStr">
        <is>
          <t>立即建立费用台账，逐笔核清 4 万元金额。</t>
        </is>
      </c>
      <c r="D7" s="3" t="inlineStr">
        <is>
          <t>费用口径就是 4 万。用发票逐笔核，并与刘孝春垫付现金 3 万分清。不能再对外报 3.5 万或 7 万。</t>
        </is>
      </c>
      <c r="E7" s="3" t="inlineStr">
        <is>
          <t>未完成</t>
        </is>
      </c>
    </row>
    <row r="8" ht="52" customHeight="1">
      <c r="A8" s="5" t="n">
        <v>6</v>
      </c>
      <c r="B8" s="5" t="inlineStr">
        <is>
          <t>家属</t>
        </is>
      </c>
      <c r="C8" s="5" t="inlineStr">
        <is>
          <t>保存事故监控、全部病历、票据、转运材料及沟通记录原件和电子备份。</t>
        </is>
      </c>
      <c r="D8" s="5" t="inlineStr">
        <is>
          <t>原件和照片/扫描各一份。监控至少要调取回执。</t>
        </is>
      </c>
      <c r="E8" s="5" t="inlineStr">
        <is>
          <t>未完成</t>
        </is>
      </c>
    </row>
    <row r="9" ht="52" customHeight="1">
      <c r="A9" s="3" t="n">
        <v>7</v>
      </c>
      <c r="B9" s="3" t="inlineStr">
        <is>
          <t>胡继刚 + 刘孝春</t>
        </is>
      </c>
      <c r="C9" s="3" t="inlineStr">
        <is>
          <t>核实伤者与用工方关系、车辆归属、工资结算和事故当日工作任务，为可能的工伤或用工责任主张留证。</t>
        </is>
      </c>
      <c r="D9" s="3" t="inlineStr">
        <is>
          <t>留证现在做。未签劳动合同，工伤认定条件目前不具备，不去人社局；用工责任按雇员受害和车主过错主张。3 万收据、5000 欠条现在就写。</t>
        </is>
      </c>
      <c r="E9" s="3" t="inlineStr">
        <is>
          <t>未完成</t>
        </is>
      </c>
    </row>
    <row r="10" ht="52" customHeight="1">
      <c r="A10" s="5" t="n">
        <v>8</v>
      </c>
      <c r="B10" s="5" t="inlineStr">
        <is>
          <t>家属 + 鉴定机构（后）</t>
        </is>
      </c>
      <c r="C10" s="5" t="inlineStr">
        <is>
          <t>待病情稳定并达到鉴定条件后，再由有资质机构进行伤残鉴定；不要根据录音中的推测提前确定等级或金额。</t>
        </is>
      </c>
      <c r="D10" s="5" t="inlineStr">
        <is>
          <t>现阶段不谈总赔偿数额。记录 16 的九级、25–30 万是另一案，不能套到本案。</t>
        </is>
      </c>
      <c r="E10" s="5" t="inlineStr">
        <is>
          <t>未完成</t>
        </is>
      </c>
    </row>
  </sheetData>
  <autoFilter ref="A1:E10"/>
  <mergeCells count="1">
    <mergeCell ref="A1:E1"/>
  </mergeCells>
  <dataValidations count="1">
    <dataValidation sqref="E3:E20" showDropDown="0" showInputMessage="0" showErrorMessage="0" allowBlank="0" type="list">
      <formula1>"未完成,进行中,已完成,律师跟进"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24" customHeight="1">
      <c r="A1" s="1" t="inlineStr">
        <is>
          <t>面谈只说这些。全责、残级、跟骨粉碎骨折，全部停用。</t>
        </is>
      </c>
    </row>
    <row r="2" ht="22" customHeight="1">
      <c r="A2" s="2" t="inlineStr">
        <is>
          <t>场合</t>
        </is>
      </c>
      <c r="B2" s="2" t="inlineStr">
        <is>
          <t>原话/要点</t>
        </is>
      </c>
    </row>
    <row r="3">
      <c r="A3" s="3" t="inlineStr">
        <is>
          <t>对交警</t>
        </is>
      </c>
      <c r="B3" s="3" t="inlineStr">
        <is>
          <t>我们接受「看视频、任何一方都不是全责」。认定书尚未出具。</t>
        </is>
      </c>
    </row>
    <row r="4">
      <c r="A4" s="5" t="inlineStr">
        <is>
          <t>对交警</t>
        </is>
      </c>
      <c r="B4" s="5" t="inlineStr">
        <is>
          <t>地点请写：抚顺路和哈尔滨路路口（抚顺路批发市场）。掉头先右再左是护栏开口借道，不是随意变道。</t>
        </is>
      </c>
    </row>
    <row r="5">
      <c r="A5" s="3" t="inlineStr">
        <is>
          <t>对交警</t>
        </is>
      </c>
      <c r="B5" s="3" t="inlineStr">
        <is>
          <t>请协助见到骑手并拉保险进群。简易或一般程序我们听律师看完监控再定。</t>
        </is>
      </c>
    </row>
    <row r="6">
      <c r="A6" s="5" t="inlineStr">
        <is>
          <t>对骑手/平台</t>
        </is>
      </c>
      <c r="B6" s="5" t="inlineStr">
        <is>
          <t>先看病、先垫付已发生医疗费，态度摆正，拉群不打游击电话。</t>
        </is>
      </c>
    </row>
    <row r="7">
      <c r="A7" s="3" t="inlineStr">
        <is>
          <t>对骑手/平台</t>
        </is>
      </c>
      <c r="B7" s="3" t="inlineStr">
        <is>
          <t>请拉群确认保险公司名称、保单号、限额和书面赔付比例。人民医院可以赔，比例还没书面。</t>
        </is>
      </c>
    </row>
    <row r="8">
      <c r="A8" s="5" t="inlineStr">
        <is>
          <t>对骑手/平台</t>
        </is>
      </c>
      <c r="B8" s="5" t="inlineStr">
        <is>
          <t>不接受「等认定书之前什么都不做」。认定书管责任，不管伤者今天能不能住院。</t>
        </is>
      </c>
    </row>
    <row r="9">
      <c r="A9" s="3" t="inlineStr">
        <is>
          <t>对骑手/平台</t>
        </is>
      </c>
      <c r="B9" s="3" t="inlineStr">
        <is>
          <t>今天不谈总赔偿数额、不谈残级，不签一次性了结。费用还在发生，等认定书和治疗稳定后再按票算。</t>
        </is>
      </c>
    </row>
    <row r="10">
      <c r="A10" s="5" t="inlineStr">
        <is>
          <t>对医院</t>
        </is>
      </c>
      <c r="B10" s="5" t="inlineStr">
        <is>
          <t>请先协助：补打的 33 床出院记录交给人民医院办住院号；结余去一楼收费窗口原路退。若美团险不认二甲，请王主任协助退回齐鲁连续治疗。</t>
        </is>
      </c>
    </row>
    <row r="11">
      <c r="A11" s="3" t="inlineStr">
        <is>
          <t>对医院</t>
        </is>
      </c>
      <c r="B11" s="3" t="inlineStr">
        <is>
          <t>需要转院请书面告知原因、是否联合体、结算规则，并协助专业转运、开具发票。</t>
        </is>
      </c>
    </row>
    <row r="12">
      <c r="A12" s="5" t="inlineStr">
        <is>
          <t>对医院</t>
        </is>
      </c>
      <c r="B12" s="5" t="inlineStr">
        <is>
          <t>请出具诊断证明、手术名称、预计住院和康复周期。</t>
        </is>
      </c>
    </row>
    <row r="13">
      <c r="A13" s="3" t="inlineStr">
        <is>
          <t>对保险公司</t>
        </is>
      </c>
      <c r="B13" s="3" t="inlineStr">
        <is>
          <t>请书面确认：市北区人民医院（抚顺路院区）可赔，赔付比例是多少，医保范围内用药如何核，要不要认定书才能垫付。</t>
        </is>
      </c>
    </row>
    <row r="14">
      <c r="A14" s="5" t="inlineStr">
        <is>
          <t>对保险公司</t>
        </is>
      </c>
      <c r="B14" s="5" t="inlineStr">
        <is>
          <t>如果二甲不认，请贵司医务部门对接医院，协调转回三甲连续治疗。</t>
        </is>
      </c>
    </row>
    <row r="15">
      <c r="A15" s="3" t="inlineStr">
        <is>
          <t>对保险公司</t>
        </is>
      </c>
      <c r="B15" s="3" t="inlineStr">
        <is>
          <t>请告知理赔需要的材料清单、是否必须先有责任认定书才能垫付医疗费。</t>
        </is>
      </c>
    </row>
    <row r="16">
      <c r="A16" s="5" t="inlineStr">
        <is>
          <t>对保险公司</t>
        </is>
      </c>
      <c r="B16" s="5" t="inlineStr">
        <is>
          <t>护理费：伤者目前不能下地、不能独自如厕，已请医院合作一对一 24 小时护工。请确认按发票、按责任比例核赔；家属误工不在伤者误工项里。</t>
        </is>
      </c>
    </row>
    <row r="17">
      <c r="A17" s="3" t="inlineStr">
        <is>
          <t>绝对不要说</t>
        </is>
      </c>
      <c r="B17" s="3" t="inlineStr">
        <is>
          <t>不要再说「对方全责」——交警视频已经排除。</t>
        </is>
      </c>
    </row>
    <row r="18">
      <c r="A18" s="5" t="inlineStr">
        <is>
          <t>绝对不要说</t>
        </is>
      </c>
      <c r="B18" s="5" t="inlineStr">
        <is>
          <t>不要现在谈一个总赔偿数额、不要对外说「已经几级伤残」。</t>
        </is>
      </c>
    </row>
    <row r="19">
      <c r="A19" s="3" t="inlineStr">
        <is>
          <t>绝对不要说</t>
        </is>
      </c>
      <c r="B19" s="3" t="inlineStr">
        <is>
          <t>不要把右足骨刺、退变说成这次撞出来的跟骨粉碎骨折。</t>
        </is>
      </c>
    </row>
    <row r="20">
      <c r="A20" s="5" t="inlineStr">
        <is>
          <t>绝对不要说</t>
        </is>
      </c>
      <c r="B20" s="5" t="inlineStr">
        <is>
          <t>不要为了走一般程序去赌全责。驾驶人有证，但无牌风险仍在，程序由律师定。</t>
        </is>
      </c>
    </row>
    <row r="21">
      <c r="A21" s="3" t="inlineStr">
        <is>
          <t>绝对不要说</t>
        </is>
      </c>
      <c r="B21" s="3" t="inlineStr">
        <is>
          <t>不要把 3 万垫付说成借款或事故已经了结。</t>
        </is>
      </c>
    </row>
    <row r="22">
      <c r="A22" s="5" t="inlineStr">
        <is>
          <t>绝对不要说</t>
        </is>
      </c>
      <c r="B22" s="5" t="inlineStr">
        <is>
          <t>不要去人社局报工伤。未签劳动合同，不具备工伤认定条件。</t>
        </is>
      </c>
    </row>
    <row r="23">
      <c r="A23" s="3" t="inlineStr">
        <is>
          <t>绝对不要说</t>
        </is>
      </c>
      <c r="B23" s="3" t="inlineStr">
        <is>
          <t>不要等法院先确认雇佣关系才去写收据、要欠薪——现在就能写。</t>
        </is>
      </c>
    </row>
    <row r="24">
      <c r="A24" s="5" t="inlineStr">
        <is>
          <t>绝对不要说</t>
        </is>
      </c>
      <c r="B24" s="5" t="inlineStr">
        <is>
          <t>不要无发票的现金开支事后补口。</t>
        </is>
      </c>
    </row>
    <row r="25">
      <c r="A25" s="3" t="inlineStr">
        <is>
          <t>绝对不要说</t>
        </is>
      </c>
      <c r="B25" s="3" t="inlineStr">
        <is>
          <t>不要对保险公司说「朋友说公立二甲一定能报」。</t>
        </is>
      </c>
    </row>
    <row r="26">
      <c r="A26" s="5" t="inlineStr">
        <is>
          <t>绝对不要说</t>
        </is>
      </c>
      <c r="B26" s="5" t="inlineStr">
        <is>
          <t>不要把医保结算说成美团险已经确认。</t>
        </is>
      </c>
    </row>
    <row r="27">
      <c r="A27" s="3" t="inlineStr">
        <is>
          <t>绝对不要说</t>
        </is>
      </c>
      <c r="B27" s="3" t="inlineStr">
        <is>
          <t>不要说伤者已经进入康复期。</t>
        </is>
      </c>
    </row>
    <row r="28">
      <c r="A28" s="5" t="inlineStr">
        <is>
          <t>绝对不要说</t>
        </is>
      </c>
      <c r="B28" s="5" t="inlineStr">
        <is>
          <t>不要装病、不要出院再入院绕考核、不要代扮交警。</t>
        </is>
      </c>
    </row>
    <row r="29">
      <c r="A29" s="3" t="inlineStr">
        <is>
          <t>绝对不要说</t>
        </is>
      </c>
      <c r="B29" s="3" t="inlineStr">
        <is>
          <t>不要对美团说「我们老板刘孝春会把小姑娘赔不起的都补上」——等于放她走。</t>
        </is>
      </c>
    </row>
    <row r="30">
      <c r="A30" s="5" t="inlineStr">
        <is>
          <t>绝对不要说</t>
        </is>
      </c>
      <c r="B30" s="5" t="inlineStr">
        <is>
          <t>不要把刘孝春写成工伤单位去人社局；未签劳动合同，工伤已排除。</t>
        </is>
      </c>
    </row>
    <row r="31">
      <c r="A31" s="3" t="inlineStr">
        <is>
          <t>绝对不要说</t>
        </is>
      </c>
      <c r="B31" s="3" t="inlineStr">
        <is>
          <t>不要对外说叉车。涉事是货运三轮。</t>
        </is>
      </c>
    </row>
    <row r="32">
      <c r="A32" s="5" t="inlineStr">
        <is>
          <t>绝对不要说</t>
        </is>
      </c>
      <c r="B32" s="5" t="inlineStr">
        <is>
          <t>不要把律师举例里的九级、25–30 万当成本案结论。</t>
        </is>
      </c>
    </row>
    <row r="33">
      <c r="A33" s="3" t="inlineStr">
        <is>
          <t>绝对不要说</t>
        </is>
      </c>
      <c r="B33" s="3" t="inlineStr">
        <is>
          <t>不要把「骑手 70%、用工方 30%、驾驶人 0 责」说成交警认定——那是内部讨论。</t>
        </is>
      </c>
    </row>
    <row r="34">
      <c r="A34" s="5" t="inlineStr">
        <is>
          <t>绝对不要说</t>
        </is>
      </c>
      <c r="B34" s="5" t="inlineStr">
        <is>
          <t>不要把记录 16 远洋工伤九级、25–30 万当成本案。</t>
        </is>
      </c>
    </row>
    <row r="35">
      <c r="A35" s="3" t="inlineStr">
        <is>
          <t>绝对不要说</t>
        </is>
      </c>
      <c r="B35" s="3" t="inlineStr">
        <is>
          <t>不要把记录 13 里蒋玉年、26 床、8000 元写进本案费用。</t>
        </is>
      </c>
    </row>
    <row r="36">
      <c r="A36" s="5" t="inlineStr">
        <is>
          <t>绝对不要说</t>
        </is>
      </c>
      <c r="B36" s="5" t="inlineStr">
        <is>
          <t>不要写成给孙总干活。</t>
        </is>
      </c>
    </row>
  </sheetData>
  <autoFilter ref="A1:B36"/>
  <mergeCells count="1">
    <mergeCell ref="A1:B1"/>
  </mergeCells>
  <pageMargins left="0.4" right="0.4" top="0.5" bottom="0.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40" customWidth="1" min="3" max="3"/>
  </cols>
  <sheetData>
    <row r="1" ht="24" customHeight="1">
      <c r="A1" s="1" t="inlineStr">
        <is>
          <t>认定书尚未出具。简易或一般由律师看监控后定。</t>
        </is>
      </c>
    </row>
    <row r="2" ht="22" customHeight="1">
      <c r="A2" s="2" t="inlineStr">
        <is>
          <t>事项</t>
        </is>
      </c>
      <c r="B2" s="2" t="inlineStr">
        <is>
          <t>交警口径</t>
        </is>
      </c>
      <c r="C2" s="2" t="inlineStr">
        <is>
          <t>家属对策</t>
        </is>
      </c>
    </row>
    <row r="3" ht="48" customHeight="1">
      <c r="A3" s="3" t="inlineStr">
        <is>
          <t>地点</t>
        </is>
      </c>
      <c r="B3" s="3" t="inlineStr">
        <is>
          <t>青岛市市北区抚顺路和哈尔滨路路口（抚顺路批发市场）。护栏开口借道掉头。录音里其他市场别称一律停用。地址仍以认定书为准。</t>
        </is>
      </c>
      <c r="C3" s="3" t="inlineStr">
        <is>
          <t>对外用抚顺路和哈尔滨路路口，以认定书为准</t>
        </is>
      </c>
    </row>
    <row r="4" ht="48" customHeight="1">
      <c r="A4" s="5" t="inlineStr">
        <is>
          <t>过程</t>
        </is>
      </c>
      <c r="B4" s="5" t="inlineStr">
        <is>
          <t>胡志远当时在为刘孝春家卸货搬运，驾驶/使用刘家三轮车。卸完第一趟，回装第二趟：贴护栏上坡，准备左拐去下方装货再往楼上拉。因护栏开口，须先向上借道调整，再掉头。8 月 18 日口述双方都往上走。后方黄色美团二轮碰撞，三轮侧翻，脚踏板压伤右脚。交警称视频能看清过程；家属称监控可能看不清护栏。护栏开口可以解释动作来源，但不能据此争全责。</t>
        </is>
      </c>
      <c r="C4" s="5" t="inlineStr">
        <is>
          <t>以监控为准，不补充猜测</t>
        </is>
      </c>
    </row>
    <row r="5" ht="48" customHeight="1">
      <c r="A5" s="3" t="inlineStr">
        <is>
          <t>三轮过错</t>
        </is>
      </c>
      <c r="B5" s="3" t="inlineStr">
        <is>
          <t>三轮车：货运三轮，交警口头认定为机动车；只有抚顺路批发市场内部牌，无青岛市机动车号牌；左转向灯失灵（另有口述大灯也坏）；掉头先向右再向左大弧度。家属解释是护栏开口借道，待认定书；掉头动作：先向上/向右借道再大弧度左拐。8 月 18 日家属解释是 1 号门斜坡护栏开口需要先借道；交警仍可能把该动作写成未有效提示后方</t>
        </is>
      </c>
      <c r="C5" s="3" t="inlineStr">
        <is>
          <t>承认监控里看得到的问题，不争口头全责</t>
        </is>
      </c>
    </row>
    <row r="6" ht="48" customHeight="1">
      <c r="A6" s="5" t="inlineStr">
        <is>
          <t>骑手过错</t>
        </is>
      </c>
      <c r="B6" s="5" t="inlineStr">
        <is>
          <t>未与前车保持足够安全距离；处于后方、视野更清楚，有条件提前规避</t>
        </is>
      </c>
      <c r="C6" s="5" t="inlineStr">
        <is>
          <t>要求主责，保底同等；待认定书</t>
        </is>
      </c>
    </row>
    <row r="7" ht="48" customHeight="1">
      <c r="A7" s="3" t="inlineStr">
        <is>
          <t>责任范围</t>
        </is>
      </c>
      <c r="B7" s="3" t="inlineStr">
        <is>
          <t>书面认定书尚未出具。监控可排除任何一方全责。可能同等，或外卖主责、三轮次责。双方过错描述待认定书。简易或一般程序由律师看监控和车辆材料后确定，家属不自己拍板。</t>
        </is>
      </c>
      <c r="C7" s="3" t="inlineStr">
        <is>
          <t>认定书未出；停止使用「对方全责」</t>
        </is>
      </c>
    </row>
    <row r="8" ht="48" customHeight="1">
      <c r="A8" s="5" t="inlineStr">
        <is>
          <t>简易程序</t>
        </is>
      </c>
      <c r="B8" s="5" t="inlineStr">
        <is>
          <t>不审资质，快出认定书</t>
        </is>
      </c>
      <c r="C8" s="5" t="inlineStr">
        <is>
          <t>可以谈，是否走由律师定</t>
        </is>
      </c>
    </row>
    <row r="9" ht="48" customHeight="1">
      <c r="A9" s="3" t="inlineStr">
        <is>
          <t>一般程序</t>
        </is>
      </c>
      <c r="B9" s="3" t="inlineStr">
        <is>
          <t>无青岛市号牌仍有风险；驾驶人有证，无证风险下降</t>
        </is>
      </c>
      <c r="C9" s="3" t="inlineStr">
        <is>
          <t>律师看完监控再选，家属不拍板</t>
        </is>
      </c>
    </row>
    <row r="10" ht="48" customHeight="1">
      <c r="A10" s="5" t="inlineStr">
        <is>
          <t>驾驶资格</t>
        </is>
      </c>
      <c r="B10" s="5" t="inlineStr">
        <is>
          <t>家属确认具备驾驶资格证书</t>
        </is>
      </c>
      <c r="C10" s="5" t="inlineStr">
        <is>
          <t>内部留证，不要主动交给一般程序扩查</t>
        </is>
      </c>
    </row>
    <row r="11" ht="48" customHeight="1">
      <c r="A11" s="3" t="inlineStr">
        <is>
          <t>交警赔钱</t>
        </is>
      </c>
      <c r="B11" s="3" t="inlineStr">
        <is>
          <t>只出认定书，不参与金额</t>
        </is>
      </c>
      <c r="C11" s="3" t="inlineStr">
        <is>
          <t>金额找保险和法院，别逼交警</t>
        </is>
      </c>
    </row>
    <row r="12" ht="48" customHeight="1">
      <c r="A12" s="5" t="inlineStr">
        <is>
          <t>刘孝春身份</t>
        </is>
      </c>
      <c r="B12" s="5" t="inlineStr">
        <is>
          <t>乔刘记商贸负责人刘孝春。伤者当时的雇佣老板，三轮车实际所有人或管理人。64 岁胡某已退休，雇佣关系，未签劳动合同。</t>
        </is>
      </c>
      <c r="C12" s="5" t="inlineStr">
        <is>
          <t>乔刘记商贸；雇佣无合同；工伤排除</t>
        </is>
      </c>
    </row>
    <row r="13" ht="48" customHeight="1">
      <c r="A13" s="3" t="inlineStr">
        <is>
          <t>不替美团补</t>
        </is>
      </c>
      <c r="B13" s="3" t="inlineStr">
        <is>
          <t>刘孝春没有法定义务承担「美团小姑娘责任范围内赔不够、她本人又没钱」的那一块。那是骑手和美团平台险的债，不能让老板去替她补。</t>
        </is>
      </c>
      <c r="C13" s="3" t="inlineStr">
        <is>
          <t>骑手责任范围内的缺口仍找平台险和骑手</t>
        </is>
      </c>
    </row>
    <row r="14" ht="48" customHeight="1">
      <c r="A14" s="5" t="inlineStr">
        <is>
          <t>可主张己方份</t>
        </is>
      </c>
      <c r="B14" s="5" t="inlineStr">
        <is>
          <t>认定书扣掉的己方份额（同等大约 50%，次责大约 30%）以及因车主过错、提供不合格车辆产生的相应责任，可以向刘孝春主张分担。这是「三轮这一方内部怎么分」，不是「替美团赔剩余」。</t>
        </is>
      </c>
      <c r="C14" s="5" t="inlineStr">
        <is>
          <t>无牌+灯坏交人使用；3万垫付先写收据</t>
        </is>
      </c>
    </row>
  </sheetData>
  <autoFilter ref="A1:C14"/>
  <mergeCells count="1">
    <mergeCell ref="A1:C1"/>
  </mergeCells>
  <pageMargins left="0.4" right="0.4" top="0.5" bottom="0.5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2" customWidth="1" min="3" max="3"/>
    <col width="42" customWidth="1" min="4" max="4"/>
    <col width="36" customWidth="1" min="5" max="5"/>
  </cols>
  <sheetData>
    <row r="1" ht="24" customHeight="1">
      <c r="A1" s="1" t="inlineStr">
        <is>
          <t>30%是己方缺口不是刘的固定比例。未结工钱100%由刘付，其余进总损失后再切。</t>
        </is>
      </c>
    </row>
    <row r="2" ht="22" customHeight="1">
      <c r="A2" s="2" t="inlineStr">
        <is>
          <t>项目</t>
        </is>
      </c>
      <c r="B2" s="2" t="inlineStr">
        <is>
          <t>现在能否主张</t>
        </is>
      </c>
      <c r="C2" s="2" t="inlineStr">
        <is>
          <t>计算口径</t>
        </is>
      </c>
      <c r="D2" s="2" t="inlineStr">
        <is>
          <t>刘孝春怎么担</t>
        </is>
      </c>
      <c r="E2" s="2" t="inlineStr">
        <is>
          <t>不要搞错</t>
        </is>
      </c>
    </row>
    <row r="3" ht="56" customHeight="1">
      <c r="A3" s="3" t="inlineStr">
        <is>
          <t>未结工钱（欠薪）</t>
        </is>
      </c>
      <c r="B3" s="3" t="inlineStr">
        <is>
          <t>可以现在就要</t>
        </is>
      </c>
      <c r="C3" s="3" t="inlineStr">
        <is>
          <t>按实际未付工钱，口述约 5000 元，须另写欠条/微信确认。</t>
        </is>
      </c>
      <c r="D3" s="3" t="inlineStr">
        <is>
          <t>100% 由刘孝春付。这是欠薪，不乘 30%，不和 3 万垫付、4 万医疗口径冲抵。</t>
        </is>
      </c>
      <c r="E3" s="3" t="inlineStr">
        <is>
          <t>不要拿欠薪去抵 3 万垫付后说事故两清。</t>
        </is>
      </c>
    </row>
    <row r="4" ht="56" customHeight="1">
      <c r="A4" s="5" t="inlineStr">
        <is>
          <t>医疗费</t>
        </is>
      </c>
      <c r="B4" s="5" t="inlineStr">
        <is>
          <t>有票就进台账</t>
        </is>
      </c>
      <c r="C4" s="5" t="inlineStr">
        <is>
          <t>住院、手术、检查、药品、后续门诊，发票减医保已报（按保险和法院口径）。</t>
        </is>
      </c>
      <c r="D4" s="5" t="inlineStr">
        <is>
          <t>进入 L，刘分担缺口 G 中与其过错相当的部分。</t>
        </is>
      </c>
      <c r="E4" s="5" t="inlineStr">
        <is>
          <t>美团 70% 仍找平台险，不让刘替骑手出。</t>
        </is>
      </c>
    </row>
    <row r="5" ht="56" customHeight="1">
      <c r="A5" s="3" t="inlineStr">
        <is>
          <t>后续治疗费</t>
        </is>
      </c>
      <c r="B5" s="3" t="inlineStr">
        <is>
          <t>评残前先记账，取内固定后再结</t>
        </is>
      </c>
      <c r="C5" s="3" t="inlineStr">
        <is>
          <t>医嘱或鉴定意见载明的二次手术、拆外固定、康复必要费用。</t>
        </is>
      </c>
      <c r="D5" s="3" t="inlineStr">
        <is>
          <t>同上，进 L 后切缺口。</t>
        </is>
      </c>
      <c r="E5" s="3" t="inlineStr">
        <is>
          <t>不要现在把尚未发生的二次手术一次性包死。</t>
        </is>
      </c>
    </row>
    <row r="6" ht="56" customHeight="1">
      <c r="A6" s="5" t="inlineStr">
        <is>
          <t>护理费（陪护费）</t>
        </is>
      </c>
      <c r="B6" s="5" t="inlineStr">
        <is>
          <t>应当主张</t>
        </is>
      </c>
      <c r="C6" s="5" t="inlineStr">
        <is>
          <t>医院推荐一对一 24 小时已请，日单价 300 元。必须书面合同、发票、护理记录、开始日期。出院后仍不能自理的，按医嘱天数续。</t>
        </is>
      </c>
      <c r="D6" s="5" t="inlineStr">
        <is>
          <t>应当分担缺口里的护理费，不是把全部护工费甩给刘。家属自己陪护无票的，很难按上海工资认。</t>
        </is>
      </c>
      <c r="E6" s="5" t="inlineStr">
        <is>
          <t>一对多、微信私拉、无发票，刘和保险都可以不认。</t>
        </is>
      </c>
    </row>
    <row r="7" ht="56" customHeight="1">
      <c r="A7" s="3" t="inlineStr">
        <is>
          <t>住院伙食补助费</t>
        </is>
      </c>
      <c r="B7" s="3" t="inlineStr">
        <is>
          <t>应当主张</t>
        </is>
      </c>
      <c r="C7" s="3" t="inlineStr">
        <is>
          <t>住院天数 × 青岛国家机关工作人员出差伙食补助标准。</t>
        </is>
      </c>
      <c r="D7" s="3" t="inlineStr">
        <is>
          <t>进 L 后切缺口。</t>
        </is>
      </c>
      <c r="E7" s="3" t="inlineStr">
        <is>
          <t>没有住院天数就不要编。</t>
        </is>
      </c>
    </row>
    <row r="8" ht="56" customHeight="1">
      <c r="A8" s="5" t="inlineStr">
        <is>
          <t>营养费</t>
        </is>
      </c>
      <c r="B8" s="5" t="inlineStr">
        <is>
          <t>有医嘱再主张</t>
        </is>
      </c>
      <c r="C8" s="5" t="inlineStr">
        <is>
          <t>医嘱写加强营养或鉴定支持的天数 × 当地标准。</t>
        </is>
      </c>
      <c r="D8" s="5" t="inlineStr">
        <is>
          <t>进 L 后切缺口。</t>
        </is>
      </c>
      <c r="E8" s="5" t="inlineStr">
        <is>
          <t>没有医嘱不要按骨折吓人程度口头加。</t>
        </is>
      </c>
    </row>
    <row r="9" ht="56" customHeight="1">
      <c r="A9" s="3" t="inlineStr">
        <is>
          <t>交通费</t>
        </is>
      </c>
      <c r="B9" s="3" t="inlineStr">
        <is>
          <t>有票就主张</t>
        </is>
      </c>
      <c r="C9" s="3" t="inlineStr">
        <is>
          <t>救护车 160 元；家属合理往返（胡继刚上海—青岛按必要次数）。</t>
        </is>
      </c>
      <c r="D9" s="3" t="inlineStr">
        <is>
          <t>进 L 后切缺口。</t>
        </is>
      </c>
      <c r="E9" s="3" t="inlineStr">
        <is>
          <t>旅游、探亲顺便的车票不要混进去。</t>
        </is>
      </c>
    </row>
    <row r="10" ht="56" customHeight="1">
      <c r="A10" s="5" t="inlineStr">
        <is>
          <t>住宿费</t>
        </is>
      </c>
      <c r="B10" s="5" t="inlineStr">
        <is>
          <t>有票且必要才主张</t>
        </is>
      </c>
      <c r="C10" s="5" t="inlineStr">
        <is>
          <t>外地家属因处理事故、陪护产生的合理住宿。</t>
        </is>
      </c>
      <c r="D10" s="5" t="inlineStr">
        <is>
          <t>进 L 后切缺口。</t>
        </is>
      </c>
      <c r="E10" s="5" t="inlineStr">
        <is>
          <t>长期住酒店替代护工，容易被砍。</t>
        </is>
      </c>
    </row>
    <row r="11" ht="56" customHeight="1">
      <c r="A11" s="3" t="inlineStr">
        <is>
          <t>误工费（伤者本人）</t>
        </is>
      </c>
      <c r="B11" s="3" t="inlineStr">
        <is>
          <t>能证明收入才主张</t>
        </is>
      </c>
      <c r="C11" s="3" t="inlineStr">
        <is>
          <t>只算胡某。64 岁已退休，须证明实际在给刘干活有收入（微信、证人、市场行情）。误工天数看出院医嘱或鉴定休息期。</t>
        </is>
      </c>
      <c r="D11" s="3" t="inlineStr">
        <is>
          <t>误工费若成立，刘分担的是缺口里这一项，不是按儿子上海工资赔，也不是把胡某后半生工资全包。</t>
        </is>
      </c>
      <c r="E11" s="3" t="inlineStr">
        <is>
          <t>证明不了实际收入，误工费可能为 0。胡继刚的工资不是误工费。</t>
        </is>
      </c>
    </row>
    <row r="12" ht="56" customHeight="1">
      <c r="A12" s="5" t="inlineStr">
        <is>
          <t>残疾赔偿金</t>
        </is>
      </c>
      <c r="B12" s="5" t="inlineStr">
        <is>
          <t>评残后才有</t>
        </is>
      </c>
      <c r="C12" s="5" t="inlineStr">
        <is>
          <t>青岛口径内部用 71703 元/年 × 16 年 × 残级系数（十级 0.1，九级 0.2）。</t>
        </is>
      </c>
      <c r="D12" s="5" t="inlineStr">
        <is>
          <t>评残后进入 L，刘仍只切 30% 缺口里与其过错相当的部分。</t>
        </is>
      </c>
      <c r="E12" s="5" t="inlineStr">
        <is>
          <t>现在不要对外报残级，也不要让刘现在按十级锁死。</t>
        </is>
      </c>
    </row>
    <row r="13" ht="56" customHeight="1">
      <c r="A13" s="3" t="inlineStr">
        <is>
          <t>残疾辅助器具费</t>
        </is>
      </c>
      <c r="B13" s="3" t="inlineStr">
        <is>
          <t>有医嘱或鉴定再主张</t>
        </is>
      </c>
      <c r="C13" s="3" t="inlineStr">
        <is>
          <t>拐杖、轮椅等必要器具。</t>
        </is>
      </c>
      <c r="D13" s="3" t="inlineStr">
        <is>
          <t>进 L 后切缺口。</t>
        </is>
      </c>
      <c r="E13" s="3" t="inlineStr">
        <is>
          <t>高消费器材没有医嘱不要报。</t>
        </is>
      </c>
    </row>
    <row r="14" ht="56" customHeight="1">
      <c r="A14" s="5" t="inlineStr">
        <is>
          <t>被扶养人生活费</t>
        </is>
      </c>
      <c r="B14" s="5" t="inlineStr">
        <is>
          <t>评残后看有没有法定被扶养人</t>
        </is>
      </c>
      <c r="C14" s="5" t="inlineStr">
        <is>
          <t>须评残且有胡某依法扶养、无劳动能力又无生活来源的人。成年儿子胡继刚一般不算。</t>
        </is>
      </c>
      <c r="D14" s="5" t="inlineStr">
        <is>
          <t>若成立，进 L 后切缺口。</t>
        </is>
      </c>
      <c r="E14" s="5" t="inlineStr">
        <is>
          <t>不要把全家生活费写成被扶养人生活费。</t>
        </is>
      </c>
    </row>
    <row r="15" ht="56" customHeight="1">
      <c r="A15" s="3" t="inlineStr">
        <is>
          <t>精神损害抚慰金</t>
        </is>
      </c>
      <c r="B15" s="3" t="inlineStr">
        <is>
          <t>评残或起诉时主张</t>
        </is>
      </c>
      <c r="C15" s="3" t="inlineStr">
        <is>
          <t>按伤情和当地法院尺度。美团平台险常常不赔这一项。</t>
        </is>
      </c>
      <c r="D15" s="3" t="inlineStr">
        <is>
          <t>保险不赔的部分，可向有过错的侵权人主张；刘作为车主/接受劳务过错方，可能分担己方缺口里的相应部分，不是替骑手把精神抚慰金全包。</t>
        </is>
      </c>
      <c r="E15" s="3" t="inlineStr">
        <is>
          <t>不要以为刘必须把保险除外的精神抚慰金全部补上。</t>
        </is>
      </c>
    </row>
    <row r="16" ht="56" customHeight="1">
      <c r="A16" s="5" t="inlineStr">
        <is>
          <t>鉴定费</t>
        </is>
      </c>
      <c r="B16" s="5" t="inlineStr">
        <is>
          <t>评残时发生</t>
        </is>
      </c>
      <c r="C16" s="5" t="inlineStr">
        <is>
          <t>道路交通事故伤残鉴定费，发票。</t>
        </is>
      </c>
      <c r="D16" s="5" t="inlineStr">
        <is>
          <t>进 L 后切缺口；有的判决由败诉方负担，以判决为准。</t>
        </is>
      </c>
      <c r="E16" s="5" t="inlineStr">
        <is>
          <t>不要网上计算器代替鉴定。</t>
        </is>
      </c>
    </row>
    <row r="17" ht="56" customHeight="1">
      <c r="A17" s="3" t="inlineStr">
        <is>
          <t>个人物品损失</t>
        </is>
      </c>
      <c r="B17" s="3" t="inlineStr">
        <is>
          <t>有凭证再主张</t>
        </is>
      </c>
      <c r="C17" s="3" t="inlineStr">
        <is>
          <t>衣服、眼镜、手机等因事故损坏。</t>
        </is>
      </c>
      <c r="D17" s="3" t="inlineStr">
        <is>
          <t>进 L 后切缺口。</t>
        </is>
      </c>
      <c r="E17" s="3" t="inlineStr">
        <is>
          <t>三轮车是刘的，车损不是胡某向刘索赔的项目；车损由刘自行向美团侧按责主张。</t>
        </is>
      </c>
    </row>
    <row r="19">
      <c r="A19" s="11" t="inlineStr">
        <is>
          <t>不应承担</t>
        </is>
      </c>
    </row>
    <row r="20" ht="28" customHeight="1">
      <c r="A20" t="inlineStr">
        <is>
          <t>美团骑手责任范围内（约 70%）赔不够的部分——仍是骑手和平台险的债。</t>
        </is>
      </c>
    </row>
    <row r="21" ht="28" customHeight="1">
      <c r="A21" t="inlineStr">
        <is>
          <t>胡继刚回上海少拿的工资、请护工之外自己陪护的「误工」。</t>
        </is>
      </c>
    </row>
    <row r="22" ht="28" customHeight="1">
      <c r="A22" t="inlineStr">
        <is>
          <t>无合同、无发票的现金护工，以及一对多护工。</t>
        </is>
      </c>
    </row>
    <row r="23" ht="28" customHeight="1">
      <c r="A23" t="inlineStr">
        <is>
          <t>跟骨骨刺、退变等与本次事故无关的治疗。</t>
        </is>
      </c>
    </row>
    <row r="24" ht="28" customHeight="1">
      <c r="A24" t="inlineStr">
        <is>
          <t>把刘孝春的三轮车损算成胡某的损失向刘要钱。</t>
        </is>
      </c>
    </row>
    <row r="25" ht="28" customHeight="1">
      <c r="A25" t="inlineStr">
        <is>
          <t>工伤待遇、社保补缴——未签劳动合同，家属确认不具备工伤认定条件。</t>
        </is>
      </c>
    </row>
    <row r="26" ht="28" customHeight="1">
      <c r="A26" t="inlineStr">
        <is>
          <t>现在就按十级、九级向刘要残疾赔偿金。</t>
        </is>
      </c>
    </row>
    <row r="28" ht="48" customHeight="1">
      <c r="A28" t="inlineStr">
        <is>
          <t>总损失 L（下列可计入项目之和）→ 美团/平台险先赔约 70%L → 己方缺口 G≈30%L → 刘孝春赔 G×其过错系数 k，胡某自负 G×(1−k)。k 不是 100%，也不要对外报一个数；无牌+灯坏交人上路、当天派活，主张时把 k 往高处谈，但不能写成刘把 30% 全部包圆。</t>
        </is>
      </c>
    </row>
  </sheetData>
  <autoFilter ref="A1:E28"/>
  <mergeCells count="9">
    <mergeCell ref="A21:E21"/>
    <mergeCell ref="A20:E20"/>
    <mergeCell ref="A24:E24"/>
    <mergeCell ref="A26:E26"/>
    <mergeCell ref="A25:E25"/>
    <mergeCell ref="A28:E28"/>
    <mergeCell ref="A1:E1"/>
    <mergeCell ref="A23:E23"/>
    <mergeCell ref="A22:E22"/>
  </mergeCells>
  <pageMargins left="0.4" right="0.4" top="0.5" bottom="0.5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</cols>
  <sheetData>
    <row r="1" ht="24" customHeight="1">
      <c r="A1" s="1" t="inlineStr">
        <is>
          <t>不必等法院先确认雇佣关系。垫付和欠薪必须写清性质。</t>
        </is>
      </c>
    </row>
    <row r="2" ht="22" customHeight="1">
      <c r="A2" s="2" t="inlineStr">
        <is>
          <t>序号</t>
        </is>
      </c>
      <c r="B2" s="2" t="inlineStr">
        <is>
          <t>提醒</t>
        </is>
      </c>
    </row>
    <row r="3" ht="36" customHeight="1">
      <c r="A3" s="3" t="n">
        <v>1</v>
      </c>
      <c r="B3" s="3" t="inlineStr">
        <is>
          <t>不必等法院先确认「雇佣/劳务法律关系」才去留证、收垫付、要欠薪。现在就能做。</t>
        </is>
      </c>
    </row>
    <row r="4" ht="36" customHeight="1">
      <c r="A4" s="5" t="n">
        <v>2</v>
      </c>
      <c r="B4" s="5" t="inlineStr">
        <is>
          <t>工伤已经排除：未签劳动合同，不具备工伤认定条件。不要去人社局。</t>
        </is>
      </c>
    </row>
    <row r="5" ht="36" customHeight="1">
      <c r="A5" s="3" t="n">
        <v>3</v>
      </c>
      <c r="B5" s="3" t="inlineStr">
        <is>
          <t>雇员受害仍可主张：有乔刘记商贸派活、车是刘的、人在卸货、有工钱或欠薪，即可按民法典 1192、1209 主张。法院以后怎么定性，是起诉时的事。</t>
        </is>
      </c>
    </row>
    <row r="6" ht="36" customHeight="1">
      <c r="A6" s="5" t="n">
        <v>4</v>
      </c>
      <c r="B6" s="5" t="inlineStr">
        <is>
          <t>3 万元现金立刻写收据：垫付医疗费，不是借款，不是一次性了结交通事故，不冲抵欠薪，不代美团赔偿。</t>
        </is>
      </c>
    </row>
    <row r="7" ht="36" customHeight="1">
      <c r="A7" s="3" t="n">
        <v>5</v>
      </c>
      <c r="B7" s="3" t="inlineStr">
        <is>
          <t>未结工钱约 5000 另写一张欠薪确认，不乘责任比例，不和垫付混在一张纸上。</t>
        </is>
      </c>
    </row>
    <row r="8" ht="36" customHeight="1">
      <c r="A8" s="5" t="n">
        <v>6</v>
      </c>
      <c r="B8" s="5" t="inlineStr">
        <is>
          <t>4 万元和 3 万元用发票分清后再对外报一个数。</t>
        </is>
      </c>
    </row>
  </sheetData>
  <autoFilter ref="A1:B8"/>
  <mergeCells count="1">
    <mergeCell ref="A1:B1"/>
  </mergeCells>
  <pageMargins left="0.4" right="0.4" top="0.5" bottom="0.5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8" customWidth="1" min="3" max="3"/>
    <col width="28" customWidth="1" min="4" max="4"/>
    <col width="14" customWidth="1" min="5" max="5"/>
  </cols>
  <sheetData>
    <row r="1" ht="24" customHeight="1">
      <c r="A1" s="1" t="inlineStr">
        <is>
          <t>8/19 补充后仍缺的事实。没有就不要编进 3D 或对外口径。3D 视频留作待用。</t>
        </is>
      </c>
    </row>
    <row r="2" ht="22" customHeight="1">
      <c r="A2" s="2" t="inlineStr">
        <is>
          <t>类别</t>
        </is>
      </c>
      <c r="B2" s="2" t="inlineStr">
        <is>
          <t>已经掌握</t>
        </is>
      </c>
      <c r="C2" s="2" t="inlineStr">
        <is>
          <t>还缺什么</t>
        </is>
      </c>
      <c r="D2" s="2" t="inlineStr">
        <is>
          <t>找谁要</t>
        </is>
      </c>
      <c r="E2" s="2" t="inlineStr">
        <is>
          <t>缓急</t>
        </is>
      </c>
    </row>
    <row r="3" ht="48" customHeight="1">
      <c r="A3" s="3" t="inlineStr">
        <is>
          <t>事故现场</t>
        </is>
      </c>
      <c r="B3" s="3" t="inlineStr">
        <is>
          <t>周五出事；抚顺路和哈尔滨路路口（抚顺路批发市场）；护栏开口借道；踏板压右脚；灯不亮；后方碰撞</t>
        </is>
      </c>
      <c r="C3" s="3" t="inlineStr">
        <is>
          <t>具体钟点、天气、车道数、两车颜色品牌、货是否在车上、精确撞击部位；交警原视频（3D 待用）</t>
        </is>
      </c>
      <c r="D3" s="3" t="inlineStr">
        <is>
          <t>交警监控原视频 / 陈师傅</t>
        </is>
      </c>
      <c r="E3" s="3" t="inlineStr">
        <is>
          <t>中</t>
        </is>
      </c>
    </row>
    <row r="4" ht="48" customHeight="1">
      <c r="A4" s="5" t="inlineStr">
        <is>
          <t>护栏与地点</t>
        </is>
      </c>
      <c r="B4" s="5" t="inlineStr">
        <is>
          <t>家属确认：抚顺路和哈尔滨路路口（抚顺路批发市场）；护栏开口借道</t>
        </is>
      </c>
      <c r="C4" s="5" t="inlineStr">
        <is>
          <t>认定书正式路名、现场图、护栏开口照片</t>
        </is>
      </c>
      <c r="D4" s="5" t="inlineStr">
        <is>
          <t>认定书 / 胡继刚补拍</t>
        </is>
      </c>
      <c r="E4" s="5" t="inlineStr">
        <is>
          <t>中</t>
        </is>
      </c>
    </row>
    <row r="5" ht="48" customHeight="1">
      <c r="A5" s="3" t="inlineStr">
        <is>
          <t>刘孝春</t>
        </is>
      </c>
      <c r="B5" s="3" t="inlineStr">
        <is>
          <t>乔刘记商贸负责人；雇佣无合同；工伤排除；市场内部牌；转向灯坏；已垫付现金 3 万</t>
        </is>
      </c>
      <c r="C5" s="3" t="inlineStr">
        <is>
          <t>3 万垫付收据（性质三句话）；欠薪 5000 书面；4 万费用发票分清；营业执照/微信抬头</t>
        </is>
      </c>
      <c r="D5" s="3" t="inlineStr">
        <is>
          <t>刘孝春</t>
        </is>
      </c>
      <c r="E5" s="3" t="inlineStr">
        <is>
          <t>急</t>
        </is>
      </c>
    </row>
    <row r="6" ht="48" customHeight="1">
      <c r="A6" s="5" t="inlineStr">
        <is>
          <t>胡某驾驶资格</t>
        </is>
      </c>
      <c r="B6" s="5" t="inlineStr">
        <is>
          <t>家属确认具备驾驶资格证书</t>
        </is>
      </c>
      <c r="C6" s="5" t="inlineStr">
        <is>
          <t>内部留驾驶证复印件。不要主动交给一般程序扩查</t>
        </is>
      </c>
      <c r="D6" s="5" t="inlineStr">
        <is>
          <t>胡继刚内部</t>
        </is>
      </c>
      <c r="E6" s="5" t="inlineStr">
        <is>
          <t>已确认</t>
        </is>
      </c>
    </row>
    <row r="7" ht="48" customHeight="1">
      <c r="A7" s="3" t="inlineStr">
        <is>
          <t>美团保险</t>
        </is>
      </c>
      <c r="B7" s="3" t="inlineStr">
        <is>
          <t>平台美团；人民医院可以赔、比例待定；二级以上公立医保范围内用药可以</t>
        </is>
      </c>
      <c r="C7" s="3" t="inlineStr">
        <is>
          <t>骑手拉群：保险公司名称、保单号、报案号、限额、书面比例、要不要认定书才能垫</t>
        </is>
      </c>
      <c r="D7" s="3" t="inlineStr">
        <is>
          <t>骑手拉群</t>
        </is>
      </c>
      <c r="E7" s="3" t="inlineStr">
        <is>
          <t>急</t>
        </is>
      </c>
    </row>
    <row r="8" ht="48" customHeight="1">
      <c r="A8" s="5" t="inlineStr">
        <is>
          <t>交警程序</t>
        </is>
      </c>
      <c r="B8" s="5" t="inlineStr">
        <is>
          <t>监控已调、排除全责、两车已扣；认定书尚未出具</t>
        </is>
      </c>
      <c r="C8" s="5" t="inlineStr">
        <is>
          <t>预计出具时间；律师看完监控再选简易或一般；认定书原件</t>
        </is>
      </c>
      <c r="D8" s="5" t="inlineStr">
        <is>
          <t>陈师傅 + 律师</t>
        </is>
      </c>
      <c r="E8" s="5" t="inlineStr">
        <is>
          <t>急</t>
        </is>
      </c>
    </row>
    <row r="9" ht="48" customHeight="1">
      <c r="A9" s="3" t="inlineStr">
        <is>
          <t>费用发票</t>
        </is>
      </c>
      <c r="B9" s="3" t="inlineStr">
        <is>
          <t>垫付现金 3 万；费用口径确认 4 万；口述 5000 欠薪</t>
        </is>
      </c>
      <c r="C9" s="3" t="inlineStr">
        <is>
          <t>发票对账；3 万与 4 万分清；垫付收据；欠薪书面。记录 13 的 8000 元不是本案</t>
        </is>
      </c>
      <c r="D9" s="3" t="inlineStr">
        <is>
          <t>医院窗口 + 刘孝春收据</t>
        </is>
      </c>
      <c r="E9" s="3" t="inlineStr">
        <is>
          <t>急</t>
        </is>
      </c>
    </row>
    <row r="10" ht="48" customHeight="1">
      <c r="A10" s="5" t="inlineStr">
        <is>
          <t>姓名核对</t>
        </is>
      </c>
      <c r="B10" s="5" t="inlineStr">
        <is>
          <t>齐鲁病历、腕带、出院记录均为胡志远；对接人胡继刚；老板刘孝春（转写刘小春）</t>
        </is>
      </c>
      <c r="C10" s="5" t="inlineStr">
        <is>
          <t>身份证是否与病历同名；对外法律文书只用证件姓名</t>
        </is>
      </c>
      <c r="D10" s="5" t="inlineStr">
        <is>
          <t>胡继刚</t>
        </is>
      </c>
      <c r="E10" s="5" t="inlineStr">
        <is>
          <t>急</t>
        </is>
      </c>
    </row>
    <row r="11" ht="48" customHeight="1">
      <c r="A11" s="3" t="inlineStr">
        <is>
          <t>车速与距离</t>
        </is>
      </c>
      <c r="B11" s="3" t="inlineStr">
        <is>
          <t>后方车距不足、骑手视野更好</t>
        </is>
      </c>
      <c r="C11" s="3" t="inlineStr">
        <is>
          <t>两车大概时速、跟车距离（米）、有没有刹车痕迹</t>
        </is>
      </c>
      <c r="D11" s="3" t="inlineStr">
        <is>
          <t>监控逐帧 / 认定书</t>
        </is>
      </c>
      <c r="E11" s="3" t="inlineStr">
        <is>
          <t>中</t>
        </is>
      </c>
    </row>
    <row r="12" ht="48" customHeight="1">
      <c r="A12" s="5" t="inlineStr">
        <is>
          <t>医院手续</t>
        </is>
      </c>
      <c r="B12" s="5" t="inlineStr">
        <is>
          <t>齐鲁住院号 0001519455；门诊号 0002750430；8/14 19:01 手术；8/17 08:00 出院；出院记录、三份 CT、破伤风处方已归档</t>
        </is>
      </c>
      <c r="C12" s="5" t="inlineStr">
        <is>
          <t>人民医院住院号；书面赔付比例；完整手术记录和植入物编码；病案室复印（出院后 10 个工作日，博施楼 1 楼）</t>
        </is>
      </c>
      <c r="D12" s="5" t="inlineStr">
        <is>
          <t>入院处 / 保险书面 / 病案室</t>
        </is>
      </c>
      <c r="E12" s="5" t="inlineStr">
        <is>
          <t>急</t>
        </is>
      </c>
    </row>
    <row r="13" ht="48" customHeight="1">
      <c r="A13" s="3" t="inlineStr">
        <is>
          <t>护工</t>
        </is>
      </c>
      <c r="B13" s="3" t="inlineStr">
        <is>
          <t>医院推荐一对一 24 小时已请，日单价 300 元（2026-08-22 确认）</t>
        </is>
      </c>
      <c r="C13" s="3" t="inlineStr">
        <is>
          <t>书面合同（写明一对一、公司名、开始日期、300 元/天）、发票抬头、护理记录；刘若垫付另开收据</t>
        </is>
      </c>
      <c r="D13" s="3" t="inlineStr">
        <is>
          <t>护工公司 + 家属</t>
        </is>
      </c>
      <c r="E13" s="3" t="inlineStr">
        <is>
          <t>急</t>
        </is>
      </c>
    </row>
    <row r="14" ht="48" customHeight="1">
      <c r="A14" s="5" t="inlineStr">
        <is>
          <t>美团骑手</t>
        </is>
      </c>
      <c r="B14" s="5" t="inlineStr">
        <is>
          <t>女骑手、美团平台、二轮</t>
        </is>
      </c>
      <c r="C14" s="5" t="inlineStr">
        <is>
          <t>姓名、电话、站点名称；拉群确认保险公司和保单</t>
        </is>
      </c>
      <c r="D14" s="5" t="inlineStr">
        <is>
          <t>骑手拉群</t>
        </is>
      </c>
      <c r="E14" s="5" t="inlineStr">
        <is>
          <t>急</t>
        </is>
      </c>
    </row>
  </sheetData>
  <autoFilter ref="A1:E14"/>
  <mergeCells count="1">
    <mergeCell ref="A1:E1"/>
  </mergeCells>
  <pageMargins left="0.4" right="0.4" top="0.5" bottom="0.5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0" customWidth="1" min="3" max="3"/>
    <col width="55" customWidth="1" min="4" max="4"/>
  </cols>
  <sheetData>
    <row r="1" ht="24" customHeight="1">
      <c r="A1" s="1" t="inlineStr">
        <is>
          <t>得到大脑转写 18 条索引。与 CT 冲突的以 CT 为准。录音≠认定书。3D 视频留作待用。</t>
        </is>
      </c>
    </row>
    <row r="2" ht="22" customHeight="1">
      <c r="A2" s="2" t="inlineStr">
        <is>
          <t>日期</t>
        </is>
      </c>
      <c r="B2" s="2" t="inlineStr">
        <is>
          <t>标题</t>
        </is>
      </c>
      <c r="C2" s="2" t="inlineStr">
        <is>
          <t>时长</t>
        </is>
      </c>
      <c r="D2" s="2" t="inlineStr">
        <is>
          <t>本表如何使用</t>
        </is>
      </c>
    </row>
    <row r="3">
      <c r="A3" s="3" t="inlineStr">
        <is>
          <t>2026-08-15</t>
        </is>
      </c>
      <c r="B3" s="3" t="inlineStr">
        <is>
          <t>1｜伤势与理赔情况讨论</t>
        </is>
      </c>
      <c r="C3" s="3" t="inlineStr">
        <is>
          <t>20:01</t>
        </is>
      </c>
      <c r="D3" s="3" t="inlineStr">
        <is>
          <t>第一趟卸完回装第二趟、踏板压右脚、雇主口述在场。伤情/全责/出院须用 CT 和 8/17 交警校正</t>
        </is>
      </c>
    </row>
    <row r="4">
      <c r="A4" s="5" t="inlineStr">
        <is>
          <t>2026-08-15</t>
        </is>
      </c>
      <c r="B4" s="5" t="inlineStr">
        <is>
          <t>2｜轻弦办公椅园区快闪洽谈</t>
        </is>
      </c>
      <c r="C4" s="5" t="inlineStr">
        <is>
          <t>07:59</t>
        </is>
      </c>
      <c r="D4" s="5" t="inlineStr">
        <is>
          <t>与事故无关，见附录</t>
        </is>
      </c>
    </row>
    <row r="5">
      <c r="A5" s="3" t="inlineStr">
        <is>
          <t>2026-08-16</t>
        </is>
      </c>
      <c r="B5" s="3" t="inlineStr">
        <is>
          <t>3｜美团医疗赔偿家属协商</t>
        </is>
      </c>
      <c r="C5" s="3" t="inlineStr">
        <is>
          <t>16:00</t>
        </is>
      </c>
      <c r="D5" s="3" t="inlineStr">
        <is>
          <t>催款、转院、发票、伤残鉴定流程的家属共识</t>
        </is>
      </c>
    </row>
    <row r="6">
      <c r="A6" s="5" t="inlineStr">
        <is>
          <t>2026-08-16</t>
        </is>
      </c>
      <c r="B6" s="5" t="inlineStr">
        <is>
          <t>4｜与骑手赔偿责任通话</t>
        </is>
      </c>
      <c r="C6" s="5" t="inlineStr">
        <is>
          <t>03:19</t>
        </is>
      </c>
      <c r="D6" s="5" t="inlineStr">
        <is>
          <t>骑手要等认定书；家属要求拉群、不满未探望</t>
        </is>
      </c>
    </row>
    <row r="7">
      <c r="A7" s="3" t="inlineStr">
        <is>
          <t>2026-08-17</t>
        </is>
      </c>
      <c r="B7" s="3" t="inlineStr">
        <is>
          <t>5｜医院转院结算流程</t>
        </is>
      </c>
      <c r="C7" s="3" t="inlineStr">
        <is>
          <t>05:00</t>
        </is>
      </c>
      <c r="D7" s="3" t="inlineStr">
        <is>
          <t>必须先结算再入院；三级诊疗解释</t>
        </is>
      </c>
    </row>
    <row r="8">
      <c r="A8" s="5" t="inlineStr">
        <is>
          <t>2026-08-17</t>
        </is>
      </c>
      <c r="B8" s="5" t="inlineStr">
        <is>
          <t>6｜抚顺路和哈尔滨路路口交警沟通</t>
        </is>
      </c>
      <c r="C8" s="5" t="inlineStr">
        <is>
          <t>16:00</t>
        </is>
      </c>
      <c r="D8" s="5" t="inlineStr">
        <is>
          <t>责任范围、简易/一般、保险、医院级别</t>
        </is>
      </c>
    </row>
    <row r="9">
      <c r="A9" s="3" t="inlineStr">
        <is>
          <t>2026-08-17</t>
        </is>
      </c>
      <c r="B9" s="3" t="inlineStr">
        <is>
          <t>7｜交警补充：赔偿职权边界</t>
        </is>
      </c>
      <c r="C9" s="3" t="inlineStr">
        <is>
          <t>02:23</t>
        </is>
      </c>
      <c r="D9" s="3" t="inlineStr">
        <is>
          <t>交警不下赔偿金额；评残后再谈残</t>
        </is>
      </c>
    </row>
    <row r="10">
      <c r="A10" s="5" t="inlineStr">
        <is>
          <t>2026-08-17</t>
        </is>
      </c>
      <c r="B10" s="5" t="inlineStr">
        <is>
          <t>8｜交警：二甲入院与执行风险</t>
        </is>
      </c>
      <c r="C10" s="5" t="inlineStr">
        <is>
          <t>06:08</t>
        </is>
      </c>
      <c r="D10" s="5" t="inlineStr">
        <is>
          <t>三甲默认、二甲不确定、骑手偿付弱</t>
        </is>
      </c>
    </row>
    <row r="11">
      <c r="A11" s="3" t="inlineStr">
        <is>
          <t>2026-08-17</t>
        </is>
      </c>
      <c r="B11" s="3" t="inlineStr">
        <is>
          <t>9｜转院问题内部/律师讨论</t>
        </is>
      </c>
      <c r="C11" s="3" t="inlineStr">
        <is>
          <t>38:06</t>
        </is>
      </c>
      <c r="D11" s="3" t="inlineStr">
        <is>
          <t>必须回三甲的策略讨论；责任预判须服从交警视频</t>
        </is>
      </c>
    </row>
    <row r="12">
      <c r="A12" s="5" t="inlineStr">
        <is>
          <t>2026-08-17</t>
        </is>
      </c>
      <c r="B12" s="5" t="inlineStr">
        <is>
          <t>10｜与赛主任转院沟通</t>
        </is>
      </c>
      <c r="C12" s="5" t="inlineStr">
        <is>
          <t>03:27</t>
        </is>
      </c>
      <c r="D12" s="5" t="inlineStr">
        <is>
          <t>联合体二甲惯例；交警电话公对公</t>
        </is>
      </c>
    </row>
    <row r="13">
      <c r="A13" s="3" t="inlineStr">
        <is>
          <t>2026-08-17</t>
        </is>
      </c>
      <c r="B13" s="3" t="inlineStr">
        <is>
          <t>11｜伤者转院报销问题咨询</t>
        </is>
      </c>
      <c r="C13" s="3" t="inlineStr">
        <is>
          <t>46:00</t>
        </is>
      </c>
      <c r="D13" s="3" t="inlineStr">
        <is>
          <t>医保≠美团险；术后两天不是康复期；认定单上未必有传统车险公司</t>
        </is>
      </c>
    </row>
    <row r="14">
      <c r="A14" s="5" t="inlineStr">
        <is>
          <t>2026-08-17</t>
        </is>
      </c>
      <c r="B14" s="5" t="inlineStr">
        <is>
          <t>12｜请对方联系保险公司</t>
        </is>
      </c>
      <c r="C14" s="5" t="inlineStr">
        <is>
          <t>00:39</t>
        </is>
      </c>
      <c r="D14" s="5" t="inlineStr">
        <is>
          <t>让二轮女骑手联系保险；能赔才留人民医院</t>
        </is>
      </c>
    </row>
    <row r="15">
      <c r="A15" s="3" t="inlineStr">
        <is>
          <t>2026-08-17</t>
        </is>
      </c>
      <c r="B15" s="3" t="inlineStr">
        <is>
          <t>13｜补打出院记录（病区串台）</t>
        </is>
      </c>
      <c r="C15" s="3" t="inlineStr">
        <is>
          <t>12:00</t>
        </is>
      </c>
      <c r="D15" s="3" t="inlineStr">
        <is>
          <t>只取 33 床戴老师补打出院记录、不用盖章、一楼原路退。蒋玉年/8000 元不是本案</t>
        </is>
      </c>
    </row>
    <row r="16">
      <c r="A16" s="5" t="inlineStr">
        <is>
          <t>2026-08-17</t>
        </is>
      </c>
      <c r="B16" s="5" t="inlineStr">
        <is>
          <t>14｜骑手侧保险报销确认</t>
        </is>
      </c>
      <c r="C16" s="5" t="inlineStr">
        <is>
          <t>02:00</t>
        </is>
      </c>
      <c r="D16" s="5" t="inlineStr">
        <is>
          <t>骑手称已打客服未回信；加微信 1866；地点有人叫福生批发市场</t>
        </is>
      </c>
    </row>
    <row r="17">
      <c r="A17" s="3" t="inlineStr">
        <is>
          <t>2026-08-17</t>
        </is>
      </c>
      <c r="B17" s="3" t="inlineStr">
        <is>
          <t>15｜问医院二甲报销与王主任</t>
        </is>
      </c>
      <c r="C17" s="3" t="inlineStr">
        <is>
          <t>00:50</t>
        </is>
      </c>
      <c r="D17" s="3" t="inlineStr">
        <is>
          <t>保险说了算；报不了就回齐鲁；王主任落实</t>
        </is>
      </c>
    </row>
    <row r="18">
      <c r="A18" s="5" t="inlineStr">
        <is>
          <t>2026-08-18</t>
        </is>
      </c>
      <c r="B18" s="5" t="inlineStr">
        <is>
          <t>16｜律师选择与费用（另一案）</t>
        </is>
      </c>
      <c r="C18" s="5" t="inlineStr">
        <is>
          <t>23:00</t>
        </is>
      </c>
      <c r="D18" s="5" t="inlineStr">
        <is>
          <t>仅作收费常识。九级、25–30 万、远洋工伤是另一案，不能套本案</t>
        </is>
      </c>
    </row>
    <row r="19">
      <c r="A19" s="3" t="inlineStr">
        <is>
          <t>2026-08-18</t>
        </is>
      </c>
      <c r="B19" s="3" t="inlineStr">
        <is>
          <t>17｜护栏开口内部讨论</t>
        </is>
      </c>
      <c r="C19" s="3" t="inlineStr">
        <is>
          <t>06:39</t>
        </is>
      </c>
      <c r="D19" s="3" t="inlineStr">
        <is>
          <t>1 号门斜坡护栏开口、双方上坡、大灯也坏。标题「叉车」和「驾驶人 0 责」不要对外</t>
        </is>
      </c>
    </row>
    <row r="20">
      <c r="A20" s="5" t="inlineStr">
        <is>
          <t>2026-08-19</t>
        </is>
      </c>
      <c r="B20" s="5" t="inlineStr">
        <is>
          <t>书面｜家属确认待确认事项</t>
        </is>
      </c>
      <c r="C20" s="5" t="inlineStr">
        <is>
          <t>书面</t>
        </is>
      </c>
      <c r="D20" s="5" t="inlineStr">
        <is>
          <t>认定书未出；抚顺路路口；有驾驶证；人民医院可赔比例待定；乔刘记商贸；垫付 3 万；费用口径 4 万；工伤排除；程序由律师定</t>
        </is>
      </c>
    </row>
  </sheetData>
  <autoFilter ref="A1:D20"/>
  <mergeCells count="1">
    <mergeCell ref="A1:D1"/>
  </mergeCells>
  <pageMargins left="0.4" right="0.4" top="0.5" bottom="0.5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</cols>
  <sheetData>
    <row r="1" ht="24" customHeight="1">
      <c r="A1" s="1" t="inlineStr">
        <is>
          <t>附录：轻弦办公椅上海园区快闪（同批 8 月 15 日录音，与事故无关）</t>
        </is>
      </c>
    </row>
    <row r="2" ht="22" customHeight="1">
      <c r="A2" s="2" t="inlineStr">
        <is>
          <t>序号</t>
        </is>
      </c>
      <c r="B2" s="2" t="inlineStr">
        <is>
          <t>要点</t>
        </is>
      </c>
    </row>
    <row r="3">
      <c r="A3" s="3" t="n">
        <v>1</v>
      </c>
      <c r="B3" s="3" t="inlineStr">
        <is>
          <t>产品：轻弦人体工学椅；供方称字节、大疆、小米等有总部集采。</t>
        </is>
      </c>
    </row>
    <row r="4">
      <c r="A4" s="5" t="n">
        <v>2</v>
      </c>
      <c r="B4" s="5" t="inlineStr">
        <is>
          <t>合作：物业大堂快闪 + 企业内购；单椅成交返佣 100–200 元；可用椅子抵场地费。</t>
        </is>
      </c>
    </row>
    <row r="5">
      <c r="A5" s="3" t="n">
        <v>3</v>
      </c>
      <c r="B5" s="3" t="inlineStr">
        <is>
          <t>渠道：杨浦滨江、徐汇滨江；合作方有闵行森马、杨浦科创等园区资源。</t>
        </is>
      </c>
    </row>
    <row r="6">
      <c r="A6" s="5" t="n">
        <v>4</v>
      </c>
      <c r="B6" s="5" t="inlineStr">
        <is>
          <t>下一步：供方发资料；合作方下下周回沪后选 1–2 个园区试点。</t>
        </is>
      </c>
    </row>
  </sheetData>
  <autoFilter ref="A1:B6"/>
  <mergeCells count="1">
    <mergeCell ref="A1:B1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2026-08-22T02:05:27Z</dcterms:created>
  <dcterms:modified xmlns:dcterms="http://purl.org/dc/terms/" xmlns:xsi="http://www.w3.org/2001/XMLSchema-instance" xsi:type="dcterms:W3CDTF">2026-08-22T02:05:27Z</dcterms:modified>
</cp:coreProperties>
</file>