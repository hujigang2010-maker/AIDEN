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语录解析" sheetId="2" state="visible" r:id="rId2"/>
    <sheet xmlns:r="http://schemas.openxmlformats.org/officeDocument/2006/relationships" name="3个月过渡计划" sheetId="3" state="visible" r:id="rId3"/>
    <sheet xmlns:r="http://schemas.openxmlformats.org/officeDocument/2006/relationships" name="活动内容矩阵" sheetId="4" state="visible" r:id="rId4"/>
    <sheet xmlns:r="http://schemas.openxmlformats.org/officeDocument/2006/relationships" name="差异化对照" sheetId="5" state="visible" r:id="rId5"/>
    <sheet xmlns:r="http://schemas.openxmlformats.org/officeDocument/2006/relationships" name="分工分润" sheetId="6" state="visible" r:id="rId6"/>
    <sheet xmlns:r="http://schemas.openxmlformats.org/officeDocument/2006/relationships" name="财务测算" sheetId="7" state="visible" r:id="rId7"/>
    <sheet xmlns:r="http://schemas.openxmlformats.org/officeDocument/2006/relationships" name="风险与待办" sheetId="8" state="visible" r:id="rId8"/>
    <sheet xmlns:r="http://schemas.openxmlformats.org/officeDocument/2006/relationships" name="KPI与转正门槛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1F3A5F"/>
      <sz val="10"/>
    </font>
    <font>
      <name val="Microsoft YaHei"/>
      <b val="1"/>
      <color rgb="00142A4A"/>
      <sz val="11"/>
    </font>
    <font>
      <name val="Microsoft YaHei"/>
      <color rgb="003C4450"/>
      <sz val="10.5"/>
    </font>
    <font>
      <name val="Microsoft YaHei"/>
      <b val="1"/>
      <color rgb="00FFFFFF"/>
      <sz val="11"/>
    </font>
    <font>
      <name val="Microsoft YaHei"/>
      <b val="1"/>
      <color rgb="00142A4A"/>
      <sz val="10.5"/>
    </font>
    <font>
      <name val="Microsoft YaHei"/>
      <b val="1"/>
      <color rgb="00FFFFFF"/>
      <sz val="10.5"/>
    </font>
    <font>
      <name val="Microsoft YaHei"/>
      <b val="1"/>
      <color rgb="00FFFFFF"/>
      <sz val="9.5"/>
    </font>
    <font>
      <name val="Microsoft YaHei"/>
      <b val="1"/>
      <color rgb="00C9A227"/>
      <sz val="10.5"/>
    </font>
    <font>
      <name val="Microsoft YaHei"/>
      <i val="1"/>
      <color rgb="001F3A5F"/>
      <sz val="9.5"/>
    </font>
    <font>
      <name val="Microsoft YaHei"/>
      <b val="1"/>
      <color rgb="0014315E"/>
      <sz val="10.5"/>
    </font>
    <font>
      <name val="Microsoft YaHei"/>
      <color rgb="00FFFFFF"/>
      <sz val="10.5"/>
    </font>
  </fonts>
  <fills count="9">
    <fill>
      <patternFill/>
    </fill>
    <fill>
      <patternFill patternType="gray125"/>
    </fill>
    <fill>
      <patternFill patternType="solid">
        <fgColor rgb="00142A4A"/>
      </patternFill>
    </fill>
    <fill>
      <patternFill patternType="solid">
        <fgColor rgb="00EBE2C4"/>
      </patternFill>
    </fill>
    <fill>
      <patternFill patternType="solid">
        <fgColor rgb="00C9A227"/>
      </patternFill>
    </fill>
    <fill>
      <patternFill patternType="solid">
        <fgColor rgb="002E7D83"/>
      </patternFill>
    </fill>
    <fill>
      <patternFill patternType="solid">
        <fgColor rgb="00F6F8FB"/>
      </patternFill>
    </fill>
    <fill>
      <patternFill patternType="solid">
        <fgColor rgb="001F3A5F"/>
      </patternFill>
    </fill>
    <fill>
      <patternFill patternType="solid">
        <fgColor rgb="00DCE6F5"/>
      </patternFill>
    </fill>
  </fills>
  <borders count="2">
    <border>
      <left/>
      <right/>
      <top/>
      <bottom/>
      <diagonal/>
    </border>
    <border>
      <left style="thin">
        <color rgb="00D2DAE3"/>
      </left>
      <right style="thin">
        <color rgb="00D2DAE3"/>
      </right>
      <top style="thin">
        <color rgb="00D2DAE3"/>
      </top>
      <bottom style="thin">
        <color rgb="00D2DAE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11" fillId="8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3" fontId="11" fillId="8" borderId="1" applyAlignment="1" pivotButton="0" quotePrefix="0" xfId="0">
      <alignment horizontal="center" vertical="center"/>
    </xf>
    <xf numFmtId="9" fontId="11" fillId="8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  <xf numFmtId="3" fontId="12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vertical="center"/>
    </xf>
    <xf numFmtId="3" fontId="12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 wrapText="1" inden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2" customWidth="1" min="3" max="3"/>
  </cols>
  <sheetData>
    <row r="1" ht="34" customHeight="1">
      <c r="A1" s="1" t="inlineStr">
        <is>
          <t>夏春 · 长三角战略合作方案 — 配套测算与清单</t>
        </is>
      </c>
    </row>
    <row r="2" ht="22" customHeight="1">
      <c r="A2" s="2" t="inlineStr">
        <is>
          <t>复旦大学住房政策研究中心 × 杨浦区科技企业联合会   |   2026年7月   |  与 PPT 方案配套使用</t>
        </is>
      </c>
    </row>
    <row r="4" ht="26" customHeight="1">
      <c r="B4" s="3" t="inlineStr">
        <is>
          <t>目标</t>
        </is>
      </c>
      <c r="C4" s="4" t="inlineStr">
        <is>
          <t>作为“夏春财经智识”在长三角区域相关服务的独家 / 优先总代理。</t>
        </is>
      </c>
    </row>
    <row r="5" ht="26" customHeight="1">
      <c r="B5" s="3" t="inlineStr">
        <is>
          <t>合作阶段</t>
        </is>
      </c>
      <c r="C5" s="4" t="inlineStr">
        <is>
          <t>长期战略协作 + 先行约 3 个月的敏感性适配过渡期（达标转正）。</t>
        </is>
      </c>
    </row>
    <row r="6" ht="26" customHeight="1">
      <c r="B6" s="3" t="inlineStr">
        <is>
          <t>提报机构</t>
        </is>
      </c>
      <c r="C6" s="4" t="inlineStr">
        <is>
          <t>复旦大学住房政策研究中心；杨浦区科技企业联合会。</t>
        </is>
      </c>
    </row>
    <row r="7" ht="26" customHeight="1">
      <c r="B7" s="3" t="inlineStr">
        <is>
          <t>差异化</t>
        </is>
      </c>
      <c r="C7" s="4" t="inlineStr">
        <is>
          <t>只做长三角区域增量，区隔于夏春现有新 / 老团队，避免存量与客户冲突。</t>
        </is>
      </c>
    </row>
    <row r="8" ht="26" customHeight="1">
      <c r="B8" s="3" t="inlineStr">
        <is>
          <t>内容内核</t>
        </is>
      </c>
      <c r="C8" s="4" t="inlineStr">
        <is>
          <t>以夏春公开访谈 / 公众号 · 视频号观点与双方沟通纪要为依据（见“语录解析”）。</t>
        </is>
      </c>
    </row>
    <row r="9" ht="26" customHeight="1">
      <c r="B9" s="3" t="inlineStr"/>
      <c r="C9" s="4" t="inlineStr"/>
    </row>
    <row r="10" ht="26" customHeight="1">
      <c r="B10" s="5" t="inlineStr">
        <is>
          <t>工作表导航</t>
        </is>
      </c>
      <c r="C10" s="4" t="inlineStr"/>
    </row>
    <row r="11" ht="26" customHeight="1">
      <c r="B11" s="3" t="inlineStr">
        <is>
          <t>① 语录解析</t>
        </is>
      </c>
      <c r="C11" s="4" t="inlineStr">
        <is>
          <t>夏春核心语录 → 主题 → 解读 → 长三角合作启示 → 落地场景 → 优先级。</t>
        </is>
      </c>
    </row>
    <row r="12" ht="26" customHeight="1">
      <c r="B12" s="3" t="inlineStr">
        <is>
          <t>② 3个月过渡计划</t>
        </is>
      </c>
      <c r="C12" s="4" t="inlineStr">
        <is>
          <t>过渡期逐月 / 逐周任务、责任方、交付物与里程碑（含状态下拉）。</t>
        </is>
      </c>
    </row>
    <row r="13" ht="26" customHeight="1">
      <c r="B13" s="3" t="inlineStr">
        <is>
          <t>③ 活动内容矩阵</t>
        </is>
      </c>
      <c r="C13" s="4" t="inlineStr">
        <is>
          <t>六大落地场景的客群、频次、规模、参考客单价与毛利。</t>
        </is>
      </c>
    </row>
    <row r="14" ht="26" customHeight="1">
      <c r="B14" s="3" t="inlineStr">
        <is>
          <t>④ 差异化对照</t>
        </is>
      </c>
      <c r="C14" s="4" t="inlineStr">
        <is>
          <t>老团队 / 新团队 / 我方（总代理）多维对照。</t>
        </is>
      </c>
    </row>
    <row r="15" ht="26" customHeight="1">
      <c r="B15" s="3" t="inlineStr">
        <is>
          <t>⑤ 分工分润</t>
        </is>
      </c>
      <c r="C15" s="4" t="inlineStr">
        <is>
          <t>各环节夏春侧与我方职责、收入来源与建议分润比例。</t>
        </is>
      </c>
    </row>
    <row r="16" ht="26" customHeight="1">
      <c r="B16" s="3" t="inlineStr">
        <is>
          <t>⑥ 财务测算</t>
        </is>
      </c>
      <c r="C16" s="4" t="inlineStr">
        <is>
          <t>过渡期三场活动的收入 / 成本 / 毛利 / 分润模型（公式联动，可改参数）。</t>
        </is>
      </c>
    </row>
    <row r="17" ht="26" customHeight="1">
      <c r="B17" s="3" t="inlineStr">
        <is>
          <t>⑦ 风险与待办</t>
        </is>
      </c>
      <c r="C17" s="4" t="inlineStr">
        <is>
          <t>源自沟通纪要“待解决问题”的风险项、应对措施、责任方与优先级。</t>
        </is>
      </c>
    </row>
    <row r="18" ht="26" customHeight="1">
      <c r="B18" s="3" t="inlineStr">
        <is>
          <t>⑧ KPI与转正门槛</t>
        </is>
      </c>
      <c r="C18" s="4" t="inlineStr">
        <is>
          <t>过渡期与长期的关键指标及由过渡转长期独家的达标条件。</t>
        </is>
      </c>
    </row>
    <row r="19" ht="26" customHeight="1">
      <c r="B19" s="3" t="inlineStr"/>
      <c r="C19" s="4" t="inlineStr"/>
    </row>
    <row r="20" ht="26" customHeight="1">
      <c r="B20" s="3" t="inlineStr">
        <is>
          <t>免责声明</t>
        </is>
      </c>
      <c r="C20" s="4" t="inlineStr">
        <is>
          <t>本方案所涉夏春观点摘自公开内容，仅供合作沟通参考，不构成任何投资建议。</t>
        </is>
      </c>
    </row>
  </sheetData>
  <mergeCells count="2">
    <mergeCell ref="A1:C1"/>
    <mergeCell ref="A2:C2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6" customWidth="1" min="4" max="4"/>
    <col width="34" customWidth="1" min="5" max="5"/>
    <col width="34" customWidth="1" min="6" max="6"/>
    <col width="8" customWidth="1" min="7" max="7"/>
  </cols>
  <sheetData>
    <row r="1" ht="34" customHeight="1">
      <c r="A1" s="1" t="inlineStr">
        <is>
          <t>夏春先生核心观点（语录）解析</t>
        </is>
      </c>
    </row>
    <row r="2" ht="22" customHeight="1">
      <c r="A2" s="2" t="inlineStr">
        <is>
          <t>摘自公开访谈 / 公众号 · 视频号 + 双方沟通纪要，提炼为长三角合作切入点</t>
        </is>
      </c>
    </row>
    <row r="3" ht="30" customHeight="1">
      <c r="A3" s="6" t="inlineStr">
        <is>
          <t>序号</t>
        </is>
      </c>
      <c r="B3" s="6" t="inlineStr">
        <is>
          <t>夏春语录 / 观点原文</t>
        </is>
      </c>
      <c r="C3" s="6" t="inlineStr">
        <is>
          <t>来源</t>
        </is>
      </c>
      <c r="D3" s="6" t="inlineStr">
        <is>
          <t>核心主题</t>
        </is>
      </c>
      <c r="E3" s="6" t="inlineStr">
        <is>
          <t>观点解读</t>
        </is>
      </c>
      <c r="F3" s="6" t="inlineStr">
        <is>
          <t>长三角合作启示 / 落地场景</t>
        </is>
      </c>
      <c r="G3" s="6" t="inlineStr">
        <is>
          <t>优先级</t>
        </is>
      </c>
    </row>
    <row r="4" ht="64" customHeight="1">
      <c r="A4" s="7" t="n">
        <v>1</v>
      </c>
      <c r="B4" s="8" t="inlineStr">
        <is>
          <t>2025 年……我个人更倾向于悲观派……需要更加警惕股债市场可能出现的危险。</t>
        </is>
      </c>
      <c r="C4" s="9" t="inlineStr">
        <is>
          <t>访谈·宏观</t>
        </is>
      </c>
      <c r="D4" s="10" t="inlineStr">
        <is>
          <t>宏观判断 / 风控优先</t>
        </is>
      </c>
      <c r="E4" s="8" t="inlineStr">
        <is>
          <t>稳健、风控优先，契合长三角地产与高净值客群的避险焦虑。</t>
        </is>
      </c>
      <c r="F4" s="8" t="inlineStr">
        <is>
          <t>“不确定市场下的资产防御”主题闭门沙龙，作为区域首发爆款。</t>
        </is>
      </c>
      <c r="G4" s="11" t="inlineStr">
        <is>
          <t>高</t>
        </is>
      </c>
    </row>
    <row r="5" ht="64" customHeight="1">
      <c r="A5" s="12" t="n">
        <v>2</v>
      </c>
      <c r="B5" s="13" t="inlineStr">
        <is>
          <t>每年年底做一张全年资产表现表：前一年涨幅大的减配、跌幅大的增配，做再平衡。</t>
        </is>
      </c>
      <c r="C5" s="14" t="inlineStr">
        <is>
          <t>访谈·资产配置</t>
        </is>
      </c>
      <c r="D5" s="15" t="inlineStr">
        <is>
          <t>标志性再平衡方法论</t>
        </is>
      </c>
      <c r="E5" s="13" t="inlineStr">
        <is>
          <t>可复制、可 IP 化的年度框架，适合做长期年度旗舰内容。</t>
        </is>
      </c>
      <c r="F5" s="13" t="inlineStr">
        <is>
          <t>落地“长三角年度资产配置盘点”旗舰活动 + 会员专栏，年度 IP 化。</t>
        </is>
      </c>
      <c r="G5" s="11" t="inlineStr">
        <is>
          <t>高</t>
        </is>
      </c>
    </row>
    <row r="6" ht="64" customHeight="1">
      <c r="A6" s="7" t="n">
        <v>3</v>
      </c>
      <c r="B6" s="8" t="inlineStr">
        <is>
          <t>香港对虚拟资产的接受度……速度甚至比美国更快；现货 ETF 允许实物兑换，全球首创。</t>
        </is>
      </c>
      <c r="C6" s="9" t="inlineStr">
        <is>
          <t>访谈·香港/RWA</t>
        </is>
      </c>
      <c r="D6" s="10" t="inlineStr">
        <is>
          <t>香港虚拟资产 / RWA</t>
        </is>
      </c>
      <c r="E6" s="8" t="inlineStr">
        <is>
          <t>直接呼应纪要中的香港游学 RWA、中东资金窗口期。</t>
        </is>
      </c>
      <c r="F6" s="8" t="inlineStr">
        <is>
          <t>我方作长三角组团总入口，承接“半天讲座 + 半天参访”香港游学。</t>
        </is>
      </c>
      <c r="G6" s="11" t="inlineStr">
        <is>
          <t>高</t>
        </is>
      </c>
    </row>
    <row r="7" ht="64" customHeight="1">
      <c r="A7" s="12" t="n">
        <v>4</v>
      </c>
      <c r="B7" s="13" t="inlineStr">
        <is>
          <t>可将加密资产视为美股七巨头之外的‘第八个巨头’，与美股相关性最高约 0.5。</t>
        </is>
      </c>
      <c r="C7" s="14" t="inlineStr">
        <is>
          <t>访谈·另类配置</t>
        </is>
      </c>
      <c r="D7" s="15" t="inlineStr">
        <is>
          <t>行为金融 / 另类资产</t>
        </is>
      </c>
      <c r="E7" s="13" t="inlineStr">
        <is>
          <t>独到洞见，精准命中科创企业家与家办人群。</t>
        </is>
      </c>
      <c r="F7" s="13" t="inlineStr">
        <is>
          <t>面向杨浦科创企业家、家族办公室的另类配置主题专场。</t>
        </is>
      </c>
      <c r="G7" s="16" t="inlineStr">
        <is>
          <t>中</t>
        </is>
      </c>
    </row>
    <row r="8" ht="64" customHeight="1">
      <c r="A8" s="7" t="n">
        <v>5</v>
      </c>
      <c r="B8" s="8" t="inlineStr">
        <is>
          <t>我们更注重多元化分散、风险控制，寻找相对估值偏低但属同一投资逻辑的资产。</t>
        </is>
      </c>
      <c r="C8" s="9" t="inlineStr">
        <is>
          <t>访谈·方法论</t>
        </is>
      </c>
      <c r="D8" s="10" t="inlineStr">
        <is>
          <t>分散 / 估值方法论</t>
        </is>
      </c>
      <c r="E8" s="8" t="inlineStr">
        <is>
          <t>可迁移至不动产再配置，与复旦住房政策研究中心互补。</t>
        </is>
      </c>
      <c r="F8" s="8" t="inlineStr">
        <is>
          <t>联合复旦推出“住房 / 不动产 + 大类资产”跨界研讨与课题。</t>
        </is>
      </c>
      <c r="G8" s="16" t="inlineStr">
        <is>
          <t>中</t>
        </is>
      </c>
    </row>
    <row r="9" ht="64" customHeight="1">
      <c r="A9" s="12" t="n">
        <v>6</v>
      </c>
      <c r="B9" s="13" t="inlineStr">
        <is>
          <t>2025 年黄金价格可能突破 3000 美元……受益于央行与个人购金。</t>
        </is>
      </c>
      <c r="C9" s="14" t="inlineStr">
        <is>
          <t>访谈·黄金</t>
        </is>
      </c>
      <c r="D9" s="15" t="inlineStr">
        <is>
          <t>黄金 / 大宗</t>
        </is>
      </c>
      <c r="E9" s="13" t="inlineStr">
        <is>
          <t>热门且大众化议题，利于面向大众高净值获客与私域裂变。</t>
        </is>
      </c>
      <c r="F9" s="13" t="inlineStr">
        <is>
          <t>黄金与避险资产公开课 / 直播连麦，作私域拉新与转化钩子。</t>
        </is>
      </c>
      <c r="G9" s="16" t="inlineStr">
        <is>
          <t>中</t>
        </is>
      </c>
    </row>
    <row r="10" ht="64" customHeight="1">
      <c r="A10" s="7" t="n">
        <v>7</v>
      </c>
      <c r="B10" s="8" t="inlineStr">
        <is>
          <t>（纪要）香港游学需夏春博士全程参与；方案由夏春主导决策。</t>
        </is>
      </c>
      <c r="C10" s="9" t="inlineStr">
        <is>
          <t>沟通纪要</t>
        </is>
      </c>
      <c r="D10" s="10" t="inlineStr">
        <is>
          <t>IP 稀缺 / 减负</t>
        </is>
      </c>
      <c r="E10" s="8" t="inlineStr">
        <is>
          <t>夏春个人时间是核心稀缺资源，须为其减负。</t>
        </is>
      </c>
      <c r="F10" s="8" t="inlineStr">
        <is>
          <t>我方承接全部执行、排期与履约，录播 / 图文复用降低时间投入。</t>
        </is>
      </c>
      <c r="G10" s="11" t="inlineStr">
        <is>
          <t>高</t>
        </is>
      </c>
    </row>
    <row r="11" ht="64" customHeight="1">
      <c r="A11" s="12" t="n">
        <v>8</v>
      </c>
      <c r="B11" s="13" t="inlineStr">
        <is>
          <t>（纪要）依托复旦 / 科委背书突破企业制度限制，落地头部科技企业参访。</t>
        </is>
      </c>
      <c r="C11" s="14" t="inlineStr">
        <is>
          <t>沟通纪要</t>
        </is>
      </c>
      <c r="D11" s="15" t="inlineStr">
        <is>
          <t>背书 / 科技参访</t>
        </is>
      </c>
      <c r="E11" s="13" t="inlineStr">
        <is>
          <t>我方双背书正是突破点，与纪要重点高度契合。</t>
        </is>
      </c>
      <c r="F11" s="13" t="inlineStr">
        <is>
          <t>以复旦 + 杨浦科委背书，落地 AI / 科技前沿头部企业参访。</t>
        </is>
      </c>
      <c r="G11" s="11" t="inlineStr">
        <is>
          <t>高</t>
        </is>
      </c>
    </row>
  </sheetData>
  <mergeCells count="2">
    <mergeCell ref="A2:G2"/>
    <mergeCell ref="A1:G1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6" customWidth="1" min="4" max="4"/>
    <col width="30" customWidth="1" min="5" max="5"/>
    <col width="22" customWidth="1" min="6" max="6"/>
    <col width="10" customWidth="1" min="7" max="7"/>
  </cols>
  <sheetData>
    <row r="1" ht="34" customHeight="1">
      <c r="A1" s="1" t="inlineStr">
        <is>
          <t>3 个月过渡期行动计划（敏感性适配 → 达标转正）</t>
        </is>
      </c>
    </row>
    <row r="2" ht="22" customHeight="1">
      <c r="A2" s="2" t="inlineStr">
        <is>
          <t>逐月 / 逐周任务、责任方、交付物与里程碑；状态列可下拉更新</t>
        </is>
      </c>
    </row>
    <row r="3" ht="30" customHeight="1">
      <c r="A3" s="6" t="inlineStr">
        <is>
          <t>阶段</t>
        </is>
      </c>
      <c r="B3" s="6" t="inlineStr">
        <is>
          <t>周次</t>
        </is>
      </c>
      <c r="C3" s="6" t="inlineStr">
        <is>
          <t>关键任务</t>
        </is>
      </c>
      <c r="D3" s="6" t="inlineStr">
        <is>
          <t>责任方</t>
        </is>
      </c>
      <c r="E3" s="6" t="inlineStr">
        <is>
          <t>交付物</t>
        </is>
      </c>
      <c r="F3" s="6" t="inlineStr">
        <is>
          <t>里程碑</t>
        </is>
      </c>
      <c r="G3" s="6" t="inlineStr">
        <is>
          <t>状态</t>
        </is>
      </c>
    </row>
    <row r="4" ht="34" customHeight="1">
      <c r="A4" s="17" t="inlineStr">
        <is>
          <t>第1月
启动共识</t>
        </is>
      </c>
      <c r="B4" s="9" t="inlineStr">
        <is>
          <t>W1</t>
        </is>
      </c>
      <c r="C4" s="8" t="inlineStr">
        <is>
          <t>对齐目标与边界，确认过渡期授权范围</t>
        </is>
      </c>
      <c r="D4" s="9" t="inlineStr">
        <is>
          <t>双方</t>
        </is>
      </c>
      <c r="E4" s="8" t="inlineStr">
        <is>
          <t>合作意向确认</t>
        </is>
      </c>
      <c r="F4" s="9" t="inlineStr">
        <is>
          <t>启动</t>
        </is>
      </c>
      <c r="G4" s="9" t="inlineStr">
        <is>
          <t>待开始</t>
        </is>
      </c>
    </row>
    <row r="5" ht="34" customHeight="1">
      <c r="A5" s="17" t="inlineStr">
        <is>
          <t>第1月
启动共识</t>
        </is>
      </c>
      <c r="B5" s="9" t="inlineStr">
        <is>
          <t>W2</t>
        </is>
      </c>
      <c r="C5" s="8" t="inlineStr">
        <is>
          <t>起草并会签合作备忘录（MOU）与区域授权草案</t>
        </is>
      </c>
      <c r="D5" s="9" t="inlineStr">
        <is>
          <t>我方主起草</t>
        </is>
      </c>
      <c r="E5" s="8" t="inlineStr">
        <is>
          <t>MOU + 授权草案</t>
        </is>
      </c>
      <c r="F5" s="18" t="inlineStr">
        <is>
          <t>★ 签署 MOU</t>
        </is>
      </c>
      <c r="G5" s="9" t="inlineStr">
        <is>
          <t>待开始</t>
        </is>
      </c>
    </row>
    <row r="6" ht="34" customHeight="1">
      <c r="A6" s="17" t="inlineStr">
        <is>
          <t>第1月
启动共识</t>
        </is>
      </c>
      <c r="B6" s="9" t="inlineStr">
        <is>
          <t>W3</t>
        </is>
      </c>
      <c r="C6" s="8" t="inlineStr">
        <is>
          <t>客户 / 会员画像盘点，明确客户归属与分润规则</t>
        </is>
      </c>
      <c r="D6" s="9" t="inlineStr">
        <is>
          <t>双方</t>
        </is>
      </c>
      <c r="E6" s="8" t="inlineStr">
        <is>
          <t>客户画像 &amp; 归属规则</t>
        </is>
      </c>
      <c r="F6" s="9" t="inlineStr"/>
      <c r="G6" s="9" t="inlineStr">
        <is>
          <t>待开始</t>
        </is>
      </c>
    </row>
    <row r="7" ht="34" customHeight="1">
      <c r="A7" s="17" t="inlineStr">
        <is>
          <t>第1月
启动共识</t>
        </is>
      </c>
      <c r="B7" s="9" t="inlineStr">
        <is>
          <t>W4</t>
        </is>
      </c>
      <c r="C7" s="8" t="inlineStr">
        <is>
          <t>首场活动选题立项（科技参访 / 资产沙龙）与预算</t>
        </is>
      </c>
      <c r="D7" s="9" t="inlineStr">
        <is>
          <t>我方</t>
        </is>
      </c>
      <c r="E7" s="8" t="inlineStr">
        <is>
          <t>首场策划案 &amp; 预算</t>
        </is>
      </c>
      <c r="F7" s="9" t="inlineStr">
        <is>
          <t>首场立项</t>
        </is>
      </c>
      <c r="G7" s="9" t="inlineStr">
        <is>
          <t>待开始</t>
        </is>
      </c>
    </row>
    <row r="8" ht="34" customHeight="1">
      <c r="A8" s="19" t="inlineStr">
        <is>
          <t>第2月
首战落地</t>
        </is>
      </c>
      <c r="B8" s="9" t="inlineStr">
        <is>
          <t>W5</t>
        </is>
      </c>
      <c r="C8" s="8" t="inlineStr">
        <is>
          <t>招募 / 报名与场地、嘉宾（夏春关键出席）排期</t>
        </is>
      </c>
      <c r="D8" s="9" t="inlineStr">
        <is>
          <t>我方执行</t>
        </is>
      </c>
      <c r="E8" s="8" t="inlineStr">
        <is>
          <t>报名数据 &amp; 排期表</t>
        </is>
      </c>
      <c r="F8" s="9" t="inlineStr"/>
      <c r="G8" s="9" t="inlineStr">
        <is>
          <t>待开始</t>
        </is>
      </c>
    </row>
    <row r="9" ht="34" customHeight="1">
      <c r="A9" s="19" t="inlineStr">
        <is>
          <t>第2月
首战落地</t>
        </is>
      </c>
      <c r="B9" s="9" t="inlineStr">
        <is>
          <t>W6</t>
        </is>
      </c>
      <c r="C9" s="8" t="inlineStr">
        <is>
          <t>首场活动落地执行（科技参访或资产配置沙龙）</t>
        </is>
      </c>
      <c r="D9" s="9" t="inlineStr">
        <is>
          <t>双方</t>
        </is>
      </c>
      <c r="E9" s="8" t="inlineStr">
        <is>
          <t>活动交付 &amp; 满意度</t>
        </is>
      </c>
      <c r="F9" s="18" t="inlineStr">
        <is>
          <t>★ 首场落地</t>
        </is>
      </c>
      <c r="G9" s="9" t="inlineStr">
        <is>
          <t>待开始</t>
        </is>
      </c>
    </row>
    <row r="10" ht="34" customHeight="1">
      <c r="A10" s="19" t="inlineStr">
        <is>
          <t>第2月
首战落地</t>
        </is>
      </c>
      <c r="B10" s="9" t="inlineStr">
        <is>
          <t>W7</t>
        </is>
      </c>
      <c r="C10" s="8" t="inlineStr">
        <is>
          <t>香港游学产品设计与预售启动</t>
        </is>
      </c>
      <c r="D10" s="9" t="inlineStr">
        <is>
          <t>我方</t>
        </is>
      </c>
      <c r="E10" s="8" t="inlineStr">
        <is>
          <t>游学方案 &amp; 预售</t>
        </is>
      </c>
      <c r="F10" s="9" t="inlineStr">
        <is>
          <t>游学预售</t>
        </is>
      </c>
      <c r="G10" s="9" t="inlineStr">
        <is>
          <t>待开始</t>
        </is>
      </c>
    </row>
    <row r="11" ht="34" customHeight="1">
      <c r="A11" s="19" t="inlineStr">
        <is>
          <t>第2月
首战落地</t>
        </is>
      </c>
      <c r="B11" s="9" t="inlineStr">
        <is>
          <t>W8</t>
        </is>
      </c>
      <c r="C11" s="8" t="inlineStr">
        <is>
          <t>搭建私域与 CRM、会员分层与内容本地化专栏</t>
        </is>
      </c>
      <c r="D11" s="9" t="inlineStr">
        <is>
          <t>我方</t>
        </is>
      </c>
      <c r="E11" s="8" t="inlineStr">
        <is>
          <t>CRM &amp; 私域 &amp; 专栏</t>
        </is>
      </c>
      <c r="F11" s="9" t="inlineStr"/>
      <c r="G11" s="9" t="inlineStr">
        <is>
          <t>待开始</t>
        </is>
      </c>
    </row>
    <row r="12" ht="34" customHeight="1">
      <c r="A12" s="20" t="inlineStr">
        <is>
          <t>第3月
复盘转正</t>
        </is>
      </c>
      <c r="B12" s="9" t="inlineStr">
        <is>
          <t>W9</t>
        </is>
      </c>
      <c r="C12" s="8" t="inlineStr">
        <is>
          <t>第 2 场活动落地（另类配置 / 家办专场）</t>
        </is>
      </c>
      <c r="D12" s="9" t="inlineStr">
        <is>
          <t>双方</t>
        </is>
      </c>
      <c r="E12" s="8" t="inlineStr">
        <is>
          <t>活动交付</t>
        </is>
      </c>
      <c r="F12" s="9" t="inlineStr">
        <is>
          <t>第2场</t>
        </is>
      </c>
      <c r="G12" s="9" t="inlineStr">
        <is>
          <t>待开始</t>
        </is>
      </c>
    </row>
    <row r="13" ht="34" customHeight="1">
      <c r="A13" s="20" t="inlineStr">
        <is>
          <t>第3月
复盘转正</t>
        </is>
      </c>
      <c r="B13" s="9" t="inlineStr">
        <is>
          <t>W10</t>
        </is>
      </c>
      <c r="C13" s="8" t="inlineStr">
        <is>
          <t>第 3 场活动落地并沉淀活动 SOP</t>
        </is>
      </c>
      <c r="D13" s="9" t="inlineStr">
        <is>
          <t>双方</t>
        </is>
      </c>
      <c r="E13" s="8" t="inlineStr">
        <is>
          <t>活动 SOP</t>
        </is>
      </c>
      <c r="F13" s="18" t="inlineStr">
        <is>
          <t>★ 第3场</t>
        </is>
      </c>
      <c r="G13" s="9" t="inlineStr">
        <is>
          <t>待开始</t>
        </is>
      </c>
    </row>
    <row r="14" ht="34" customHeight="1">
      <c r="A14" s="20" t="inlineStr">
        <is>
          <t>第3月
复盘转正</t>
        </is>
      </c>
      <c r="B14" s="9" t="inlineStr">
        <is>
          <t>W11</t>
        </is>
      </c>
      <c r="C14" s="8" t="inlineStr">
        <is>
          <t>财务复盘、客户满意度与数据分析</t>
        </is>
      </c>
      <c r="D14" s="9" t="inlineStr">
        <is>
          <t>我方</t>
        </is>
      </c>
      <c r="E14" s="8" t="inlineStr">
        <is>
          <t>复盘报告</t>
        </is>
      </c>
      <c r="F14" s="9" t="inlineStr"/>
      <c r="G14" s="9" t="inlineStr">
        <is>
          <t>待开始</t>
        </is>
      </c>
    </row>
    <row r="15" ht="34" customHeight="1">
      <c r="A15" s="20" t="inlineStr">
        <is>
          <t>第3月
复盘转正</t>
        </is>
      </c>
      <c r="B15" s="9" t="inlineStr">
        <is>
          <t>W12</t>
        </is>
      </c>
      <c r="C15" s="8" t="inlineStr">
        <is>
          <t>对照 KPI 评估，签署长期区域独家总代理协议</t>
        </is>
      </c>
      <c r="D15" s="9" t="inlineStr">
        <is>
          <t>双方</t>
        </is>
      </c>
      <c r="E15" s="8" t="inlineStr">
        <is>
          <t>长期协议</t>
        </is>
      </c>
      <c r="F15" s="18" t="inlineStr">
        <is>
          <t>★ 转正</t>
        </is>
      </c>
      <c r="G15" s="9" t="inlineStr">
        <is>
          <t>待开始</t>
        </is>
      </c>
    </row>
  </sheetData>
  <mergeCells count="2">
    <mergeCell ref="A2:G2"/>
    <mergeCell ref="A1:G1"/>
  </mergeCells>
  <dataValidations count="1">
    <dataValidation sqref="G4:G15" showDropDown="0" showInputMessage="0" showErrorMessage="0" allowBlank="1" type="list">
      <formula1>"待开始,进行中,已完成,风险"</formula1>
    </dataValidation>
  </dataValidations>
  <pageMargins left="0.3" right="0.3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22" customWidth="1" min="9" max="9"/>
  </cols>
  <sheetData>
    <row r="1" ht="34" customHeight="1">
      <c r="A1" s="1" t="inlineStr">
        <is>
          <t>长三角落地场景与内容矩阵</t>
        </is>
      </c>
    </row>
    <row r="2" ht="22" customHeight="1">
      <c r="A2" s="2" t="inlineStr">
        <is>
          <t>结合夏春观点与沟通纪要；客单价 / 毛利为区间预估，需按实际招商调整</t>
        </is>
      </c>
    </row>
    <row r="3" ht="30" customHeight="1">
      <c r="A3" s="6" t="inlineStr">
        <is>
          <t>序号</t>
        </is>
      </c>
      <c r="B3" s="6" t="inlineStr">
        <is>
          <t>活动类型</t>
        </is>
      </c>
      <c r="C3" s="6" t="inlineStr">
        <is>
          <t>主题（结合夏春观点）</t>
        </is>
      </c>
      <c r="D3" s="6" t="inlineStr">
        <is>
          <t>目标客群</t>
        </is>
      </c>
      <c r="E3" s="6" t="inlineStr">
        <is>
          <t>频次</t>
        </is>
      </c>
      <c r="F3" s="6" t="inlineStr">
        <is>
          <t>单场人数</t>
        </is>
      </c>
      <c r="G3" s="6" t="inlineStr">
        <is>
          <t>参考客单价</t>
        </is>
      </c>
      <c r="H3" s="6" t="inlineStr">
        <is>
          <t>预估毛利率</t>
        </is>
      </c>
      <c r="I3" s="6" t="inlineStr">
        <is>
          <t>依托资源</t>
        </is>
      </c>
    </row>
    <row r="4" ht="40" customHeight="1">
      <c r="A4" s="9" t="n">
        <v>1</v>
      </c>
      <c r="B4" s="10" t="inlineStr">
        <is>
          <t>科技企业参访</t>
        </is>
      </c>
      <c r="C4" s="8" t="inlineStr">
        <is>
          <t>AI / 科技前沿 · 七巨头视角</t>
        </is>
      </c>
      <c r="D4" s="8" t="inlineStr">
        <is>
          <t>科创企业家 / 投资人</t>
        </is>
      </c>
      <c r="E4" s="9" t="inlineStr">
        <is>
          <t>月 1–2 场</t>
        </is>
      </c>
      <c r="F4" s="9" t="inlineStr">
        <is>
          <t>20–40</t>
        </is>
      </c>
      <c r="G4" s="9" t="inlineStr">
        <is>
          <t>0.5–3 万/人</t>
        </is>
      </c>
      <c r="H4" s="9" t="inlineStr">
        <is>
          <t>60%–90%</t>
        </is>
      </c>
      <c r="I4" s="8" t="inlineStr">
        <is>
          <t>杨浦科委 + 复旦背书</t>
        </is>
      </c>
    </row>
    <row r="5" ht="40" customHeight="1">
      <c r="A5" s="14" t="n">
        <v>2</v>
      </c>
      <c r="B5" s="15" t="inlineStr">
        <is>
          <t>资产配置闭门沙龙</t>
        </is>
      </c>
      <c r="C5" s="13" t="inlineStr">
        <is>
          <t>年度资产表 · 再平衡 · 美债美股</t>
        </is>
      </c>
      <c r="D5" s="13" t="inlineStr">
        <is>
          <t>高净值 / 私行客户</t>
        </is>
      </c>
      <c r="E5" s="14" t="inlineStr">
        <is>
          <t>月 1–2 场</t>
        </is>
      </c>
      <c r="F5" s="14" t="inlineStr">
        <is>
          <t>20–50</t>
        </is>
      </c>
      <c r="G5" s="14" t="inlineStr">
        <is>
          <t>0.2–1 万/人</t>
        </is>
      </c>
      <c r="H5" s="14" t="inlineStr">
        <is>
          <t>70%–90%</t>
        </is>
      </c>
      <c r="I5" s="13" t="inlineStr">
        <is>
          <t>夏春 IP + 复旦</t>
        </is>
      </c>
    </row>
    <row r="6" ht="40" customHeight="1">
      <c r="A6" s="9" t="n">
        <v>3</v>
      </c>
      <c r="B6" s="10" t="inlineStr">
        <is>
          <t>香港 / 出海游学</t>
        </is>
      </c>
      <c r="C6" s="8" t="inlineStr">
        <is>
          <t>RWA · 虚拟资产 · 中东资金窗口</t>
        </is>
      </c>
      <c r="D6" s="8" t="inlineStr">
        <is>
          <t>高净值 / 企业主</t>
        </is>
      </c>
      <c r="E6" s="9" t="inlineStr">
        <is>
          <t>季度 1–2 团</t>
        </is>
      </c>
      <c r="F6" s="9" t="inlineStr">
        <is>
          <t>15–30</t>
        </is>
      </c>
      <c r="G6" s="9" t="inlineStr">
        <is>
          <t>3–8 万/人</t>
        </is>
      </c>
      <c r="H6" s="9" t="inlineStr">
        <is>
          <t>30%–50%</t>
        </is>
      </c>
      <c r="I6" s="8" t="inlineStr">
        <is>
          <t>夏春全程 + 香港资源</t>
        </is>
      </c>
    </row>
    <row r="7" ht="40" customHeight="1">
      <c r="A7" s="14" t="n">
        <v>4</v>
      </c>
      <c r="B7" s="15" t="inlineStr">
        <is>
          <t>家办 / 另类配置专场</t>
        </is>
      </c>
      <c r="C7" s="13" t="inlineStr">
        <is>
          <t>第八个巨头 · 黄金 · 另类资产</t>
        </is>
      </c>
      <c r="D7" s="13" t="inlineStr">
        <is>
          <t>家办 / 超高净值</t>
        </is>
      </c>
      <c r="E7" s="14" t="inlineStr">
        <is>
          <t>季度 1 场</t>
        </is>
      </c>
      <c r="F7" s="14" t="inlineStr">
        <is>
          <t>10–20</t>
        </is>
      </c>
      <c r="G7" s="14" t="inlineStr">
        <is>
          <t>1–5 万/人</t>
        </is>
      </c>
      <c r="H7" s="14" t="inlineStr">
        <is>
          <t>60%–85%</t>
        </is>
      </c>
      <c r="I7" s="13" t="inlineStr">
        <is>
          <t>夏春 IP</t>
        </is>
      </c>
    </row>
    <row r="8" ht="40" customHeight="1">
      <c r="A8" s="9" t="n">
        <v>5</v>
      </c>
      <c r="B8" s="10" t="inlineStr">
        <is>
          <t>内容本地化 &amp; 私域</t>
        </is>
      </c>
      <c r="C8" s="8" t="inlineStr">
        <is>
          <t>长三角专栏 · 会员分层运营</t>
        </is>
      </c>
      <c r="D8" s="8" t="inlineStr">
        <is>
          <t>泛高净值 / 粉丝</t>
        </is>
      </c>
      <c r="E8" s="9" t="inlineStr">
        <is>
          <t>持续运营</t>
        </is>
      </c>
      <c r="F8" s="9" t="inlineStr">
        <is>
          <t>—</t>
        </is>
      </c>
      <c r="G8" s="9" t="inlineStr">
        <is>
          <t>会员费 / 订阅</t>
        </is>
      </c>
      <c r="H8" s="9" t="inlineStr">
        <is>
          <t>80%+</t>
        </is>
      </c>
      <c r="I8" s="8" t="inlineStr">
        <is>
          <t>我方私域 + CRM</t>
        </is>
      </c>
    </row>
    <row r="9" ht="40" customHeight="1">
      <c r="A9" s="14" t="n">
        <v>6</v>
      </c>
      <c r="B9" s="15" t="inlineStr">
        <is>
          <t>企业内训 / 政企研讨</t>
        </is>
      </c>
      <c r="C9" s="13" t="inlineStr">
        <is>
          <t>宏观形势 · 住房与大类资产</t>
        </is>
      </c>
      <c r="D9" s="13" t="inlineStr">
        <is>
          <t>企业 / 政府 / 高校</t>
        </is>
      </c>
      <c r="E9" s="14" t="inlineStr">
        <is>
          <t>按需</t>
        </is>
      </c>
      <c r="F9" s="14" t="inlineStr">
        <is>
          <t>定制</t>
        </is>
      </c>
      <c r="G9" s="14" t="inlineStr">
        <is>
          <t>5–30 万/场</t>
        </is>
      </c>
      <c r="H9" s="14" t="inlineStr">
        <is>
          <t>50%–80%</t>
        </is>
      </c>
      <c r="I9" s="13" t="inlineStr">
        <is>
          <t>复旦住房政策中心</t>
        </is>
      </c>
    </row>
  </sheetData>
  <mergeCells count="2">
    <mergeCell ref="A1:I1"/>
    <mergeCell ref="A2:I2"/>
  </mergeCells>
  <pageMargins left="0.3" right="0.3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40" customWidth="1" min="4" max="4"/>
  </cols>
  <sheetData>
    <row r="1" ht="34" customHeight="1">
      <c r="A1" s="1" t="inlineStr">
        <is>
          <t>差异化定位对照：区别于夏春新 / 老团队</t>
        </is>
      </c>
    </row>
    <row r="2" ht="22" customHeight="1">
      <c r="A2" s="2" t="inlineStr">
        <is>
          <t>只做长三角区域增量，边界清晰、互补不重叠（呼应纪要“主导权 / 客户归属”）</t>
        </is>
      </c>
    </row>
    <row r="3" ht="30" customHeight="1">
      <c r="A3" s="6" t="inlineStr">
        <is>
          <t>对比维度</t>
        </is>
      </c>
      <c r="B3" s="6" t="inlineStr">
        <is>
          <t>夏春 · 老团队</t>
        </is>
      </c>
      <c r="C3" s="6" t="inlineStr">
        <is>
          <t>夏春 · 新团队</t>
        </is>
      </c>
      <c r="D3" s="6" t="inlineStr">
        <is>
          <t>我方（长三角总代理）</t>
        </is>
      </c>
    </row>
    <row r="4" ht="32" customHeight="1">
      <c r="A4" s="7" t="inlineStr">
        <is>
          <t>核心侧重</t>
        </is>
      </c>
      <c r="B4" s="8" t="inlineStr">
        <is>
          <t>内容生产、全国泛在影响</t>
        </is>
      </c>
      <c r="C4" s="8" t="inlineStr">
        <is>
          <t>金融产品与新业务孵化</t>
        </is>
      </c>
      <c r="D4" s="21" t="inlineStr">
        <is>
          <t>长三角区域落地与机构化承接</t>
        </is>
      </c>
    </row>
    <row r="5" ht="32" customHeight="1">
      <c r="A5" s="7" t="inlineStr">
        <is>
          <t>目标客群</t>
        </is>
      </c>
      <c r="B5" s="8" t="inlineStr">
        <is>
          <t>全国粉丝 / 线上受众</t>
        </is>
      </c>
      <c r="C5" s="8" t="inlineStr">
        <is>
          <t>金融端存量客户</t>
        </is>
      </c>
      <c r="D5" s="21" t="inlineStr">
        <is>
          <t>长三角高净值 + 科创企业 + 高校 / 政府</t>
        </is>
      </c>
    </row>
    <row r="6" ht="32" customHeight="1">
      <c r="A6" s="7" t="inlineStr">
        <is>
          <t>主要场景</t>
        </is>
      </c>
      <c r="B6" s="8" t="inlineStr">
        <is>
          <t>视频号 / 公众号内容</t>
        </is>
      </c>
      <c r="C6" s="8" t="inlineStr">
        <is>
          <t>金融配置与产品</t>
        </is>
      </c>
      <c r="D6" s="21" t="inlineStr">
        <is>
          <t>区域活动 / 参访 / 游学组团 / 内训</t>
        </is>
      </c>
    </row>
    <row r="7" ht="32" customHeight="1">
      <c r="A7" s="7" t="inlineStr">
        <is>
          <t>背书资源</t>
        </is>
      </c>
      <c r="B7" s="8" t="inlineStr">
        <is>
          <t>夏春个人 IP</t>
        </is>
      </c>
      <c r="C7" s="8" t="inlineStr">
        <is>
          <t>资本 / 金融资源</t>
        </is>
      </c>
      <c r="D7" s="21" t="inlineStr">
        <is>
          <t>复旦 + 杨浦科委 双背书 + 本地网络</t>
        </is>
      </c>
    </row>
    <row r="8" ht="32" customHeight="1">
      <c r="A8" s="7" t="inlineStr">
        <is>
          <t>客户归属</t>
        </is>
      </c>
      <c r="B8" s="8" t="inlineStr">
        <is>
          <t>既有存量粉丝</t>
        </is>
      </c>
      <c r="C8" s="8" t="inlineStr">
        <is>
          <t>既有金融客户</t>
        </is>
      </c>
      <c r="D8" s="21" t="inlineStr">
        <is>
          <t>只做长三角新增增量，签不重叠条款</t>
        </is>
      </c>
    </row>
    <row r="9" ht="32" customHeight="1">
      <c r="A9" s="7" t="inlineStr">
        <is>
          <t>与夏春关系</t>
        </is>
      </c>
      <c r="B9" s="8" t="inlineStr">
        <is>
          <t>内容协同</t>
        </is>
      </c>
      <c r="C9" s="8" t="inlineStr">
        <is>
          <t>产品协同</t>
        </is>
      </c>
      <c r="D9" s="21" t="inlineStr">
        <is>
          <t>区域独家总代理，统一出口与结算</t>
        </is>
      </c>
    </row>
    <row r="10" ht="32" customHeight="1">
      <c r="A10" s="7" t="inlineStr">
        <is>
          <t>对夏春价值</t>
        </is>
      </c>
      <c r="B10" s="8" t="inlineStr">
        <is>
          <t>扩大影响力</t>
        </is>
      </c>
      <c r="C10" s="8" t="inlineStr">
        <is>
          <t>金融变现</t>
        </is>
      </c>
      <c r="D10" s="21" t="inlineStr">
        <is>
          <t>区域变现 + 减负 + 机构化背书</t>
        </is>
      </c>
    </row>
  </sheetData>
  <mergeCells count="2">
    <mergeCell ref="A1:D1"/>
    <mergeCell ref="A2:D2"/>
  </mergeCells>
  <pageMargins left="0.3" right="0.3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14" customWidth="1" min="5" max="5"/>
  </cols>
  <sheetData>
    <row r="1" ht="34" customHeight="1">
      <c r="A1" s="1" t="inlineStr">
        <is>
          <t>分工与分润机制（建议）</t>
        </is>
      </c>
    </row>
    <row r="2" ht="22" customHeight="1">
      <c r="A2" s="2" t="inlineStr">
        <is>
          <t>分润比例为建议区间，最终以合作备忘录约定为准</t>
        </is>
      </c>
    </row>
    <row r="3" ht="30" customHeight="1">
      <c r="A3" s="6" t="inlineStr">
        <is>
          <t>合作环节</t>
        </is>
      </c>
      <c r="B3" s="6" t="inlineStr">
        <is>
          <t>夏春侧职责</t>
        </is>
      </c>
      <c r="C3" s="6" t="inlineStr">
        <is>
          <t>我方（总代理）职责</t>
        </is>
      </c>
      <c r="D3" s="6" t="inlineStr">
        <is>
          <t>收入来源</t>
        </is>
      </c>
      <c r="E3" s="6" t="inlineStr">
        <is>
          <t>建议分润
（夏春:我方）</t>
        </is>
      </c>
    </row>
    <row r="4" ht="38" customHeight="1">
      <c r="A4" s="7" t="inlineStr">
        <is>
          <t>区域线下活动</t>
        </is>
      </c>
      <c r="B4" s="8" t="inlineStr">
        <is>
          <t>核心观点 / 讲座、品牌授权</t>
        </is>
      </c>
      <c r="C4" s="8" t="inlineStr">
        <is>
          <t>获客、场地、执行、履约</t>
        </is>
      </c>
      <c r="D4" s="9" t="inlineStr">
        <is>
          <t>票务 / 赞助</t>
        </is>
      </c>
      <c r="E4" s="7" t="inlineStr">
        <is>
          <t>30% : 70%</t>
        </is>
      </c>
    </row>
    <row r="5" ht="38" customHeight="1">
      <c r="A5" s="12" t="inlineStr">
        <is>
          <t>科技企业参访</t>
        </is>
      </c>
      <c r="B5" s="13" t="inlineStr">
        <is>
          <t>科技视角分享（可录播复用）</t>
        </is>
      </c>
      <c r="C5" s="13" t="inlineStr">
        <is>
          <t>企业对接、组织、接待</t>
        </is>
      </c>
      <c r="D5" s="14" t="inlineStr">
        <is>
          <t>票务 / 企业赞助</t>
        </is>
      </c>
      <c r="E5" s="12" t="inlineStr">
        <is>
          <t>25% : 75%</t>
        </is>
      </c>
    </row>
    <row r="6" ht="38" customHeight="1">
      <c r="A6" s="7" t="inlineStr">
        <is>
          <t>香港 / 出海游学</t>
        </is>
      </c>
      <c r="B6" s="8" t="inlineStr">
        <is>
          <t>全程参与、讲座、关键资源</t>
        </is>
      </c>
      <c r="C6" s="8" t="inlineStr">
        <is>
          <t>组团、行程、履约、结算</t>
        </is>
      </c>
      <c r="D6" s="9" t="inlineStr">
        <is>
          <t>游学费 / 佣金</t>
        </is>
      </c>
      <c r="E6" s="7" t="inlineStr">
        <is>
          <t>40% : 60%</t>
        </is>
      </c>
    </row>
    <row r="7" ht="38" customHeight="1">
      <c r="A7" s="12" t="inlineStr">
        <is>
          <t>内容本地化 &amp; 私域</t>
        </is>
      </c>
      <c r="B7" s="13" t="inlineStr">
        <is>
          <t>内容授权 / 素材</t>
        </is>
      </c>
      <c r="C7" s="13" t="inlineStr">
        <is>
          <t>本地化、私域、会员运营</t>
        </is>
      </c>
      <c r="D7" s="14" t="inlineStr">
        <is>
          <t>会员费 / 订阅</t>
        </is>
      </c>
      <c r="E7" s="12" t="inlineStr">
        <is>
          <t>35% : 65%</t>
        </is>
      </c>
    </row>
    <row r="8" ht="38" customHeight="1">
      <c r="A8" s="7" t="inlineStr">
        <is>
          <t>企业内训 / 政企</t>
        </is>
      </c>
      <c r="B8" s="8" t="inlineStr">
        <is>
          <t>宏观内容 / 出席</t>
        </is>
      </c>
      <c r="C8" s="8" t="inlineStr">
        <is>
          <t>复旦背书、对接、交付</t>
        </is>
      </c>
      <c r="D8" s="9" t="inlineStr">
        <is>
          <t>内训费</t>
        </is>
      </c>
      <c r="E8" s="7" t="inlineStr">
        <is>
          <t>35% : 65%</t>
        </is>
      </c>
    </row>
    <row r="9" ht="38" customHeight="1">
      <c r="A9" s="12" t="inlineStr">
        <is>
          <t>品牌授权（长期）</t>
        </is>
      </c>
      <c r="B9" s="13" t="inlineStr">
        <is>
          <t>IP 与品牌授权</t>
        </is>
      </c>
      <c r="C9" s="13" t="inlineStr">
        <is>
          <t>区域独家运营</t>
        </is>
      </c>
      <c r="D9" s="14" t="inlineStr">
        <is>
          <t>年度授权费 / 分成</t>
        </is>
      </c>
      <c r="E9" s="12" t="inlineStr">
        <is>
          <t>另议（保底 + 分成）</t>
        </is>
      </c>
    </row>
    <row r="11" ht="30" customHeight="1">
      <c r="A11" s="22" t="inlineStr">
        <is>
          <t>说明：成本相对固定，毛利率主要取决于客单价与销量；分润在扣除直接活动成本后的毛利基础上分配，按月对账、账目透明。</t>
        </is>
      </c>
    </row>
  </sheetData>
  <mergeCells count="3">
    <mergeCell ref="A2:E2"/>
    <mergeCell ref="A11:E11"/>
    <mergeCell ref="A1:E1"/>
  </mergeCells>
  <pageMargins left="0.3" right="0.3" top="0.4" bottom="0.4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4" customHeight="1">
      <c r="A1" s="1" t="inlineStr">
        <is>
          <t>过渡期财务测算模型（示例，参数可调）</t>
        </is>
      </c>
    </row>
    <row r="2" ht="22" customHeight="1">
      <c r="A2" s="2" t="inlineStr">
        <is>
          <t>蓝底为可修改输入项；其余为公式自动计算。数字为示例假设，非承诺</t>
        </is>
      </c>
    </row>
    <row r="3" ht="30" customHeight="1">
      <c r="A3" s="6" t="inlineStr">
        <is>
          <t>项目 \ 场次</t>
        </is>
      </c>
      <c r="B3" s="6" t="inlineStr">
        <is>
          <t>首场·科技参访</t>
        </is>
      </c>
      <c r="C3" s="6" t="inlineStr">
        <is>
          <t>第2场·资产沙龙</t>
        </is>
      </c>
      <c r="D3" s="6" t="inlineStr">
        <is>
          <t>第3场·家办专场</t>
        </is>
      </c>
      <c r="E3" s="6" t="inlineStr">
        <is>
          <t>合计 / 备注</t>
        </is>
      </c>
    </row>
    <row r="4" ht="24" customHeight="1">
      <c r="A4" s="23" t="inlineStr">
        <is>
          <t>报名人数（人）</t>
        </is>
      </c>
      <c r="B4" s="24" t="n">
        <v>30</v>
      </c>
      <c r="C4" s="24" t="n">
        <v>40</v>
      </c>
      <c r="D4" s="24" t="n">
        <v>15</v>
      </c>
      <c r="E4" s="25" t="inlineStr">
        <is>
          <t>输入</t>
        </is>
      </c>
    </row>
    <row r="5" ht="24" customHeight="1">
      <c r="A5" s="23" t="inlineStr">
        <is>
          <t>客单价（元/人）</t>
        </is>
      </c>
      <c r="B5" s="26" t="n">
        <v>8000</v>
      </c>
      <c r="C5" s="26" t="n">
        <v>5000</v>
      </c>
      <c r="D5" s="26" t="n">
        <v>30000</v>
      </c>
      <c r="E5" s="25" t="inlineStr">
        <is>
          <t>输入</t>
        </is>
      </c>
    </row>
    <row r="6" ht="24" customHeight="1">
      <c r="A6" s="23" t="inlineStr">
        <is>
          <t>固定成本（元/场）</t>
        </is>
      </c>
      <c r="B6" s="26" t="n">
        <v>30000</v>
      </c>
      <c r="C6" s="26" t="n">
        <v>20000</v>
      </c>
      <c r="D6" s="26" t="n">
        <v>25000</v>
      </c>
      <c r="E6" s="25" t="inlineStr">
        <is>
          <t>场地/嘉宾/物料</t>
        </is>
      </c>
    </row>
    <row r="7" ht="24" customHeight="1">
      <c r="A7" s="23" t="inlineStr">
        <is>
          <t>单人变动成本（元/人）</t>
        </is>
      </c>
      <c r="B7" s="26" t="n">
        <v>800</v>
      </c>
      <c r="C7" s="26" t="n">
        <v>500</v>
      </c>
      <c r="D7" s="26" t="n">
        <v>3000</v>
      </c>
      <c r="E7" s="25" t="inlineStr">
        <is>
          <t>餐饮/资料/接待</t>
        </is>
      </c>
    </row>
    <row r="8" ht="24" customHeight="1">
      <c r="A8" s="23" t="inlineStr">
        <is>
          <t>夏春侧分润比例</t>
        </is>
      </c>
      <c r="B8" s="27" t="n">
        <v>0.3</v>
      </c>
      <c r="C8" s="27" t="n">
        <v>0.3</v>
      </c>
      <c r="D8" s="27" t="n">
        <v>0.4</v>
      </c>
      <c r="E8" s="25" t="inlineStr">
        <is>
          <t>对毛利分润</t>
        </is>
      </c>
    </row>
    <row r="9" ht="24" customHeight="1">
      <c r="A9" s="23" t="inlineStr">
        <is>
          <t>营业收入（元）</t>
        </is>
      </c>
      <c r="B9" s="28">
        <f>B4*B5</f>
        <v/>
      </c>
      <c r="C9" s="28">
        <f>C4*C5</f>
        <v/>
      </c>
      <c r="D9" s="28">
        <f>D4*D5</f>
        <v/>
      </c>
      <c r="E9" s="29">
        <f>SUM(B9:D9)</f>
        <v/>
      </c>
    </row>
    <row r="10" ht="24" customHeight="1">
      <c r="A10" s="23" t="inlineStr">
        <is>
          <t>总成本（元）</t>
        </is>
      </c>
      <c r="B10" s="28">
        <f>B6+B7*B4</f>
        <v/>
      </c>
      <c r="C10" s="28">
        <f>C6+C7*C4</f>
        <v/>
      </c>
      <c r="D10" s="28">
        <f>D6+D7*D4</f>
        <v/>
      </c>
      <c r="E10" s="29">
        <f>SUM(B10:D10)</f>
        <v/>
      </c>
    </row>
    <row r="11" ht="24" customHeight="1">
      <c r="A11" s="30" t="inlineStr">
        <is>
          <t>毛利（元）</t>
        </is>
      </c>
      <c r="B11" s="31">
        <f>B9-B10</f>
        <v/>
      </c>
      <c r="C11" s="31">
        <f>C9-C10</f>
        <v/>
      </c>
      <c r="D11" s="31">
        <f>D9-D10</f>
        <v/>
      </c>
      <c r="E11" s="32">
        <f>SUM(B11:D11)</f>
        <v/>
      </c>
    </row>
    <row r="12" ht="24" customHeight="1">
      <c r="A12" s="23" t="inlineStr">
        <is>
          <t>毛利率</t>
        </is>
      </c>
      <c r="B12" s="33">
        <f>IF(B9=0,0,B11/B9)</f>
        <v/>
      </c>
      <c r="C12" s="33">
        <f>IF(C9=0,0,C11/C9)</f>
        <v/>
      </c>
      <c r="D12" s="33">
        <f>IF(D9=0,0,D11/D9)</f>
        <v/>
      </c>
      <c r="E12" s="34" t="inlineStr">
        <is>
          <t>毛利/收入</t>
        </is>
      </c>
    </row>
    <row r="13" ht="24" customHeight="1">
      <c r="A13" s="23" t="inlineStr">
        <is>
          <t>夏春侧分润（元）</t>
        </is>
      </c>
      <c r="B13" s="28">
        <f>B11*B8</f>
        <v/>
      </c>
      <c r="C13" s="28">
        <f>C11*C8</f>
        <v/>
      </c>
      <c r="D13" s="28">
        <f>D11*D8</f>
        <v/>
      </c>
      <c r="E13" s="29">
        <f>SUM(B13:D13)</f>
        <v/>
      </c>
    </row>
    <row r="14" ht="24" customHeight="1">
      <c r="A14" s="35" t="inlineStr">
        <is>
          <t>我方毛利留存（元）</t>
        </is>
      </c>
      <c r="B14" s="36">
        <f>B11-B13</f>
        <v/>
      </c>
      <c r="C14" s="36">
        <f>C11-C13</f>
        <v/>
      </c>
      <c r="D14" s="36">
        <f>D11-D13</f>
        <v/>
      </c>
      <c r="E14" s="37">
        <f>SUM(B14:D14)</f>
        <v/>
      </c>
    </row>
    <row r="16">
      <c r="A16" s="38" t="inlineStr">
        <is>
          <t>说明：以上为示例参数下的测算，蓝色单元格可自行修改（人数 / 客单价 / 成本 / 分润比例），其余数值与合计将自动重算。数字仅供沟通参考，不构成收益承诺。</t>
        </is>
      </c>
    </row>
    <row r="17"/>
  </sheetData>
  <mergeCells count="3">
    <mergeCell ref="A2:E2"/>
    <mergeCell ref="A1:E1"/>
    <mergeCell ref="A16:E17"/>
  </mergeCells>
  <pageMargins left="0.3" right="0.3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0" customWidth="1" min="4" max="4"/>
    <col width="44" customWidth="1" min="5" max="5"/>
    <col width="16" customWidth="1" min="6" max="6"/>
    <col width="10" customWidth="1" min="7" max="7"/>
    <col width="10" customWidth="1" min="8" max="8"/>
  </cols>
  <sheetData>
    <row r="1" ht="34" customHeight="1">
      <c r="A1" s="1" t="inlineStr">
        <is>
          <t>关键问题、风险与待办清单</t>
        </is>
      </c>
    </row>
    <row r="2" ht="22" customHeight="1">
      <c r="A2" s="2" t="inlineStr">
        <is>
          <t>多数源自双方沟通纪要“待解决问题 / 待办事项”，过渡期内逐项落定并写入 MOU</t>
        </is>
      </c>
    </row>
    <row r="3" ht="30" customHeight="1">
      <c r="A3" s="6" t="inlineStr">
        <is>
          <t>序号</t>
        </is>
      </c>
      <c r="B3" s="6" t="inlineStr">
        <is>
          <t>事项</t>
        </is>
      </c>
      <c r="C3" s="6" t="inlineStr">
        <is>
          <t>类别</t>
        </is>
      </c>
      <c r="D3" s="6" t="inlineStr">
        <is>
          <t>来源</t>
        </is>
      </c>
      <c r="E3" s="6" t="inlineStr">
        <is>
          <t>应对措施</t>
        </is>
      </c>
      <c r="F3" s="6" t="inlineStr">
        <is>
          <t>责任方</t>
        </is>
      </c>
      <c r="G3" s="6" t="inlineStr">
        <is>
          <t>优先级</t>
        </is>
      </c>
      <c r="H3" s="6" t="inlineStr">
        <is>
          <t>状态</t>
        </is>
      </c>
    </row>
    <row r="4" ht="36" customHeight="1">
      <c r="A4" s="9" t="n">
        <v>1</v>
      </c>
      <c r="B4" s="10" t="inlineStr">
        <is>
          <t>主导权与客户归属界定</t>
        </is>
      </c>
      <c r="C4" s="9" t="inlineStr">
        <is>
          <t>商务</t>
        </is>
      </c>
      <c r="D4" s="9" t="inlineStr">
        <is>
          <t>纪要·待解决</t>
        </is>
      </c>
      <c r="E4" s="8" t="inlineStr">
        <is>
          <t>明确长三角新增客户归属与交叉销售权益划分，写入 MOU。</t>
        </is>
      </c>
      <c r="F4" s="9" t="inlineStr">
        <is>
          <t>双方</t>
        </is>
      </c>
      <c r="G4" s="11" t="inlineStr">
        <is>
          <t>高</t>
        </is>
      </c>
      <c r="H4" s="9" t="inlineStr">
        <is>
          <t>待开始</t>
        </is>
      </c>
    </row>
    <row r="5" ht="36" customHeight="1">
      <c r="A5" s="14" t="n">
        <v>2</v>
      </c>
      <c r="B5" s="15" t="inlineStr">
        <is>
          <t>夏春档期与精力稀缺</t>
        </is>
      </c>
      <c r="C5" s="14" t="inlineStr">
        <is>
          <t>资源</t>
        </is>
      </c>
      <c r="D5" s="14" t="inlineStr">
        <is>
          <t>纪要·待解决</t>
        </is>
      </c>
      <c r="E5" s="13" t="inlineStr">
        <is>
          <t>我方承接执行与批量排期；录播 / 图文复用，关键场次才需本人。</t>
        </is>
      </c>
      <c r="F5" s="14" t="inlineStr">
        <is>
          <t>我方</t>
        </is>
      </c>
      <c r="G5" s="11" t="inlineStr">
        <is>
          <t>高</t>
        </is>
      </c>
      <c r="H5" s="14" t="inlineStr">
        <is>
          <t>待开始</t>
        </is>
      </c>
    </row>
    <row r="6" ht="36" customHeight="1">
      <c r="A6" s="9" t="n">
        <v>3</v>
      </c>
      <c r="B6" s="10" t="inlineStr">
        <is>
          <t>与新 / 老团队边界重叠</t>
        </is>
      </c>
      <c r="C6" s="9" t="inlineStr">
        <is>
          <t>商务</t>
        </is>
      </c>
      <c r="D6" s="9" t="inlineStr">
        <is>
          <t>纪要·待解决</t>
        </is>
      </c>
      <c r="E6" s="8" t="inlineStr">
        <is>
          <t>只做区域增量，签互不重叠 / 不竞争条款，定期同步避免撞单。</t>
        </is>
      </c>
      <c r="F6" s="9" t="inlineStr">
        <is>
          <t>双方</t>
        </is>
      </c>
      <c r="G6" s="11" t="inlineStr">
        <is>
          <t>高</t>
        </is>
      </c>
      <c r="H6" s="9" t="inlineStr">
        <is>
          <t>待开始</t>
        </is>
      </c>
    </row>
    <row r="7" ht="36" customHeight="1">
      <c r="A7" s="14" t="n">
        <v>4</v>
      </c>
      <c r="B7" s="15" t="inlineStr">
        <is>
          <t>异地执行精力有限</t>
        </is>
      </c>
      <c r="C7" s="14" t="inlineStr">
        <is>
          <t>运营</t>
        </is>
      </c>
      <c r="D7" s="14" t="inlineStr">
        <is>
          <t>纪要·待解决</t>
        </is>
      </c>
      <c r="E7" s="13" t="inlineStr">
        <is>
          <t>由我方长三角本地团队承接落地，夏春侧远程支持。</t>
        </is>
      </c>
      <c r="F7" s="14" t="inlineStr">
        <is>
          <t>我方</t>
        </is>
      </c>
      <c r="G7" s="16" t="inlineStr">
        <is>
          <t>中</t>
        </is>
      </c>
      <c r="H7" s="14" t="inlineStr">
        <is>
          <t>待开始</t>
        </is>
      </c>
    </row>
    <row r="8" ht="36" customHeight="1">
      <c r="A8" s="9" t="n">
        <v>5</v>
      </c>
      <c r="B8" s="10" t="inlineStr">
        <is>
          <t>合规与免责</t>
        </is>
      </c>
      <c r="C8" s="9" t="inlineStr">
        <is>
          <t>合规</t>
        </is>
      </c>
      <c r="D8" s="9" t="inlineStr">
        <is>
          <t>夏春惯例</t>
        </is>
      </c>
      <c r="E8" s="8" t="inlineStr">
        <is>
          <t>金融观点仅供参考、不构成投资建议；内容与产品销售分离。</t>
        </is>
      </c>
      <c r="F8" s="9" t="inlineStr">
        <is>
          <t>双方</t>
        </is>
      </c>
      <c r="G8" s="11" t="inlineStr">
        <is>
          <t>高</t>
        </is>
      </c>
      <c r="H8" s="9" t="inlineStr">
        <is>
          <t>待开始</t>
        </is>
      </c>
    </row>
    <row r="9" ht="36" customHeight="1">
      <c r="A9" s="14" t="n">
        <v>6</v>
      </c>
      <c r="B9" s="15" t="inlineStr">
        <is>
          <t>提供参访 / 分润 / 深圳方案案例</t>
        </is>
      </c>
      <c r="C9" s="14" t="inlineStr">
        <is>
          <t>交付</t>
        </is>
      </c>
      <c r="D9" s="14" t="inlineStr">
        <is>
          <t>纪要·待办(胡)</t>
        </is>
      </c>
      <c r="E9" s="13" t="inlineStr">
        <is>
          <t>沟通中由对方团队提供既有案例参考，我方据此做长三角适配。</t>
        </is>
      </c>
      <c r="F9" s="14" t="inlineStr">
        <is>
          <t>对方团队</t>
        </is>
      </c>
      <c r="G9" s="16" t="inlineStr">
        <is>
          <t>中</t>
        </is>
      </c>
      <c r="H9" s="14" t="inlineStr">
        <is>
          <t>待开始</t>
        </is>
      </c>
    </row>
    <row r="10" ht="36" customHeight="1">
      <c r="A10" s="9" t="n">
        <v>7</v>
      </c>
      <c r="B10" s="10" t="inlineStr">
        <is>
          <t>香港游学完整方案</t>
        </is>
      </c>
      <c r="C10" s="9" t="inlineStr">
        <is>
          <t>交付</t>
        </is>
      </c>
      <c r="D10" s="9" t="inlineStr">
        <is>
          <t>纪要·待办</t>
        </is>
      </c>
      <c r="E10" s="8" t="inlineStr">
        <is>
          <t>我方主导长三角组团方案，夏春确认讲座与档期。</t>
        </is>
      </c>
      <c r="F10" s="9" t="inlineStr">
        <is>
          <t>我方</t>
        </is>
      </c>
      <c r="G10" s="11" t="inlineStr">
        <is>
          <t>高</t>
        </is>
      </c>
      <c r="H10" s="9" t="inlineStr">
        <is>
          <t>待开始</t>
        </is>
      </c>
    </row>
    <row r="11" ht="36" customHeight="1">
      <c r="A11" s="14" t="n">
        <v>8</v>
      </c>
      <c r="B11" s="15" t="inlineStr">
        <is>
          <t>CRM / 内容（出书）方案</t>
        </is>
      </c>
      <c r="C11" s="14" t="inlineStr">
        <is>
          <t>交付</t>
        </is>
      </c>
      <c r="D11" s="14" t="inlineStr">
        <is>
          <t>纪要·待办</t>
        </is>
      </c>
      <c r="E11" s="13" t="inlineStr">
        <is>
          <t>我方搭建区域 CRM 与私域，内容出版按长期规划推进。</t>
        </is>
      </c>
      <c r="F11" s="14" t="inlineStr">
        <is>
          <t>我方</t>
        </is>
      </c>
      <c r="G11" s="16" t="inlineStr">
        <is>
          <t>中</t>
        </is>
      </c>
      <c r="H11" s="14" t="inlineStr">
        <is>
          <t>待开始</t>
        </is>
      </c>
    </row>
    <row r="12" ht="36" customHeight="1">
      <c r="A12" s="9" t="n">
        <v>9</v>
      </c>
      <c r="B12" s="10" t="inlineStr">
        <is>
          <t>形成合作备忘录（MOU）</t>
        </is>
      </c>
      <c r="C12" s="9" t="inlineStr">
        <is>
          <t>商务</t>
        </is>
      </c>
      <c r="D12" s="9" t="inlineStr">
        <is>
          <t>纪要·待办</t>
        </is>
      </c>
      <c r="E12" s="8" t="inlineStr">
        <is>
          <t>过渡期第 1 月内会签 MOU 与区域授权草案。</t>
        </is>
      </c>
      <c r="F12" s="9" t="inlineStr">
        <is>
          <t>双方</t>
        </is>
      </c>
      <c r="G12" s="11" t="inlineStr">
        <is>
          <t>高</t>
        </is>
      </c>
      <c r="H12" s="9" t="inlineStr">
        <is>
          <t>待开始</t>
        </is>
      </c>
    </row>
    <row r="13" ht="36" customHeight="1">
      <c r="A13" s="14" t="n">
        <v>10</v>
      </c>
      <c r="B13" s="15" t="inlineStr">
        <is>
          <t>建立微信群同步进度</t>
        </is>
      </c>
      <c r="C13" s="14" t="inlineStr">
        <is>
          <t>协作</t>
        </is>
      </c>
      <c r="D13" s="14" t="inlineStr">
        <is>
          <t>纪要·待办</t>
        </is>
      </c>
      <c r="E13" s="13" t="inlineStr">
        <is>
          <t>组建联合工作群，按周同步进度、加微对接细节。</t>
        </is>
      </c>
      <c r="F13" s="14" t="inlineStr">
        <is>
          <t>双方</t>
        </is>
      </c>
      <c r="G13" s="16" t="inlineStr">
        <is>
          <t>中</t>
        </is>
      </c>
      <c r="H13" s="14" t="inlineStr">
        <is>
          <t>待开始</t>
        </is>
      </c>
    </row>
  </sheetData>
  <mergeCells count="2">
    <mergeCell ref="A2:H2"/>
    <mergeCell ref="A1:H1"/>
  </mergeCells>
  <dataValidations count="1">
    <dataValidation sqref="H4:H13" showDropDown="0" showInputMessage="0" showErrorMessage="0" allowBlank="1" type="list">
      <formula1>"待开始,进行中,已完成,已关闭"</formula1>
    </dataValidation>
  </dataValidations>
  <pageMargins left="0.3" right="0.3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0" customWidth="1" min="4" max="4"/>
    <col width="18" customWidth="1" min="5" max="5"/>
  </cols>
  <sheetData>
    <row r="1" ht="34" customHeight="1">
      <c r="A1" s="1" t="inlineStr">
        <is>
          <t>KPI 与由过渡转长期独家的门槛</t>
        </is>
      </c>
    </row>
    <row r="2" ht="22" customHeight="1">
      <c r="A2" s="2" t="inlineStr">
        <is>
          <t>过渡期达标即触发长期区域独家总代理；目标为建议值，签约前双方确认</t>
        </is>
      </c>
    </row>
    <row r="3" ht="30" customHeight="1">
      <c r="A3" s="6" t="inlineStr">
        <is>
          <t>序号</t>
        </is>
      </c>
      <c r="B3" s="6" t="inlineStr">
        <is>
          <t>指标</t>
        </is>
      </c>
      <c r="C3" s="6" t="inlineStr">
        <is>
          <t>过渡期目标（约3个月）</t>
        </is>
      </c>
      <c r="D3" s="6" t="inlineStr">
        <is>
          <t>长期目标（年度）</t>
        </is>
      </c>
      <c r="E3" s="6" t="inlineStr">
        <is>
          <t>衡量方式</t>
        </is>
      </c>
    </row>
    <row r="4" ht="30" customHeight="1">
      <c r="A4" s="9" t="n">
        <v>1</v>
      </c>
      <c r="B4" s="10" t="inlineStr">
        <is>
          <t>落地活动场次</t>
        </is>
      </c>
      <c r="C4" s="39" t="inlineStr">
        <is>
          <t>≥ 3 场</t>
        </is>
      </c>
      <c r="D4" s="9" t="inlineStr">
        <is>
          <t>≥ 24 场 / 年</t>
        </is>
      </c>
      <c r="E4" s="8" t="inlineStr">
        <is>
          <t>活动交付记录</t>
        </is>
      </c>
    </row>
    <row r="5" ht="30" customHeight="1">
      <c r="A5" s="9" t="n">
        <v>2</v>
      </c>
      <c r="B5" s="10" t="inlineStr">
        <is>
          <t>累计营收</t>
        </is>
      </c>
      <c r="C5" s="39" t="inlineStr">
        <is>
          <t>≥ 60 万元</t>
        </is>
      </c>
      <c r="D5" s="9" t="inlineStr">
        <is>
          <t>≥ 800 万元 / 年</t>
        </is>
      </c>
      <c r="E5" s="8" t="inlineStr">
        <is>
          <t>财务对账</t>
        </is>
      </c>
    </row>
    <row r="6" ht="30" customHeight="1">
      <c r="A6" s="9" t="n">
        <v>3</v>
      </c>
      <c r="B6" s="10" t="inlineStr">
        <is>
          <t>综合毛利率</t>
        </is>
      </c>
      <c r="C6" s="39" t="inlineStr">
        <is>
          <t>≥ 60%</t>
        </is>
      </c>
      <c r="D6" s="9" t="inlineStr">
        <is>
          <t>≥ 65%</t>
        </is>
      </c>
      <c r="E6" s="8" t="inlineStr">
        <is>
          <t>财务测算</t>
        </is>
      </c>
    </row>
    <row r="7" ht="30" customHeight="1">
      <c r="A7" s="9" t="n">
        <v>4</v>
      </c>
      <c r="B7" s="10" t="inlineStr">
        <is>
          <t>客户满意度（NPS/评分）</t>
        </is>
      </c>
      <c r="C7" s="39" t="inlineStr">
        <is>
          <t>≥ 4.5 / 5</t>
        </is>
      </c>
      <c r="D7" s="9" t="inlineStr">
        <is>
          <t>≥ 4.6 / 5</t>
        </is>
      </c>
      <c r="E7" s="8" t="inlineStr">
        <is>
          <t>活动问卷</t>
        </is>
      </c>
    </row>
    <row r="8" ht="30" customHeight="1">
      <c r="A8" s="9" t="n">
        <v>5</v>
      </c>
      <c r="B8" s="10" t="inlineStr">
        <is>
          <t>新增私域会员</t>
        </is>
      </c>
      <c r="C8" s="39" t="inlineStr">
        <is>
          <t>≥ 1000 人</t>
        </is>
      </c>
      <c r="D8" s="9" t="inlineStr">
        <is>
          <t>≥ 8000 人 / 年</t>
        </is>
      </c>
      <c r="E8" s="8" t="inlineStr">
        <is>
          <t>CRM 统计</t>
        </is>
      </c>
    </row>
    <row r="9" ht="30" customHeight="1">
      <c r="A9" s="9" t="n">
        <v>6</v>
      </c>
      <c r="B9" s="10" t="inlineStr">
        <is>
          <t>香港 / 出海游学</t>
        </is>
      </c>
      <c r="C9" s="39" t="inlineStr">
        <is>
          <t>预售 ≥ 1 团</t>
        </is>
      </c>
      <c r="D9" s="9" t="inlineStr">
        <is>
          <t>≥ 4 团 / 年</t>
        </is>
      </c>
      <c r="E9" s="8" t="inlineStr">
        <is>
          <t>报名与成团</t>
        </is>
      </c>
    </row>
    <row r="10" ht="30" customHeight="1">
      <c r="A10" s="9" t="n">
        <v>7</v>
      </c>
      <c r="B10" s="10" t="inlineStr">
        <is>
          <t>夏春时间投入产出比</t>
        </is>
      </c>
      <c r="C10" s="39" t="inlineStr">
        <is>
          <t>关键场次出席，其余复用</t>
        </is>
      </c>
      <c r="D10" s="9" t="inlineStr">
        <is>
          <t>IP 化年度框架</t>
        </is>
      </c>
      <c r="E10" s="8" t="inlineStr">
        <is>
          <t>档期记录</t>
        </is>
      </c>
    </row>
    <row r="12">
      <c r="A12" s="40" t="inlineStr">
        <is>
          <t>转正门槛：过渡期同时满足“活动场次 ≥ 3、营收 ≥ 60 万、毛利率 ≥ 60%、满意度 ≥ 4.5”，即由过渡期自动转为长期区域独家总代理并会签正式协议。</t>
        </is>
      </c>
      <c r="B12" s="41" t="n"/>
      <c r="C12" s="41" t="n"/>
      <c r="D12" s="41" t="n"/>
      <c r="E12" s="41" t="n"/>
    </row>
    <row r="13">
      <c r="A13" s="41" t="n"/>
      <c r="B13" s="41" t="n"/>
      <c r="C13" s="41" t="n"/>
      <c r="D13" s="41" t="n"/>
      <c r="E13" s="41" t="n"/>
    </row>
  </sheetData>
  <mergeCells count="3">
    <mergeCell ref="A2:E2"/>
    <mergeCell ref="A1:E1"/>
    <mergeCell ref="A12:E13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2026-07-01T22:32:12Z</dcterms:created>
  <dcterms:modified xmlns:dcterms="http://purl.org/dc/terms/" xmlns:xsi="http://www.w3.org/2001/XMLSchema-instance" xsi:type="dcterms:W3CDTF">2026-07-01T22:32:12Z</dcterms:modified>
</cp:coreProperties>
</file>