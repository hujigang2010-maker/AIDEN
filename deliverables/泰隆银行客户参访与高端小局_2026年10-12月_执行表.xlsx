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-总览" sheetId="1" state="visible" r:id="rId1"/>
    <sheet xmlns:r="http://schemas.openxmlformats.org/officeDocument/2006/relationships" name="01-七场日历" sheetId="2" state="visible" r:id="rId2"/>
    <sheet xmlns:r="http://schemas.openxmlformats.org/officeDocument/2006/relationships" name="02-预算模板" sheetId="3" state="visible" r:id="rId3"/>
    <sheet xmlns:r="http://schemas.openxmlformats.org/officeDocument/2006/relationships" name="03-决算闸门" sheetId="4" state="visible" r:id="rId4"/>
    <sheet xmlns:r="http://schemas.openxmlformats.org/officeDocument/2006/relationships" name="04-首场倒排" sheetId="5" state="visible" r:id="rId5"/>
    <sheet xmlns:r="http://schemas.openxmlformats.org/officeDocument/2006/relationships" name="05-后续节点" sheetId="6" state="visible" r:id="rId6"/>
    <sheet xmlns:r="http://schemas.openxmlformats.org/officeDocument/2006/relationships" name="06-即日行动" sheetId="7" state="visible" r:id="rId7"/>
    <sheet xmlns:r="http://schemas.openxmlformats.org/officeDocument/2006/relationships" name="07-客户出席回访" sheetId="8" state="visible" r:id="rId8"/>
    <sheet xmlns:r="http://schemas.openxmlformats.org/officeDocument/2006/relationships" name="08-新客跟进" sheetId="9" state="visible" r:id="rId9"/>
    <sheet xmlns:r="http://schemas.openxmlformats.org/officeDocument/2006/relationships" name="09-服务事项" sheetId="10" state="visible" r:id="rId10"/>
    <sheet xmlns:r="http://schemas.openxmlformats.org/officeDocument/2006/relationships" name="10-指标" sheetId="11" state="visible" r:id="rId11"/>
    <sheet xmlns:r="http://schemas.openxmlformats.org/officeDocument/2006/relationships" name="11-责任与人力" sheetId="12" state="visible" r:id="rId12"/>
    <sheet xmlns:r="http://schemas.openxmlformats.org/officeDocument/2006/relationships" name="12-现场检查" sheetId="13" state="visible" r:id="rId13"/>
    <sheet xmlns:r="http://schemas.openxmlformats.org/officeDocument/2006/relationships" name="13-风险与边界" sheetId="14" state="visible" r:id="rId14"/>
    <sheet xmlns:r="http://schemas.openxmlformats.org/officeDocument/2006/relationships" name="14-话术" sheetId="15" state="visible" r:id="rId15"/>
  </sheets>
  <definedNames>
    <definedName name="_xlnm._FilterDatabase" localSheetId="0" hidden="1">'00-总览'!$A$2:$E$10</definedName>
    <definedName name="_xlnm._FilterDatabase" localSheetId="1" hidden="1">'01-七场日历'!$A$2:$L$9</definedName>
    <definedName name="_xlnm._FilterDatabase" localSheetId="2" hidden="1">'02-预算模板'!$A$2:$F$9</definedName>
    <definedName name="_xlnm._FilterDatabase" localSheetId="3" hidden="1">'03-决算闸门'!$A$2:$L$9</definedName>
    <definedName name="_xlnm.Print_Titles" localSheetId="3">'03-决算闸门'!$1:$2</definedName>
    <definedName name="_xlnm._FilterDatabase" localSheetId="4" hidden="1">'04-首场倒排'!$A$2:$G$16</definedName>
    <definedName name="_xlnm._FilterDatabase" localSheetId="5" hidden="1">'05-后续节点'!$A$2:$H$9</definedName>
    <definedName name="_xlnm._FilterDatabase" localSheetId="6" hidden="1">'06-即日行动'!$A$2:$E$11</definedName>
    <definedName name="_xlnm._FilterDatabase" localSheetId="7" hidden="1">'07-客户出席回访'!$A$2:$M$83</definedName>
    <definedName name="_xlnm._FilterDatabase" localSheetId="8" hidden="1">'08-新客跟进'!$A$2:$M$43</definedName>
    <definedName name="_xlnm._FilterDatabase" localSheetId="9" hidden="1">'09-服务事项'!$A$2:$J$43</definedName>
    <definedName name="_xlnm._FilterDatabase" localSheetId="11" hidden="1">'11-责任与人力'!$A$2:$G$10</definedName>
    <definedName name="_xlnm._FilterDatabase" localSheetId="12" hidden="1">'12-现场检查'!$A$2:$E$14</definedName>
    <definedName name="_xlnm._FilterDatabase" localSheetId="13" hidden="1">'13-风险与边界'!$A$2:$D$11</definedName>
    <definedName name="_xlnm._FilterDatabase" localSheetId="14" hidden="1">'14-话术'!$A$2:$C$11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0A1E36"/>
      <sz val="14"/>
    </font>
    <font>
      <name val="微软雅黑"/>
      <b val="1"/>
      <color rgb="00FFFFFF"/>
      <sz val="11"/>
    </font>
    <font>
      <name val="微软雅黑"/>
      <sz val="10.5"/>
    </font>
    <font>
      <name val="微软雅黑"/>
      <i val="1"/>
      <color rgb="006A8490"/>
      <sz val="10"/>
    </font>
    <font>
      <name val="微软雅黑"/>
      <b val="1"/>
      <color rgb="000A1E36"/>
      <sz val="11"/>
    </font>
    <font>
      <name val="微软雅黑"/>
      <b val="1"/>
      <sz val="11"/>
    </font>
  </fonts>
  <fills count="8">
    <fill>
      <patternFill/>
    </fill>
    <fill>
      <patternFill patternType="gray125"/>
    </fill>
    <fill>
      <patternFill patternType="solid">
        <fgColor rgb="00E6EEF3"/>
      </patternFill>
    </fill>
    <fill>
      <patternFill patternType="solid">
        <fgColor rgb="000A1E36"/>
      </patternFill>
    </fill>
    <fill>
      <patternFill patternType="solid">
        <fgColor rgb="00E6F4EC"/>
      </patternFill>
    </fill>
    <fill>
      <patternFill patternType="solid">
        <fgColor rgb="00F2F6F9"/>
      </patternFill>
    </fill>
    <fill>
      <patternFill patternType="solid">
        <fgColor rgb="00F8F0E2"/>
      </patternFill>
    </fill>
    <fill>
      <patternFill patternType="solid">
        <fgColor rgb="00FDECEC"/>
      </patternFill>
    </fill>
  </fills>
  <borders count="2">
    <border>
      <left/>
      <right/>
      <top/>
      <bottom/>
      <diagonal/>
    </border>
    <border>
      <left style="thin">
        <color rgb="00B7C7CF"/>
      </left>
      <right style="thin">
        <color rgb="00B7C7CF"/>
      </right>
      <top style="thin">
        <color rgb="00B7C7CF"/>
      </top>
      <bottom style="thin">
        <color rgb="00B7C7C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wrapText="1"/>
    </xf>
    <xf numFmtId="0" fontId="6" fillId="2" borderId="1" pivotButton="0" quotePrefix="0" xfId="0"/>
    <xf numFmtId="0" fontId="4" fillId="0" borderId="0" pivotButton="0" quotePrefix="0" xfId="0"/>
    <xf numFmtId="0" fontId="0" fillId="0" borderId="1" applyAlignment="1" pivotButton="0" quotePrefix="0" xfId="0">
      <alignment vertical="center" wrapText="1"/>
    </xf>
    <xf numFmtId="9" fontId="3" fillId="0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 wrapText="1"/>
    </xf>
  </cellXfs>
  <cellStyles count="1">
    <cellStyle name="Normal" xfId="0" builtinId="0" hidden="0"/>
  </cellStyles>
  <dxfs count="4">
    <dxf>
      <font>
        <name val="微软雅黑"/>
        <b val="1"/>
        <color rgb="009C2F2F"/>
        <sz val="10.5"/>
      </font>
      <fill>
        <patternFill patternType="solid">
          <fgColor rgb="00FDECEC"/>
        </patternFill>
      </fill>
    </dxf>
    <dxf>
      <font>
        <name val="微软雅黑"/>
        <b val="1"/>
        <color rgb="001F7A4D"/>
        <sz val="10.5"/>
      </font>
      <fill>
        <patternFill patternType="solid">
          <fgColor rgb="00E6F4EC"/>
        </patternFill>
      </fill>
    </dxf>
    <dxf>
      <fill>
        <patternFill patternType="solid">
          <fgColor rgb="00FDECEC"/>
        </patternFill>
      </fill>
    </dxf>
    <dxf>
      <fill>
        <patternFill patternType="solid">
          <fgColor rgb="00E6F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A1E36"/>
    <outlinePr summaryBelow="1" summaryRight="1"/>
    <pageSetUpPr fitToPage="1"/>
  </sheetPr>
  <dimension ref="A1:E12"/>
  <sheetViews>
    <sheetView showGridLines="0" zoomScale="11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36" customWidth="1" min="3" max="3"/>
    <col width="14" customWidth="1" min="4" max="4"/>
    <col width="12" customWidth="1" min="5" max="5"/>
  </cols>
  <sheetData>
    <row r="1" ht="36" customHeight="1">
      <c r="A1" s="1" t="inlineStr">
        <is>
          <t>2026年10—12月客户参访与高端小局 · 执行总览（单场不超过5000元）</t>
        </is>
      </c>
    </row>
    <row r="2" ht="26" customHeight="1">
      <c r="A2" s="2" t="inlineStr">
        <is>
          <t>模块</t>
        </is>
      </c>
      <c r="B2" s="2" t="inlineStr">
        <is>
          <t>执行口径</t>
        </is>
      </c>
      <c r="C2" s="2" t="inlineStr">
        <is>
          <t>核对数字</t>
        </is>
      </c>
      <c r="D2" s="2" t="inlineStr">
        <is>
          <t>谁负责</t>
        </is>
      </c>
      <c r="E2" s="2" t="inlineStr">
        <is>
          <t>状态</t>
        </is>
      </c>
    </row>
    <row r="3" ht="32" customHeight="1">
      <c r="A3" s="3" t="inlineStr">
        <is>
          <t>费用</t>
        </is>
      </c>
      <c r="B3" s="3" t="inlineStr">
        <is>
          <t>每场决算 ≤5000 元，超了减项，不追加</t>
        </is>
      </c>
      <c r="C3" s="3" t="inlineStr">
        <is>
          <t>7 场合计硬顶 35000 元</t>
        </is>
      </c>
      <c r="D3" s="3" t="inlineStr">
        <is>
          <t>项目经理</t>
        </is>
      </c>
      <c r="E3" s="4" t="inlineStr">
        <is>
          <t>必须</t>
        </is>
      </c>
    </row>
    <row r="4" ht="32" customHeight="1">
      <c r="A4" s="5" t="inlineStr">
        <is>
          <t>场次</t>
        </is>
      </c>
      <c r="B4" s="5" t="inlineStr">
        <is>
          <t>10/22 起，周四下午；12 月最密</t>
        </is>
      </c>
      <c r="C4" s="5" t="inlineStr">
        <is>
          <t>参访 4 场 + 高端小局 3 场</t>
        </is>
      </c>
      <c r="D4" s="5" t="inlineStr">
        <is>
          <t>项目经理</t>
        </is>
      </c>
      <c r="E4" s="6" t="inlineStr">
        <is>
          <t>待确认</t>
        </is>
      </c>
    </row>
    <row r="5" ht="32" customHeight="1">
      <c r="A5" s="3" t="inlineStr">
        <is>
          <t>存量客户</t>
        </is>
      </c>
      <c r="B5" s="3" t="inlineStr">
        <is>
          <t>客户经理陪同，次日问感受</t>
        </is>
      </c>
      <c r="C5" s="3" t="inlineStr">
        <is>
          <t>累计不少于 60 人次，满意度 ≥90%</t>
        </is>
      </c>
      <c r="D5" s="3" t="inlineStr">
        <is>
          <t>客户经理</t>
        </is>
      </c>
      <c r="E5" s="6" t="inlineStr">
        <is>
          <t>待启动</t>
        </is>
      </c>
    </row>
    <row r="6" ht="32" customHeight="1">
      <c r="A6" s="5" t="inlineStr">
        <is>
          <t>新客户</t>
        </is>
      </c>
      <c r="B6" s="5" t="inlineStr">
        <is>
          <t>提名邀请，5 个工作日内首联</t>
        </is>
      </c>
      <c r="C6" s="5" t="inlineStr">
        <is>
          <t>到场不少于 25 家，首联率 100%</t>
        </is>
      </c>
      <c r="D6" s="5" t="inlineStr">
        <is>
          <t>客户经理</t>
        </is>
      </c>
      <c r="E6" s="6" t="inlineStr">
        <is>
          <t>待启动</t>
        </is>
      </c>
    </row>
    <row r="7" ht="32" customHeight="1">
      <c r="A7" s="3" t="inlineStr">
        <is>
          <t>场地</t>
        </is>
      </c>
      <c r="B7" s="3" t="inlineStr">
        <is>
          <t>银行贵宾室或企业现场，不租酒店</t>
        </is>
      </c>
      <c r="C7" s="3" t="inlineStr">
        <is>
          <t>场地费目标为 0</t>
        </is>
      </c>
      <c r="D7" s="3" t="inlineStr">
        <is>
          <t>会务</t>
        </is>
      </c>
      <c r="E7" s="6" t="inlineStr">
        <is>
          <t>待启动</t>
        </is>
      </c>
    </row>
    <row r="8" ht="32" customHeight="1">
      <c r="A8" s="5" t="inlineStr">
        <is>
          <t>礼品与嘉宾</t>
        </is>
      </c>
      <c r="B8" s="5" t="inlineStr">
        <is>
          <t>默认无伴手礼、无付费嘉宾、无摄影团队</t>
        </is>
      </c>
      <c r="C8" s="5" t="inlineStr">
        <is>
          <t>有例外须合规书面同意且仍 ≤5000</t>
        </is>
      </c>
      <c r="D8" s="5" t="inlineStr">
        <is>
          <t>银行合规</t>
        </is>
      </c>
      <c r="E8" s="4" t="inlineStr">
        <is>
          <t>必须</t>
        </is>
      </c>
    </row>
    <row r="9" ht="32" customHeight="1">
      <c r="A9" s="3" t="inlineStr">
        <is>
          <t>取舍</t>
        </is>
      </c>
      <c r="B9" s="3" t="inlineStr">
        <is>
          <t>陪同排不开时，11/26 并入 12/17</t>
        </is>
      </c>
      <c r="C9" s="3" t="inlineStr">
        <is>
          <t>12 月 3 场不减</t>
        </is>
      </c>
      <c r="D9" s="3" t="inlineStr">
        <is>
          <t>项目经理</t>
        </is>
      </c>
      <c r="E9" s="6" t="inlineStr">
        <is>
          <t>待确认</t>
        </is>
      </c>
    </row>
    <row r="10" ht="32" customHeight="1">
      <c r="A10" s="5" t="inlineStr">
        <is>
          <t>合规</t>
        </is>
      </c>
      <c r="B10" s="5" t="inlineStr">
        <is>
          <t>不承诺额度、利率、放款和领导出席</t>
        </is>
      </c>
      <c r="C10" s="5" t="inlineStr">
        <is>
          <t>话术按 14 表执行</t>
        </is>
      </c>
      <c r="D10" s="5" t="inlineStr">
        <is>
          <t>银行合规</t>
        </is>
      </c>
      <c r="E10" s="4" t="inlineStr">
        <is>
          <t>必须</t>
        </is>
      </c>
    </row>
    <row r="12" ht="48" customHeight="1">
      <c r="A12" s="7" t="inlineStr">
        <is>
          <t>今天为 2026-09-22。8 月、9 月上旬场次不再回补。本表不构成授信或业务承诺。</t>
        </is>
      </c>
    </row>
  </sheetData>
  <autoFilter ref="A2:E10"/>
  <mergeCells count="2">
    <mergeCell ref="A1:E1"/>
    <mergeCell ref="A12:E12"/>
  </mergeCells>
  <pageMargins left="0.4" right="0.4" top="0.6" bottom="0.5" header="0.5" footer="0.5"/>
  <pageSetup orientation="landscape" paperSize="9" fitToHeight="1" fitToWidth="1"/>
  <headerFooter>
    <oddHeader>&amp;C泰隆银行 · 2026年四季度客户参访</oddHeader>
    <oddFooter>&amp;L单场不超过5000元&amp;R第 &amp;P 页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0A1E36"/>
    <outlinePr summaryBelow="1" summaryRight="1"/>
    <pageSetUpPr fitToPage="1"/>
  </sheetPr>
  <dimension ref="A1:L11"/>
  <sheetViews>
    <sheetView showGridLines="0" zoomScale="11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8" customWidth="1" min="3" max="3"/>
    <col width="12" customWidth="1" min="4" max="4"/>
    <col width="28" customWidth="1" min="5" max="5"/>
    <col width="12" customWidth="1" min="6" max="6"/>
    <col width="10" customWidth="1" min="7" max="7"/>
    <col width="10" customWidth="1" min="8" max="8"/>
    <col width="24" customWidth="1" min="9" max="9"/>
    <col width="18" customWidth="1" min="10" max="10"/>
    <col width="12" customWidth="1" min="11" max="11"/>
    <col width="12" customWidth="1" min="12" max="12"/>
  </cols>
  <sheetData>
    <row r="1" ht="36" customHeight="1">
      <c r="A1" s="1" t="inlineStr">
        <is>
          <t>七场日历｜周四下午 13:30—16:30｜客户人数不含工作人员</t>
        </is>
      </c>
    </row>
    <row r="2" ht="26" customHeight="1">
      <c r="A2" s="2" t="inlineStr">
        <is>
          <t>序</t>
        </is>
      </c>
      <c r="B2" s="2" t="inlineStr">
        <is>
          <t>日期</t>
        </is>
      </c>
      <c r="C2" s="2" t="inlineStr">
        <is>
          <t>星期</t>
        </is>
      </c>
      <c r="D2" s="2" t="inlineStr">
        <is>
          <t>类型</t>
        </is>
      </c>
      <c r="E2" s="2" t="inlineStr">
        <is>
          <t>主题</t>
        </is>
      </c>
      <c r="F2" s="2" t="inlineStr">
        <is>
          <t>客户人数</t>
        </is>
      </c>
      <c r="G2" s="2" t="inlineStr">
        <is>
          <t>存量</t>
        </is>
      </c>
      <c r="H2" s="2" t="inlineStr">
        <is>
          <t>新客</t>
        </is>
      </c>
      <c r="I2" s="2" t="inlineStr">
        <is>
          <t>目的</t>
        </is>
      </c>
      <c r="J2" s="2" t="inlineStr">
        <is>
          <t>场地</t>
        </is>
      </c>
      <c r="K2" s="2" t="inlineStr">
        <is>
          <t>预算上限</t>
        </is>
      </c>
      <c r="L2" s="2" t="inlineStr">
        <is>
          <t>状态</t>
        </is>
      </c>
    </row>
    <row r="3" ht="30" customHeight="1">
      <c r="A3" s="3" t="n">
        <v>1</v>
      </c>
      <c r="B3" s="3" t="inlineStr">
        <is>
          <t>2026-10-22</t>
        </is>
      </c>
      <c r="C3" s="3" t="inlineStr">
        <is>
          <t>周四</t>
        </is>
      </c>
      <c r="D3" s="3" t="inlineStr">
        <is>
          <t>精品参访</t>
        </is>
      </c>
      <c r="E3" s="3" t="inlineStr">
        <is>
          <t>智能制造或具身智能企业</t>
        </is>
      </c>
      <c r="F3" s="3" t="n">
        <v>16</v>
      </c>
      <c r="G3" s="3" t="n">
        <v>12</v>
      </c>
      <c r="H3" s="3" t="n">
        <v>4</v>
      </c>
      <c r="I3" s="3" t="inlineStr">
        <is>
          <t>让老客户感到被重视</t>
        </is>
      </c>
      <c r="J3" s="3" t="inlineStr">
        <is>
          <t>企业现场</t>
        </is>
      </c>
      <c r="K3" s="3" t="n">
        <v>5000</v>
      </c>
      <c r="L3" s="6" t="inlineStr">
        <is>
          <t>待确认</t>
        </is>
      </c>
    </row>
    <row r="4" ht="30" customHeight="1">
      <c r="A4" s="5" t="n">
        <v>2</v>
      </c>
      <c r="B4" s="5" t="inlineStr">
        <is>
          <t>2026-11-05</t>
        </is>
      </c>
      <c r="C4" s="5" t="inlineStr">
        <is>
          <t>周四</t>
        </is>
      </c>
      <c r="D4" s="5" t="inlineStr">
        <is>
          <t>高端小局</t>
        </is>
      </c>
      <c r="E4" s="5" t="inlineStr">
        <is>
          <t>重点客户私享问诊</t>
        </is>
      </c>
      <c r="F4" s="5" t="n">
        <v>12</v>
      </c>
      <c r="G4" s="5" t="n">
        <v>12</v>
      </c>
      <c r="H4" s="5" t="n">
        <v>0</v>
      </c>
      <c r="I4" s="5" t="inlineStr">
        <is>
          <t>把经营问题听清楚</t>
        </is>
      </c>
      <c r="J4" s="5" t="inlineStr">
        <is>
          <t>银行贵宾室</t>
        </is>
      </c>
      <c r="K4" s="5" t="n">
        <v>5000</v>
      </c>
      <c r="L4" s="6" t="inlineStr">
        <is>
          <t>待确认</t>
        </is>
      </c>
    </row>
    <row r="5" ht="30" customHeight="1">
      <c r="A5" s="3" t="n">
        <v>3</v>
      </c>
      <c r="B5" s="3" t="inlineStr">
        <is>
          <t>2026-11-19</t>
        </is>
      </c>
      <c r="C5" s="3" t="inlineStr">
        <is>
          <t>周四</t>
        </is>
      </c>
      <c r="D5" s="3" t="inlineStr">
        <is>
          <t>精品参访</t>
        </is>
      </c>
      <c r="E5" s="3" t="inlineStr">
        <is>
          <t>链主企业或AI应用现场</t>
        </is>
      </c>
      <c r="F5" s="3" t="n">
        <v>16</v>
      </c>
      <c r="G5" s="3" t="n">
        <v>10</v>
      </c>
      <c r="H5" s="3" t="n">
        <v>6</v>
      </c>
      <c r="I5" s="3" t="inlineStr">
        <is>
          <t>老客户带新客户</t>
        </is>
      </c>
      <c r="J5" s="3" t="inlineStr">
        <is>
          <t>企业现场</t>
        </is>
      </c>
      <c r="K5" s="3" t="n">
        <v>5000</v>
      </c>
      <c r="L5" s="6" t="inlineStr">
        <is>
          <t>待确认</t>
        </is>
      </c>
    </row>
    <row r="6" ht="30" customHeight="1">
      <c r="A6" s="5" t="n">
        <v>4</v>
      </c>
      <c r="B6" s="5" t="inlineStr">
        <is>
          <t>2026-11-26</t>
        </is>
      </c>
      <c r="C6" s="5" t="inlineStr">
        <is>
          <t>周四</t>
        </is>
      </c>
      <c r="D6" s="5" t="inlineStr">
        <is>
          <t>高端小局</t>
        </is>
      </c>
      <c r="E6" s="5" t="inlineStr">
        <is>
          <t>意向新客闭门局</t>
        </is>
      </c>
      <c r="F6" s="5" t="n">
        <v>12</v>
      </c>
      <c r="G6" s="5" t="n">
        <v>4</v>
      </c>
      <c r="H6" s="5" t="n">
        <v>8</v>
      </c>
      <c r="I6" s="5" t="inlineStr">
        <is>
          <t>新客户建立信任</t>
        </is>
      </c>
      <c r="J6" s="5" t="inlineStr">
        <is>
          <t>银行贵宾室</t>
        </is>
      </c>
      <c r="K6" s="5" t="n">
        <v>5000</v>
      </c>
      <c r="L6" s="6" t="inlineStr">
        <is>
          <t>待确认</t>
        </is>
      </c>
    </row>
    <row r="7" ht="30" customHeight="1">
      <c r="A7" s="3" t="n">
        <v>5</v>
      </c>
      <c r="B7" s="3" t="inlineStr">
        <is>
          <t>2026-12-03</t>
        </is>
      </c>
      <c r="C7" s="3" t="inlineStr">
        <is>
          <t>周四</t>
        </is>
      </c>
      <c r="D7" s="3" t="inlineStr">
        <is>
          <t>精品参访</t>
        </is>
      </c>
      <c r="E7" s="3" t="inlineStr">
        <is>
          <t>跨境窗口或园区</t>
        </is>
      </c>
      <c r="F7" s="3" t="n">
        <v>16</v>
      </c>
      <c r="G7" s="3" t="n">
        <v>10</v>
      </c>
      <c r="H7" s="3" t="n">
        <v>6</v>
      </c>
      <c r="I7" s="3" t="inlineStr">
        <is>
          <t>把出海变成看得见</t>
        </is>
      </c>
      <c r="J7" s="3" t="inlineStr">
        <is>
          <t>园区或机构现场</t>
        </is>
      </c>
      <c r="K7" s="3" t="n">
        <v>5000</v>
      </c>
      <c r="L7" s="6" t="inlineStr">
        <is>
          <t>待确认</t>
        </is>
      </c>
    </row>
    <row r="8" ht="30" customHeight="1">
      <c r="A8" s="5" t="n">
        <v>6</v>
      </c>
      <c r="B8" s="5" t="inlineStr">
        <is>
          <t>2026-12-10</t>
        </is>
      </c>
      <c r="C8" s="5" t="inlineStr">
        <is>
          <t>周四</t>
        </is>
      </c>
      <c r="D8" s="5" t="inlineStr">
        <is>
          <t>精品参访</t>
        </is>
      </c>
      <c r="E8" s="5" t="inlineStr">
        <is>
          <t>客户点名的标杆企业</t>
        </is>
      </c>
      <c r="F8" s="5" t="n">
        <v>18</v>
      </c>
      <c r="G8" s="5" t="n">
        <v>18</v>
      </c>
      <c r="H8" s="5" t="n">
        <v>0</v>
      </c>
      <c r="I8" s="5" t="inlineStr">
        <is>
          <t>年底答谢</t>
        </is>
      </c>
      <c r="J8" s="5" t="inlineStr">
        <is>
          <t>企业现场</t>
        </is>
      </c>
      <c r="K8" s="5" t="n">
        <v>5000</v>
      </c>
      <c r="L8" s="6" t="inlineStr">
        <is>
          <t>待确认</t>
        </is>
      </c>
    </row>
    <row r="9" ht="30" customHeight="1">
      <c r="A9" s="3" t="n">
        <v>7</v>
      </c>
      <c r="B9" s="3" t="inlineStr">
        <is>
          <t>2026-12-17</t>
        </is>
      </c>
      <c r="C9" s="3" t="inlineStr">
        <is>
          <t>周四</t>
        </is>
      </c>
      <c r="D9" s="3" t="inlineStr">
        <is>
          <t>高端小局</t>
        </is>
      </c>
      <c r="E9" s="3" t="inlineStr">
        <is>
          <t>年度收官与次年预约</t>
        </is>
      </c>
      <c r="F9" s="3" t="n">
        <v>16</v>
      </c>
      <c r="G9" s="3" t="n">
        <v>10</v>
      </c>
      <c r="H9" s="3" t="n">
        <v>6</v>
      </c>
      <c r="I9" s="3" t="inlineStr">
        <is>
          <t>感谢并约下一次</t>
        </is>
      </c>
      <c r="J9" s="3" t="inlineStr">
        <is>
          <t>银行贵宾室</t>
        </is>
      </c>
      <c r="K9" s="3" t="n">
        <v>5000</v>
      </c>
      <c r="L9" s="6" t="inlineStr">
        <is>
          <t>待确认</t>
        </is>
      </c>
    </row>
    <row r="11" ht="48" customHeight="1">
      <c r="A11" s="7" t="inlineStr">
        <is>
          <t>相邻两场名单默认不重复。一位存量客户全季度被邀请不超过 3 次。11/26 若陪同排不开，并入 12/17，12 月场次不减。</t>
        </is>
      </c>
    </row>
  </sheetData>
  <autoFilter ref="A2:L9"/>
  <mergeCells count="2">
    <mergeCell ref="A11:L11"/>
    <mergeCell ref="A1:L1"/>
  </mergeCells>
  <pageMargins left="0.4" right="0.4" top="0.6" bottom="0.5" header="0.5" footer="0.5"/>
  <pageSetup orientation="landscape" paperSize="9" fitToHeight="1" fitToWidth="1"/>
  <headerFooter>
    <oddHeader>&amp;C泰隆银行 · 2026年四季度客户参访</oddHeader>
    <oddFooter>&amp;L单场不超过5000元&amp;R第 &amp;P 页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0A1E36"/>
    <outlinePr summaryBelow="1" summaryRight="1"/>
    <pageSetUpPr fitToPage="1"/>
  </sheetPr>
  <dimension ref="A1:F11"/>
  <sheetViews>
    <sheetView showGridLines="0" zoomScale="11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6" customWidth="1" min="4" max="4"/>
    <col width="16" customWidth="1" min="5" max="5"/>
    <col width="42" customWidth="1" min="6" max="6"/>
  </cols>
  <sheetData>
    <row r="1" ht="36" customHeight="1">
      <c r="A1" s="1" t="inlineStr">
        <is>
          <t>三套预算模板（元）｜单项可调，合计不得超过 5000</t>
        </is>
      </c>
    </row>
    <row r="2" ht="26" customHeight="1">
      <c r="A2" s="2" t="inlineStr">
        <is>
          <t>费用项</t>
        </is>
      </c>
      <c r="B2" s="2" t="inlineStr">
        <is>
          <t>参访16人</t>
        </is>
      </c>
      <c r="C2" s="2" t="inlineStr">
        <is>
          <t>高端小局12人</t>
        </is>
      </c>
      <c r="D2" s="2" t="inlineStr">
        <is>
          <t>收官小局16人</t>
        </is>
      </c>
      <c r="E2" s="2" t="inlineStr">
        <is>
          <t>能不能动</t>
        </is>
      </c>
      <c r="F2" s="2" t="inlineStr">
        <is>
          <t>说明</t>
        </is>
      </c>
    </row>
    <row r="3" ht="30" customHeight="1">
      <c r="A3" s="3" t="inlineStr">
        <is>
          <t>场地</t>
        </is>
      </c>
      <c r="B3" s="3" t="n">
        <v>0</v>
      </c>
      <c r="C3" s="3" t="n">
        <v>0</v>
      </c>
      <c r="D3" s="3" t="n">
        <v>0</v>
      </c>
      <c r="E3" s="3" t="inlineStr">
        <is>
          <t>固定为0</t>
        </is>
      </c>
      <c r="F3" s="3" t="inlineStr">
        <is>
          <t>企业现场或银行贵宾室，不租酒店</t>
        </is>
      </c>
    </row>
    <row r="4" ht="30" customHeight="1">
      <c r="A4" s="5" t="inlineStr">
        <is>
          <t>交通</t>
        </is>
      </c>
      <c r="B4" s="5" t="n">
        <v>1800</v>
      </c>
      <c r="C4" s="5" t="n">
        <v>0</v>
      </c>
      <c r="D4" s="5" t="n">
        <v>0</v>
      </c>
      <c r="E4" s="5" t="inlineStr">
        <is>
          <t>参访可调</t>
        </is>
      </c>
      <c r="F4" s="5" t="inlineStr">
        <is>
          <t>商务车或公共交通，按实际票据</t>
        </is>
      </c>
    </row>
    <row r="5" ht="30" customHeight="1">
      <c r="A5" s="3" t="inlineStr">
        <is>
          <t>茶水或茶叙</t>
        </is>
      </c>
      <c r="B5" s="3" t="n">
        <v>600</v>
      </c>
      <c r="C5" s="3" t="n">
        <v>1800</v>
      </c>
      <c r="D5" s="3" t="n">
        <v>2400</v>
      </c>
      <c r="E5" s="3" t="inlineStr">
        <is>
          <t>可减不可加过线</t>
        </is>
      </c>
      <c r="F5" s="3" t="inlineStr">
        <is>
          <t>小局按约150元/人，不上宴请</t>
        </is>
      </c>
    </row>
    <row r="6" ht="30" customHeight="1">
      <c r="A6" s="5" t="inlineStr">
        <is>
          <t>物料</t>
        </is>
      </c>
      <c r="B6" s="5" t="n">
        <v>400</v>
      </c>
      <c r="C6" s="5" t="n">
        <v>300</v>
      </c>
      <c r="D6" s="5" t="n">
        <v>400</v>
      </c>
      <c r="E6" s="5" t="inlineStr">
        <is>
          <t>可减</t>
        </is>
      </c>
      <c r="F6" s="5" t="inlineStr">
        <is>
          <t>行程单、胸卡、服务卡，数字材料优先</t>
        </is>
      </c>
    </row>
    <row r="7" ht="30" customHeight="1">
      <c r="A7" s="3" t="inlineStr">
        <is>
          <t>应急</t>
        </is>
      </c>
      <c r="B7" s="3" t="n">
        <v>400</v>
      </c>
      <c r="C7" s="3" t="n">
        <v>400</v>
      </c>
      <c r="D7" s="3" t="n">
        <v>400</v>
      </c>
      <c r="E7" s="3" t="inlineStr">
        <is>
          <t>不用不花</t>
        </is>
      </c>
      <c r="F7" s="3" t="inlineStr">
        <is>
          <t>只在现场发生时动用</t>
        </is>
      </c>
    </row>
    <row r="8" ht="30" customHeight="1">
      <c r="A8" s="5" t="inlineStr">
        <is>
          <t>建议合计</t>
        </is>
      </c>
      <c r="B8" s="5" t="n">
        <v>3200</v>
      </c>
      <c r="C8" s="5" t="n">
        <v>2500</v>
      </c>
      <c r="D8" s="5" t="n">
        <v>3200</v>
      </c>
      <c r="E8" s="5" t="inlineStr">
        <is>
          <t>低于硬顶</t>
        </is>
      </c>
      <c r="F8" s="5" t="inlineStr">
        <is>
          <t>余量不主动花完</t>
        </is>
      </c>
    </row>
    <row r="9" ht="30" customHeight="1">
      <c r="A9" s="3" t="inlineStr">
        <is>
          <t>硬顶</t>
        </is>
      </c>
      <c r="B9" s="3" t="n">
        <v>5000</v>
      </c>
      <c r="C9" s="3" t="n">
        <v>5000</v>
      </c>
      <c r="D9" s="3" t="n">
        <v>5000</v>
      </c>
      <c r="E9" s="3" t="inlineStr">
        <is>
          <t>不可突破</t>
        </is>
      </c>
      <c r="F9" s="3" t="inlineStr">
        <is>
          <t>伴手礼、付费嘉宾、摄影团队默认不做</t>
        </is>
      </c>
    </row>
    <row r="11" ht="48" customHeight="1">
      <c r="A11" s="7" t="inlineStr">
        <is>
          <t>若合规书面同意采购伴手礼，从余量列支，整场仍不得超过 5000 元。</t>
        </is>
      </c>
    </row>
  </sheetData>
  <autoFilter ref="A2:F9"/>
  <mergeCells count="2">
    <mergeCell ref="A11:F11"/>
    <mergeCell ref="A1:F1"/>
  </mergeCells>
  <pageMargins left="0.4" right="0.4" top="0.6" bottom="0.5" header="0.5" footer="0.5"/>
  <pageSetup orientation="landscape" paperSize="9" fitToHeight="1" fitToWidth="1"/>
  <headerFooter>
    <oddHeader>&amp;C泰隆银行 · 2026年四季度客户参访</oddHeader>
    <oddFooter>&amp;L单场不超过5000元&amp;R第 &amp;P 页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C98A2A"/>
    <outlinePr summaryBelow="1" summaryRight="1"/>
    <pageSetUpPr fitToPage="1"/>
  </sheetPr>
  <dimension ref="A1:L12"/>
  <sheetViews>
    <sheetView showGridLines="0" zoomScale="11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  <col width="14" customWidth="1" min="11" max="11"/>
    <col width="28" customWidth="1" min="12" max="12"/>
  </cols>
  <sheetData>
    <row r="1" ht="36" customHeight="1">
      <c r="A1" s="8" t="inlineStr">
        <is>
          <t>单场决算闸门｜填写实际金额后自动判定｜任一科目或合计大于 5000 即超支</t>
        </is>
      </c>
    </row>
    <row r="2" ht="26" customHeight="1">
      <c r="A2" s="2" t="inlineStr">
        <is>
          <t>场次</t>
        </is>
      </c>
      <c r="B2" s="2" t="inlineStr">
        <is>
          <t>日期</t>
        </is>
      </c>
      <c r="C2" s="2" t="inlineStr">
        <is>
          <t>类型</t>
        </is>
      </c>
      <c r="D2" s="2" t="inlineStr">
        <is>
          <t>场地</t>
        </is>
      </c>
      <c r="E2" s="2" t="inlineStr">
        <is>
          <t>交通</t>
        </is>
      </c>
      <c r="F2" s="2" t="inlineStr">
        <is>
          <t>茶歇</t>
        </is>
      </c>
      <c r="G2" s="2" t="inlineStr">
        <is>
          <t>物料</t>
        </is>
      </c>
      <c r="H2" s="2" t="inlineStr">
        <is>
          <t>应急</t>
        </is>
      </c>
      <c r="I2" s="2" t="inlineStr">
        <is>
          <t>其他</t>
        </is>
      </c>
      <c r="J2" s="2" t="inlineStr">
        <is>
          <t>合计</t>
        </is>
      </c>
      <c r="K2" s="2" t="inlineStr">
        <is>
          <t>判定</t>
        </is>
      </c>
      <c r="L2" s="2" t="inlineStr">
        <is>
          <t>超支后的动作</t>
        </is>
      </c>
    </row>
    <row r="3" ht="24" customHeight="1">
      <c r="A3" s="9" t="inlineStr">
        <is>
          <t>10/22 参访</t>
        </is>
      </c>
      <c r="B3" s="9" t="inlineStr">
        <is>
          <t>2026-10-22</t>
        </is>
      </c>
      <c r="C3" s="9" t="inlineStr">
        <is>
          <t>精品参访</t>
        </is>
      </c>
      <c r="D3" s="9" t="n"/>
      <c r="E3" s="9" t="n"/>
      <c r="F3" s="9" t="n"/>
      <c r="G3" s="9" t="n"/>
      <c r="H3" s="9" t="n"/>
      <c r="I3" s="9" t="n"/>
      <c r="J3" s="9">
        <f>SUM(D3:I3)</f>
        <v/>
      </c>
      <c r="K3" s="9">
        <f>IF(COUNT(D3:I3)=0,"待填",IF(J3&gt;5000,"超支","合格"))</f>
        <v/>
      </c>
      <c r="L3" s="9">
        <f>IF(K3="超支","下一场改为零采购","")</f>
        <v/>
      </c>
    </row>
    <row r="4" ht="24" customHeight="1">
      <c r="A4" s="9" t="inlineStr">
        <is>
          <t>11/5 小局</t>
        </is>
      </c>
      <c r="B4" s="9" t="inlineStr">
        <is>
          <t>2026-11-05</t>
        </is>
      </c>
      <c r="C4" s="9" t="inlineStr">
        <is>
          <t>高端小局</t>
        </is>
      </c>
      <c r="D4" s="9" t="n"/>
      <c r="E4" s="9" t="n"/>
      <c r="F4" s="9" t="n"/>
      <c r="G4" s="9" t="n"/>
      <c r="H4" s="9" t="n"/>
      <c r="I4" s="9" t="n"/>
      <c r="J4" s="9">
        <f>SUM(D4:I4)</f>
        <v/>
      </c>
      <c r="K4" s="9">
        <f>IF(COUNT(D4:I4)=0,"待填",IF(J4&gt;5000,"超支","合格"))</f>
        <v/>
      </c>
      <c r="L4" s="9">
        <f>IF(K4="超支","下一场改为零采购","")</f>
        <v/>
      </c>
    </row>
    <row r="5" ht="24" customHeight="1">
      <c r="A5" s="9" t="inlineStr">
        <is>
          <t>11/19 参访</t>
        </is>
      </c>
      <c r="B5" s="9" t="inlineStr">
        <is>
          <t>2026-11-19</t>
        </is>
      </c>
      <c r="C5" s="9" t="inlineStr">
        <is>
          <t>精品参访</t>
        </is>
      </c>
      <c r="D5" s="9" t="n"/>
      <c r="E5" s="9" t="n"/>
      <c r="F5" s="9" t="n"/>
      <c r="G5" s="9" t="n"/>
      <c r="H5" s="9" t="n"/>
      <c r="I5" s="9" t="n"/>
      <c r="J5" s="9">
        <f>SUM(D5:I5)</f>
        <v/>
      </c>
      <c r="K5" s="9">
        <f>IF(COUNT(D5:I5)=0,"待填",IF(J5&gt;5000,"超支","合格"))</f>
        <v/>
      </c>
      <c r="L5" s="9">
        <f>IF(K5="超支","下一场改为零采购","")</f>
        <v/>
      </c>
    </row>
    <row r="6" ht="24" customHeight="1">
      <c r="A6" s="9" t="inlineStr">
        <is>
          <t>11/26 小局</t>
        </is>
      </c>
      <c r="B6" s="9" t="inlineStr">
        <is>
          <t>2026-11-26</t>
        </is>
      </c>
      <c r="C6" s="9" t="inlineStr">
        <is>
          <t>高端小局</t>
        </is>
      </c>
      <c r="D6" s="9" t="n"/>
      <c r="E6" s="9" t="n"/>
      <c r="F6" s="9" t="n"/>
      <c r="G6" s="9" t="n"/>
      <c r="H6" s="9" t="n"/>
      <c r="I6" s="9" t="n"/>
      <c r="J6" s="9">
        <f>SUM(D6:I6)</f>
        <v/>
      </c>
      <c r="K6" s="9">
        <f>IF(COUNT(D6:I6)=0,"待填",IF(J6&gt;5000,"超支","合格"))</f>
        <v/>
      </c>
      <c r="L6" s="9">
        <f>IF(K6="超支","下一场改为零采购","")</f>
        <v/>
      </c>
    </row>
    <row r="7" ht="24" customHeight="1">
      <c r="A7" s="9" t="inlineStr">
        <is>
          <t>12/3 参访</t>
        </is>
      </c>
      <c r="B7" s="9" t="inlineStr">
        <is>
          <t>2026-12-03</t>
        </is>
      </c>
      <c r="C7" s="9" t="inlineStr">
        <is>
          <t>精品参访</t>
        </is>
      </c>
      <c r="D7" s="9" t="n"/>
      <c r="E7" s="9" t="n"/>
      <c r="F7" s="9" t="n"/>
      <c r="G7" s="9" t="n"/>
      <c r="H7" s="9" t="n"/>
      <c r="I7" s="9" t="n"/>
      <c r="J7" s="9">
        <f>SUM(D7:I7)</f>
        <v/>
      </c>
      <c r="K7" s="9">
        <f>IF(COUNT(D7:I7)=0,"待填",IF(J7&gt;5000,"超支","合格"))</f>
        <v/>
      </c>
      <c r="L7" s="9">
        <f>IF(K7="超支","下一场改为零采购","")</f>
        <v/>
      </c>
    </row>
    <row r="8" ht="24" customHeight="1">
      <c r="A8" s="9" t="inlineStr">
        <is>
          <t>12/10 参访</t>
        </is>
      </c>
      <c r="B8" s="9" t="inlineStr">
        <is>
          <t>2026-12-10</t>
        </is>
      </c>
      <c r="C8" s="9" t="inlineStr">
        <is>
          <t>精品参访</t>
        </is>
      </c>
      <c r="D8" s="9" t="n"/>
      <c r="E8" s="9" t="n"/>
      <c r="F8" s="9" t="n"/>
      <c r="G8" s="9" t="n"/>
      <c r="H8" s="9" t="n"/>
      <c r="I8" s="9" t="n"/>
      <c r="J8" s="9">
        <f>SUM(D8:I8)</f>
        <v/>
      </c>
      <c r="K8" s="9">
        <f>IF(COUNT(D8:I8)=0,"待填",IF(J8&gt;5000,"超支","合格"))</f>
        <v/>
      </c>
      <c r="L8" s="9">
        <f>IF(K8="超支","下一场改为零采购","")</f>
        <v/>
      </c>
    </row>
    <row r="9" ht="24" customHeight="1">
      <c r="A9" s="9" t="inlineStr">
        <is>
          <t>12/17 收官</t>
        </is>
      </c>
      <c r="B9" s="9" t="inlineStr">
        <is>
          <t>2026-12-17</t>
        </is>
      </c>
      <c r="C9" s="9" t="inlineStr">
        <is>
          <t>高端小局</t>
        </is>
      </c>
      <c r="D9" s="9" t="n"/>
      <c r="E9" s="9" t="n"/>
      <c r="F9" s="9" t="n"/>
      <c r="G9" s="9" t="n"/>
      <c r="H9" s="9" t="n"/>
      <c r="I9" s="9" t="n"/>
      <c r="J9" s="9">
        <f>SUM(D9:I9)</f>
        <v/>
      </c>
      <c r="K9" s="9">
        <f>IF(COUNT(D9:I9)=0,"待填",IF(J9&gt;5000,"超支","合格"))</f>
        <v/>
      </c>
      <c r="L9" s="9">
        <f>IF(K9="超支","下一场改为零采购","")</f>
        <v/>
      </c>
    </row>
    <row r="10" ht="26" customHeight="1">
      <c r="A10" s="10" t="inlineStr">
        <is>
          <t>七场合计</t>
        </is>
      </c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>
        <f>SUM(J3:J9)</f>
        <v/>
      </c>
      <c r="K10" s="10">
        <f>IF(J10&gt;35000,"超全年硬顶","全年硬顶内")</f>
        <v/>
      </c>
      <c r="L10" s="10" t="n"/>
    </row>
    <row r="12" ht="36" customHeight="1">
      <c r="A12" s="11" t="inlineStr">
        <is>
          <t>填写 D–I 列实际支出。合计大于 5000 时判定为超支，下一场只保留零成本场地和自带茶水。其他列请不要写入礼品，除非合规已书面同意。</t>
        </is>
      </c>
    </row>
  </sheetData>
  <autoFilter ref="A2:L9"/>
  <mergeCells count="2">
    <mergeCell ref="A1:L1"/>
    <mergeCell ref="A12:L12"/>
  </mergeCells>
  <conditionalFormatting sqref="K3:K9">
    <cfRule type="expression" priority="1" dxfId="0">
      <formula>K3="超支"</formula>
    </cfRule>
    <cfRule type="expression" priority="2" dxfId="1">
      <formula>K3="合格"</formula>
    </cfRule>
  </conditionalFormatting>
  <conditionalFormatting sqref="J3:J9">
    <cfRule type="cellIs" priority="3" operator="greaterThan" dxfId="2">
      <formula>5000</formula>
    </cfRule>
  </conditionalFormatting>
  <dataValidations count="1">
    <dataValidation sqref="D3:I9" showDropDown="0" showInputMessage="0" showErrorMessage="0" allowBlank="1" errorTitle="金额" error="金额不能为负" type="decimal" operator="greaterThanOrEqual">
      <formula1>0</formula1>
    </dataValidation>
  </dataValidations>
  <pageMargins left="0.4" right="0.4" top="0.6" bottom="0.5" header="0.5" footer="0.5"/>
  <pageSetup orientation="landscape" paperSize="9" fitToHeight="1" fitToWidth="1"/>
  <headerFooter>
    <oddHeader>&amp;L泰隆银行客户参访决算闸门&amp;C泰隆银行 · 2026年四季度客户参访</oddHeader>
    <oddFooter>&amp;L单场不超过5000元&amp;R第 &amp;P 页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0A1E36"/>
    <outlinePr summaryBelow="1" summaryRight="1"/>
    <pageSetUpPr fitToPage="1"/>
  </sheetPr>
  <dimension ref="A1:G18"/>
  <sheetViews>
    <sheetView showGridLines="0" zoomScale="11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48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 ht="36" customHeight="1">
      <c r="A1" s="1" t="inlineStr">
        <is>
          <t>第一场 10月22日参访倒排｜自 9月23日启动</t>
        </is>
      </c>
    </row>
    <row r="2" ht="26" customHeight="1">
      <c r="A2" s="2" t="inlineStr">
        <is>
          <t>日期</t>
        </is>
      </c>
      <c r="B2" s="2" t="inlineStr">
        <is>
          <t>星期</t>
        </is>
      </c>
      <c r="C2" s="2" t="inlineStr">
        <is>
          <t>动作</t>
        </is>
      </c>
      <c r="D2" s="2" t="inlineStr">
        <is>
          <t>交付物</t>
        </is>
      </c>
      <c r="E2" s="2" t="inlineStr">
        <is>
          <t>负责人角色</t>
        </is>
      </c>
      <c r="F2" s="2" t="inlineStr">
        <is>
          <t>姓名</t>
        </is>
      </c>
      <c r="G2" s="2" t="inlineStr">
        <is>
          <t>状态</t>
        </is>
      </c>
    </row>
    <row r="3" ht="28" customHeight="1">
      <c r="A3" s="3" t="inlineStr">
        <is>
          <t>2026-09-23</t>
        </is>
      </c>
      <c r="B3" s="3" t="inlineStr">
        <is>
          <t>周三</t>
        </is>
      </c>
      <c r="C3" s="3" t="inlineStr">
        <is>
          <t>确认 7 场框架和单场 5000 元硬顶</t>
        </is>
      </c>
      <c r="D3" s="3" t="inlineStr">
        <is>
          <t>会议纪要</t>
        </is>
      </c>
      <c r="E3" s="3" t="inlineStr">
        <is>
          <t>四方联系人</t>
        </is>
      </c>
      <c r="F3" s="3" t="inlineStr"/>
      <c r="G3" s="6" t="inlineStr">
        <is>
          <t>待启动</t>
        </is>
      </c>
    </row>
    <row r="4" ht="28" customHeight="1">
      <c r="A4" s="5" t="inlineStr">
        <is>
          <t>2026-09-24</t>
        </is>
      </c>
      <c r="B4" s="5" t="inlineStr">
        <is>
          <t>周四</t>
        </is>
      </c>
      <c r="C4" s="5" t="inlineStr">
        <is>
          <t>每位客户经理提交重点客户 8 家、意向新客 5 家</t>
        </is>
      </c>
      <c r="D4" s="5" t="inlineStr">
        <is>
          <t>客户名单</t>
        </is>
      </c>
      <c r="E4" s="5" t="inlineStr">
        <is>
          <t>客户经理</t>
        </is>
      </c>
      <c r="F4" s="5" t="inlineStr"/>
      <c r="G4" s="6" t="inlineStr">
        <is>
          <t>待启动</t>
        </is>
      </c>
    </row>
    <row r="5" ht="28" customHeight="1">
      <c r="A5" s="3" t="inlineStr">
        <is>
          <t>2026-09-28</t>
        </is>
      </c>
      <c r="B5" s="3" t="inlineStr">
        <is>
          <t>周一</t>
        </is>
      </c>
      <c r="C5" s="3" t="inlineStr">
        <is>
          <t>储备至少 3 家零场地费、愿意接待的企业</t>
        </is>
      </c>
      <c r="D5" s="3" t="inlineStr">
        <is>
          <t>候选企业名单</t>
        </is>
      </c>
      <c r="E5" s="3" t="inlineStr">
        <is>
          <t>项目办/科企联</t>
        </is>
      </c>
      <c r="F5" s="3" t="inlineStr"/>
      <c r="G5" s="6" t="inlineStr">
        <is>
          <t>待启动</t>
        </is>
      </c>
    </row>
    <row r="6" ht="28" customHeight="1">
      <c r="A6" s="5" t="inlineStr">
        <is>
          <t>2026-09-30</t>
        </is>
      </c>
      <c r="B6" s="5" t="inlineStr">
        <is>
          <t>周三</t>
        </is>
      </c>
      <c r="C6" s="5" t="inlineStr">
        <is>
          <t>合规确认邀约话术；默认不采购伴手礼</t>
        </is>
      </c>
      <c r="D6" s="5" t="inlineStr">
        <is>
          <t>口径确认</t>
        </is>
      </c>
      <c r="E6" s="5" t="inlineStr">
        <is>
          <t>银行合规</t>
        </is>
      </c>
      <c r="F6" s="5" t="inlineStr"/>
      <c r="G6" s="6" t="inlineStr">
        <is>
          <t>待启动</t>
        </is>
      </c>
    </row>
    <row r="7" ht="28" customHeight="1">
      <c r="A7" s="3" t="inlineStr">
        <is>
          <t>2026-10-08</t>
        </is>
      </c>
      <c r="B7" s="3" t="inlineStr">
        <is>
          <t>周四</t>
        </is>
      </c>
      <c r="C7" s="3" t="inlineStr">
        <is>
          <t>国庆后敲定 10/22 被访企业、线路和客户名单</t>
        </is>
      </c>
      <c r="D7" s="3" t="inlineStr">
        <is>
          <t>任务书一页</t>
        </is>
      </c>
      <c r="E7" s="3" t="inlineStr">
        <is>
          <t>项目经理</t>
        </is>
      </c>
      <c r="F7" s="3" t="inlineStr"/>
      <c r="G7" s="6" t="inlineStr">
        <is>
          <t>待启动</t>
        </is>
      </c>
    </row>
    <row r="8" ht="28" customHeight="1">
      <c r="A8" s="5" t="inlineStr">
        <is>
          <t>2026-10-09</t>
        </is>
      </c>
      <c r="B8" s="5" t="inlineStr">
        <is>
          <t>周五</t>
        </is>
      </c>
      <c r="C8" s="5" t="inlineStr">
        <is>
          <t>客户经理一对一发出邀请，不在公开群海投</t>
        </is>
      </c>
      <c r="D8" s="5" t="inlineStr">
        <is>
          <t>邀约记录</t>
        </is>
      </c>
      <c r="E8" s="5" t="inlineStr">
        <is>
          <t>客户经理</t>
        </is>
      </c>
      <c r="F8" s="5" t="inlineStr"/>
      <c r="G8" s="6" t="inlineStr">
        <is>
          <t>待启动</t>
        </is>
      </c>
    </row>
    <row r="9" ht="28" customHeight="1">
      <c r="A9" s="3" t="inlineStr">
        <is>
          <t>2026-10-14</t>
        </is>
      </c>
      <c r="B9" s="3" t="inlineStr">
        <is>
          <t>周三</t>
        </is>
      </c>
      <c r="C9" s="3" t="inlineStr">
        <is>
          <t>确认名单：存量约 12 人、新客约 4 人</t>
        </is>
      </c>
      <c r="D9" s="3" t="inlineStr">
        <is>
          <t>出席名单</t>
        </is>
      </c>
      <c r="E9" s="3" t="inlineStr">
        <is>
          <t>项目经理</t>
        </is>
      </c>
      <c r="F9" s="3" t="inlineStr"/>
      <c r="G9" s="6" t="inlineStr">
        <is>
          <t>待启动</t>
        </is>
      </c>
    </row>
    <row r="10" ht="28" customHeight="1">
      <c r="A10" s="5" t="inlineStr">
        <is>
          <t>2026-10-16</t>
        </is>
      </c>
      <c r="B10" s="5" t="inlineStr">
        <is>
          <t>周五</t>
        </is>
      </c>
      <c r="C10" s="5" t="inlineStr">
        <is>
          <t>客户经理陪同表；服务卡印制不超过物料预算</t>
        </is>
      </c>
      <c r="D10" s="5" t="inlineStr">
        <is>
          <t>陪同表</t>
        </is>
      </c>
      <c r="E10" s="5" t="inlineStr">
        <is>
          <t>项目办</t>
        </is>
      </c>
      <c r="F10" s="5" t="inlineStr"/>
      <c r="G10" s="6" t="inlineStr">
        <is>
          <t>待启动</t>
        </is>
      </c>
    </row>
    <row r="11" ht="28" customHeight="1">
      <c r="A11" s="3" t="inlineStr">
        <is>
          <t>2026-10-19</t>
        </is>
      </c>
      <c r="B11" s="3" t="inlineStr">
        <is>
          <t>周一</t>
        </is>
      </c>
      <c r="C11" s="3" t="inlineStr">
        <is>
          <t>预走访：动线 90 分钟、无拍摄区、安全口</t>
        </is>
      </c>
      <c r="D11" s="3" t="inlineStr">
        <is>
          <t>预走访记录</t>
        </is>
      </c>
      <c r="E11" s="3" t="inlineStr">
        <is>
          <t>会务</t>
        </is>
      </c>
      <c r="F11" s="3" t="inlineStr"/>
      <c r="G11" s="6" t="inlineStr">
        <is>
          <t>待启动</t>
        </is>
      </c>
    </row>
    <row r="12" ht="28" customHeight="1">
      <c r="A12" s="5" t="inlineStr">
        <is>
          <t>2026-10-21</t>
        </is>
      </c>
      <c r="B12" s="5" t="inlineStr">
        <is>
          <t>周三</t>
        </is>
      </c>
      <c r="C12" s="5" t="inlineStr">
        <is>
          <t>电话确认到场；核对交通安排仍在预算内</t>
        </is>
      </c>
      <c r="D12" s="5" t="inlineStr">
        <is>
          <t>到场确认</t>
        </is>
      </c>
      <c r="E12" s="5" t="inlineStr">
        <is>
          <t>客户经理</t>
        </is>
      </c>
      <c r="F12" s="5" t="inlineStr"/>
      <c r="G12" s="6" t="inlineStr">
        <is>
          <t>待启动</t>
        </is>
      </c>
    </row>
    <row r="13" ht="28" customHeight="1">
      <c r="A13" s="3" t="inlineStr">
        <is>
          <t>2026-10-22</t>
        </is>
      </c>
      <c r="B13" s="3" t="inlineStr">
        <is>
          <t>周四</t>
        </is>
      </c>
      <c r="C13" s="3" t="inlineStr">
        <is>
          <t>13:30—16:30 参访；离场前完成服务卡</t>
        </is>
      </c>
      <c r="D13" s="3" t="inlineStr">
        <is>
          <t>服务卡</t>
        </is>
      </c>
      <c r="E13" s="3" t="inlineStr">
        <is>
          <t>全体陪同</t>
        </is>
      </c>
      <c r="F13" s="3" t="inlineStr"/>
      <c r="G13" s="6" t="inlineStr">
        <is>
          <t>待启动</t>
        </is>
      </c>
    </row>
    <row r="14" ht="28" customHeight="1">
      <c r="A14" s="5" t="inlineStr">
        <is>
          <t>2026-10-23</t>
        </is>
      </c>
      <c r="B14" s="5" t="inlineStr">
        <is>
          <t>周五</t>
        </is>
      </c>
      <c r="C14" s="5" t="inlineStr">
        <is>
          <t>次日单独问感受，记录满意/一般/不满意</t>
        </is>
      </c>
      <c r="D14" s="5" t="inlineStr">
        <is>
          <t>回访记录</t>
        </is>
      </c>
      <c r="E14" s="5" t="inlineStr">
        <is>
          <t>客户经理</t>
        </is>
      </c>
      <c r="F14" s="5" t="inlineStr"/>
      <c r="G14" s="6" t="inlineStr">
        <is>
          <t>待启动</t>
        </is>
      </c>
    </row>
    <row r="15" ht="28" customHeight="1">
      <c r="A15" s="3" t="inlineStr">
        <is>
          <t>2026-10-27</t>
        </is>
      </c>
      <c r="B15" s="3" t="inlineStr">
        <is>
          <t>周二</t>
        </is>
      </c>
      <c r="C15" s="3" t="inlineStr">
        <is>
          <t>台账建档；不满意事项项目经理已知情</t>
        </is>
      </c>
      <c r="D15" s="3" t="inlineStr">
        <is>
          <t>台账</t>
        </is>
      </c>
      <c r="E15" s="3" t="inlineStr">
        <is>
          <t>项目办</t>
        </is>
      </c>
      <c r="F15" s="3" t="inlineStr"/>
      <c r="G15" s="6" t="inlineStr">
        <is>
          <t>待启动</t>
        </is>
      </c>
    </row>
    <row r="16" ht="28" customHeight="1">
      <c r="A16" s="5" t="inlineStr">
        <is>
          <t>2026-10-29</t>
        </is>
      </c>
      <c r="B16" s="5" t="inlineStr">
        <is>
          <t>周四</t>
        </is>
      </c>
      <c r="C16" s="5" t="inlineStr">
        <is>
          <t>新客户完成第一次联系</t>
        </is>
      </c>
      <c r="D16" s="5" t="inlineStr">
        <is>
          <t>联系记录</t>
        </is>
      </c>
      <c r="E16" s="5" t="inlineStr">
        <is>
          <t>客户经理</t>
        </is>
      </c>
      <c r="F16" s="5" t="inlineStr"/>
      <c r="G16" s="6" t="inlineStr">
        <is>
          <t>待启动</t>
        </is>
      </c>
    </row>
    <row r="18" ht="48" customHeight="1">
      <c r="A18" s="7" t="inlineStr">
        <is>
          <t>10 月 1 日至 7 日为国庆假期，不安排客户活动。</t>
        </is>
      </c>
    </row>
  </sheetData>
  <autoFilter ref="A2:G16"/>
  <mergeCells count="2">
    <mergeCell ref="A1:G1"/>
    <mergeCell ref="A18:G18"/>
  </mergeCells>
  <pageMargins left="0.4" right="0.4" top="0.6" bottom="0.5" header="0.5" footer="0.5"/>
  <pageSetup orientation="landscape" paperSize="9" fitToHeight="1" fitToWidth="1"/>
  <headerFooter>
    <oddHeader>&amp;C泰隆银行 · 2026年四季度客户参访</oddHeader>
    <oddFooter>&amp;L单场不超过5000元&amp;R第 &amp;P 页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0A1E36"/>
    <outlinePr summaryBelow="1" summaryRight="1"/>
    <pageSetUpPr fitToPage="1"/>
  </sheetPr>
  <dimension ref="A1:H11"/>
  <sheetViews>
    <sheetView showGridLines="0" zoomScale="11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2" customWidth="1" min="8" max="8"/>
  </cols>
  <sheetData>
    <row r="1" ht="36" customHeight="1">
      <c r="A1" s="1" t="inlineStr">
        <is>
          <t>第2至第7场关键节点｜邀请一律一对一，不公开海投</t>
        </is>
      </c>
    </row>
    <row r="2" ht="26" customHeight="1">
      <c r="A2" s="2" t="inlineStr">
        <is>
          <t>节点</t>
        </is>
      </c>
      <c r="B2" s="2" t="inlineStr">
        <is>
          <t>11/5 小局</t>
        </is>
      </c>
      <c r="C2" s="2" t="inlineStr">
        <is>
          <t>11/19 参访</t>
        </is>
      </c>
      <c r="D2" s="2" t="inlineStr">
        <is>
          <t>11/26 新客局</t>
        </is>
      </c>
      <c r="E2" s="2" t="inlineStr">
        <is>
          <t>12/3 参访</t>
        </is>
      </c>
      <c r="F2" s="2" t="inlineStr">
        <is>
          <t>12/10 答谢参访</t>
        </is>
      </c>
      <c r="G2" s="2" t="inlineStr">
        <is>
          <t>12/17 收官</t>
        </is>
      </c>
      <c r="H2" s="2" t="inlineStr">
        <is>
          <t>负责人</t>
        </is>
      </c>
    </row>
    <row r="3" ht="28" customHeight="1">
      <c r="A3" s="3" t="inlineStr">
        <is>
          <t>锁定场地/企业</t>
        </is>
      </c>
      <c r="B3" s="3" t="inlineStr">
        <is>
          <t>2026-10-15</t>
        </is>
      </c>
      <c r="C3" s="3" t="inlineStr">
        <is>
          <t>2026-10-30</t>
        </is>
      </c>
      <c r="D3" s="3" t="inlineStr">
        <is>
          <t>2026-11-05</t>
        </is>
      </c>
      <c r="E3" s="3" t="inlineStr">
        <is>
          <t>2026-11-12</t>
        </is>
      </c>
      <c r="F3" s="3" t="inlineStr">
        <is>
          <t>2026-11-20</t>
        </is>
      </c>
      <c r="G3" s="3" t="inlineStr">
        <is>
          <t>2026-11-26</t>
        </is>
      </c>
      <c r="H3" s="3" t="inlineStr">
        <is>
          <t>项目经理</t>
        </is>
      </c>
    </row>
    <row r="4" ht="28" customHeight="1">
      <c r="A4" s="5" t="inlineStr">
        <is>
          <t>名单确认</t>
        </is>
      </c>
      <c r="B4" s="5" t="inlineStr">
        <is>
          <t>2026-10-22</t>
        </is>
      </c>
      <c r="C4" s="5" t="inlineStr">
        <is>
          <t>2026-11-05</t>
        </is>
      </c>
      <c r="D4" s="5" t="inlineStr">
        <is>
          <t>2026-11-12</t>
        </is>
      </c>
      <c r="E4" s="5" t="inlineStr">
        <is>
          <t>2026-11-19</t>
        </is>
      </c>
      <c r="F4" s="5" t="inlineStr">
        <is>
          <t>2026-11-26</t>
        </is>
      </c>
      <c r="G4" s="5" t="inlineStr">
        <is>
          <t>2026-12-03</t>
        </is>
      </c>
      <c r="H4" s="5" t="inlineStr">
        <is>
          <t>客户经理</t>
        </is>
      </c>
    </row>
    <row r="5" ht="28" customHeight="1">
      <c r="A5" s="3" t="inlineStr">
        <is>
          <t>发出邀请</t>
        </is>
      </c>
      <c r="B5" s="3" t="inlineStr">
        <is>
          <t>2026-10-23</t>
        </is>
      </c>
      <c r="C5" s="3" t="inlineStr">
        <is>
          <t>2026-11-06</t>
        </is>
      </c>
      <c r="D5" s="3" t="inlineStr">
        <is>
          <t>2026-11-13</t>
        </is>
      </c>
      <c r="E5" s="3" t="inlineStr">
        <is>
          <t>2026-11-20</t>
        </is>
      </c>
      <c r="F5" s="3" t="inlineStr">
        <is>
          <t>2026-11-27</t>
        </is>
      </c>
      <c r="G5" s="3" t="inlineStr">
        <is>
          <t>2026-12-04</t>
        </is>
      </c>
      <c r="H5" s="3" t="inlineStr">
        <is>
          <t>客户经理</t>
        </is>
      </c>
    </row>
    <row r="6" ht="28" customHeight="1">
      <c r="A6" s="5" t="inlineStr">
        <is>
          <t>到场确认</t>
        </is>
      </c>
      <c r="B6" s="5" t="inlineStr">
        <is>
          <t>2026-11-04</t>
        </is>
      </c>
      <c r="C6" s="5" t="inlineStr">
        <is>
          <t>2026-11-18</t>
        </is>
      </c>
      <c r="D6" s="5" t="inlineStr">
        <is>
          <t>2026-11-25</t>
        </is>
      </c>
      <c r="E6" s="5" t="inlineStr">
        <is>
          <t>2026-12-02</t>
        </is>
      </c>
      <c r="F6" s="5" t="inlineStr">
        <is>
          <t>2026-12-09</t>
        </is>
      </c>
      <c r="G6" s="5" t="inlineStr">
        <is>
          <t>2026-12-16</t>
        </is>
      </c>
      <c r="H6" s="5" t="inlineStr">
        <is>
          <t>客户经理</t>
        </is>
      </c>
    </row>
    <row r="7" ht="28" customHeight="1">
      <c r="A7" s="3" t="inlineStr">
        <is>
          <t>活动日</t>
        </is>
      </c>
      <c r="B7" s="3" t="inlineStr">
        <is>
          <t>2026-11-05</t>
        </is>
      </c>
      <c r="C7" s="3" t="inlineStr">
        <is>
          <t>2026-11-19</t>
        </is>
      </c>
      <c r="D7" s="3" t="inlineStr">
        <is>
          <t>2026-11-26</t>
        </is>
      </c>
      <c r="E7" s="3" t="inlineStr">
        <is>
          <t>2026-12-03</t>
        </is>
      </c>
      <c r="F7" s="3" t="inlineStr">
        <is>
          <t>2026-12-10</t>
        </is>
      </c>
      <c r="G7" s="3" t="inlineStr">
        <is>
          <t>2026-12-17</t>
        </is>
      </c>
      <c r="H7" s="3" t="inlineStr">
        <is>
          <t>全体</t>
        </is>
      </c>
    </row>
    <row r="8" ht="28" customHeight="1">
      <c r="A8" s="5" t="inlineStr">
        <is>
          <t>次日满意度</t>
        </is>
      </c>
      <c r="B8" s="5" t="inlineStr">
        <is>
          <t>2026-11-06</t>
        </is>
      </c>
      <c r="C8" s="5" t="inlineStr">
        <is>
          <t>2026-11-20</t>
        </is>
      </c>
      <c r="D8" s="5" t="inlineStr">
        <is>
          <t>2026-11-27</t>
        </is>
      </c>
      <c r="E8" s="5" t="inlineStr">
        <is>
          <t>2026-12-04</t>
        </is>
      </c>
      <c r="F8" s="5" t="inlineStr">
        <is>
          <t>2026-12-11</t>
        </is>
      </c>
      <c r="G8" s="5" t="inlineStr">
        <is>
          <t>2026-12-18</t>
        </is>
      </c>
      <c r="H8" s="5" t="inlineStr">
        <is>
          <t>客户经理</t>
        </is>
      </c>
    </row>
    <row r="9" ht="28" customHeight="1">
      <c r="A9" s="3" t="inlineStr">
        <is>
          <t>新客第5个工作日</t>
        </is>
      </c>
      <c r="B9" s="3" t="inlineStr">
        <is>
          <t>2026-11-12</t>
        </is>
      </c>
      <c r="C9" s="3" t="inlineStr">
        <is>
          <t>2026-11-26</t>
        </is>
      </c>
      <c r="D9" s="3" t="inlineStr">
        <is>
          <t>2026-12-03</t>
        </is>
      </c>
      <c r="E9" s="3" t="inlineStr">
        <is>
          <t>2026-12-10</t>
        </is>
      </c>
      <c r="F9" s="3" t="inlineStr">
        <is>
          <t>2026-12-17</t>
        </is>
      </c>
      <c r="G9" s="3" t="inlineStr">
        <is>
          <t>2026-12-24</t>
        </is>
      </c>
      <c r="H9" s="3" t="inlineStr">
        <is>
          <t>客户经理</t>
        </is>
      </c>
    </row>
    <row r="11" ht="48" customHeight="1">
      <c r="A11" s="7" t="inlineStr">
        <is>
          <t>11/19 与 11/26 间隔一周，两场名单不要重复。新客局若取消，把已邀请的新客户改约到 12/17，并在当天说明改期原因。</t>
        </is>
      </c>
    </row>
  </sheetData>
  <autoFilter ref="A2:H9"/>
  <mergeCells count="2">
    <mergeCell ref="A11:H11"/>
    <mergeCell ref="A1:H1"/>
  </mergeCells>
  <pageMargins left="0.4" right="0.4" top="0.6" bottom="0.5" header="0.5" footer="0.5"/>
  <pageSetup orientation="landscape" paperSize="9" fitToHeight="1" fitToWidth="1"/>
  <headerFooter>
    <oddHeader>&amp;C泰隆银行 · 2026年四季度客户参访</oddHeader>
    <oddFooter>&amp;L单场不超过5000元&amp;R第 &amp;P 页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0A1E36"/>
    <outlinePr summaryBelow="1" summaryRight="1"/>
    <pageSetUpPr fitToPage="1"/>
  </sheetPr>
  <dimension ref="A1:E13"/>
  <sheetViews>
    <sheetView showGridLines="0" zoomScale="11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42" customWidth="1" min="3" max="3"/>
    <col width="14" customWidth="1" min="4" max="4"/>
    <col width="12" customWidth="1" min="5" max="5"/>
  </cols>
  <sheetData>
    <row r="1" ht="36" customHeight="1">
      <c r="A1" s="1" t="inlineStr">
        <is>
          <t>即日行动清单｜9月23日至10月22日</t>
        </is>
      </c>
    </row>
    <row r="2" ht="26" customHeight="1">
      <c r="A2" s="2" t="inlineStr">
        <is>
          <t>日期</t>
        </is>
      </c>
      <c r="B2" s="2" t="inlineStr">
        <is>
          <t>动作</t>
        </is>
      </c>
      <c r="C2" s="2" t="inlineStr">
        <is>
          <t>完成标准</t>
        </is>
      </c>
      <c r="D2" s="2" t="inlineStr">
        <is>
          <t>负责人</t>
        </is>
      </c>
      <c r="E2" s="2" t="inlineStr">
        <is>
          <t>完成</t>
        </is>
      </c>
    </row>
    <row r="3" ht="36" customHeight="1">
      <c r="A3" s="3" t="inlineStr">
        <is>
          <t>2026-09-23</t>
        </is>
      </c>
      <c r="B3" s="3" t="inlineStr">
        <is>
          <t>四方确认费用硬顶和 7 场安排</t>
        </is>
      </c>
      <c r="C3" s="3" t="inlineStr">
        <is>
          <t>纪要写明单场 ≤5000、12 月不减场</t>
        </is>
      </c>
      <c r="D3" s="3" t="inlineStr"/>
      <c r="E3" s="6" t="inlineStr">
        <is>
          <t>待启动</t>
        </is>
      </c>
    </row>
    <row r="4" ht="36" customHeight="1">
      <c r="A4" s="5" t="inlineStr">
        <is>
          <t>2026-09-24</t>
        </is>
      </c>
      <c r="B4" s="5" t="inlineStr">
        <is>
          <t>客户经理提交名单</t>
        </is>
      </c>
      <c r="C4" s="5" t="inlineStr">
        <is>
          <t>每人：存量重点 8 家、意向新客 5 家</t>
        </is>
      </c>
      <c r="D4" s="5" t="inlineStr"/>
      <c r="E4" s="6" t="inlineStr">
        <is>
          <t>待启动</t>
        </is>
      </c>
    </row>
    <row r="5" ht="36" customHeight="1">
      <c r="A5" s="3" t="inlineStr">
        <is>
          <t>2026-09-28</t>
        </is>
      </c>
      <c r="B5" s="3" t="inlineStr">
        <is>
          <t>参访企业储备</t>
        </is>
      </c>
      <c r="C5" s="3" t="inlineStr">
        <is>
          <t>3 家企业同意免费接待并接受拍摄限制</t>
        </is>
      </c>
      <c r="D5" s="3" t="inlineStr"/>
      <c r="E5" s="6" t="inlineStr">
        <is>
          <t>待启动</t>
        </is>
      </c>
    </row>
    <row r="6" ht="36" customHeight="1">
      <c r="A6" s="5" t="inlineStr">
        <is>
          <t>2026-09-30</t>
        </is>
      </c>
      <c r="B6" s="5" t="inlineStr">
        <is>
          <t>话术与礼品口径</t>
        </is>
      </c>
      <c r="C6" s="5" t="inlineStr">
        <is>
          <t>合规书面确认：默认无伴手礼、不承诺授信</t>
        </is>
      </c>
      <c r="D6" s="5" t="inlineStr"/>
      <c r="E6" s="6" t="inlineStr">
        <is>
          <t>待启动</t>
        </is>
      </c>
    </row>
    <row r="7" ht="36" customHeight="1">
      <c r="A7" s="3" t="inlineStr">
        <is>
          <t>2026-10-08</t>
        </is>
      </c>
      <c r="B7" s="3" t="inlineStr">
        <is>
          <t>第一场立项</t>
        </is>
      </c>
      <c r="C7" s="3" t="inlineStr">
        <is>
          <t>企业、线路、16 位客户、预算表同时定稿</t>
        </is>
      </c>
      <c r="D7" s="3" t="inlineStr"/>
      <c r="E7" s="6" t="inlineStr">
        <is>
          <t>待启动</t>
        </is>
      </c>
    </row>
    <row r="8" ht="36" customHeight="1">
      <c r="A8" s="5" t="inlineStr">
        <is>
          <t>2026-10-09</t>
        </is>
      </c>
      <c r="B8" s="5" t="inlineStr">
        <is>
          <t>发出邀请</t>
        </is>
      </c>
      <c r="C8" s="5" t="inlineStr">
        <is>
          <t>每一家都有客户经理邀约记录</t>
        </is>
      </c>
      <c r="D8" s="5" t="inlineStr"/>
      <c r="E8" s="6" t="inlineStr">
        <is>
          <t>待启动</t>
        </is>
      </c>
    </row>
    <row r="9" ht="36" customHeight="1">
      <c r="A9" s="3" t="inlineStr">
        <is>
          <t>2026-10-19</t>
        </is>
      </c>
      <c r="B9" s="3" t="inlineStr">
        <is>
          <t>预走访</t>
        </is>
      </c>
      <c r="C9" s="3" t="inlineStr">
        <is>
          <t>动线、茶水、交通报价都落在 5000 元内</t>
        </is>
      </c>
      <c r="D9" s="3" t="inlineStr"/>
      <c r="E9" s="6" t="inlineStr">
        <is>
          <t>待启动</t>
        </is>
      </c>
    </row>
    <row r="10" ht="36" customHeight="1">
      <c r="A10" s="5" t="inlineStr">
        <is>
          <t>2026-10-22</t>
        </is>
      </c>
      <c r="B10" s="5" t="inlineStr">
        <is>
          <t>举办第一场</t>
        </is>
      </c>
      <c r="C10" s="5" t="inlineStr">
        <is>
          <t>服务卡与当天决算草稿同时收回</t>
        </is>
      </c>
      <c r="D10" s="5" t="inlineStr"/>
      <c r="E10" s="6" t="inlineStr">
        <is>
          <t>待启动</t>
        </is>
      </c>
    </row>
    <row r="11" ht="36" customHeight="1">
      <c r="A11" s="3" t="inlineStr">
        <is>
          <t>2026-10-23</t>
        </is>
      </c>
      <c r="B11" s="3" t="inlineStr">
        <is>
          <t>满意度回访</t>
        </is>
      </c>
      <c r="C11" s="3" t="inlineStr">
        <is>
          <t>出席客户均有满意/一般/不满意记录</t>
        </is>
      </c>
      <c r="D11" s="3" t="inlineStr"/>
      <c r="E11" s="6" t="inlineStr">
        <is>
          <t>待启动</t>
        </is>
      </c>
    </row>
    <row r="13" ht="48" customHeight="1">
      <c r="A13" s="7" t="inlineStr">
        <is>
          <t>负责人一栏在 9 月 23 日会上填姓名。没有姓名的事项不开始。</t>
        </is>
      </c>
    </row>
  </sheetData>
  <autoFilter ref="A2:E11"/>
  <mergeCells count="2">
    <mergeCell ref="A1:E1"/>
    <mergeCell ref="A13:E13"/>
  </mergeCells>
  <pageMargins left="0.4" right="0.4" top="0.6" bottom="0.5" header="0.5" footer="0.5"/>
  <pageSetup orientation="landscape" paperSize="9" fitToHeight="1" fitToWidth="1"/>
  <headerFooter>
    <oddHeader>&amp;C泰隆银行 · 2026年四季度客户参访</oddHeader>
    <oddFooter>&amp;L单场不超过5000元&amp;R第 &amp;P 页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1F7A4D"/>
    <outlinePr summaryBelow="1" summaryRight="1"/>
    <pageSetUpPr fitToPage="1"/>
  </sheetPr>
  <dimension ref="A1:M85"/>
  <sheetViews>
    <sheetView showGridLines="0" zoomScale="11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2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14" customWidth="1" min="12" max="12"/>
    <col width="18" customWidth="1" min="13" max="13"/>
  </cols>
  <sheetData>
    <row r="1" ht="36" customHeight="1">
      <c r="A1" s="1" t="inlineStr">
        <is>
          <t>客户出席与回访｜一场一行一位客户｜用来统计满意度和人次</t>
        </is>
      </c>
    </row>
    <row r="2" ht="26" customHeight="1">
      <c r="A2" s="2" t="inlineStr">
        <is>
          <t>场次</t>
        </is>
      </c>
      <c r="B2" s="2" t="inlineStr">
        <is>
          <t>日期</t>
        </is>
      </c>
      <c r="C2" s="2" t="inlineStr">
        <is>
          <t>客户经理</t>
        </is>
      </c>
      <c r="D2" s="2" t="inlineStr">
        <is>
          <t>企业名称</t>
        </is>
      </c>
      <c r="E2" s="2" t="inlineStr">
        <is>
          <t>联系人</t>
        </is>
      </c>
      <c r="F2" s="2" t="inlineStr">
        <is>
          <t>手机</t>
        </is>
      </c>
      <c r="G2" s="2" t="inlineStr">
        <is>
          <t>客户类型</t>
        </is>
      </c>
      <c r="H2" s="2" t="inlineStr">
        <is>
          <t>邀约状态</t>
        </is>
      </c>
      <c r="I2" s="2" t="inlineStr">
        <is>
          <t>是否出席</t>
        </is>
      </c>
      <c r="J2" s="2" t="inlineStr">
        <is>
          <t>满意度</t>
        </is>
      </c>
      <c r="K2" s="2" t="inlineStr">
        <is>
          <t>一句原因</t>
        </is>
      </c>
      <c r="L2" s="2" t="inlineStr">
        <is>
          <t>不满意回访</t>
        </is>
      </c>
      <c r="M2" s="2" t="inlineStr">
        <is>
          <t>备注</t>
        </is>
      </c>
    </row>
    <row r="3" ht="22" customHeight="1">
      <c r="A3" s="3" t="inlineStr">
        <is>
          <t>10/22 参访</t>
        </is>
      </c>
      <c r="B3" s="3" t="inlineStr">
        <is>
          <t>2026-10-22</t>
        </is>
      </c>
      <c r="C3" s="3" t="inlineStr">
        <is>
          <t>（示例，请覆盖）</t>
        </is>
      </c>
      <c r="D3" s="3" t="inlineStr">
        <is>
          <t>某某科技</t>
        </is>
      </c>
      <c r="E3" s="3" t="inlineStr"/>
      <c r="F3" s="3" t="inlineStr"/>
      <c r="G3" s="3" t="inlineStr">
        <is>
          <t>存量</t>
        </is>
      </c>
      <c r="H3" s="3" t="inlineStr">
        <is>
          <t>待邀</t>
        </is>
      </c>
      <c r="I3" s="3" t="inlineStr"/>
      <c r="J3" s="3" t="inlineStr"/>
      <c r="K3" s="3" t="inlineStr"/>
      <c r="L3" s="3" t="inlineStr"/>
      <c r="M3" s="3" t="inlineStr">
        <is>
          <t>示例行</t>
        </is>
      </c>
    </row>
    <row r="4" ht="22" customHeight="1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</row>
    <row r="5" ht="22" customHeight="1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</row>
    <row r="6" ht="22" customHeight="1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</row>
    <row r="7" ht="22" customHeight="1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</row>
    <row r="8" ht="22" customHeight="1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</row>
    <row r="9" ht="22" customHeight="1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</row>
    <row r="10" ht="22" customHeight="1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</row>
    <row r="11" ht="22" customHeight="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</row>
    <row r="12" ht="22" customHeight="1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</row>
    <row r="13" ht="22" customHeight="1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</row>
    <row r="14" ht="22" customHeight="1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</row>
    <row r="15" ht="22" customHeight="1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</row>
    <row r="16" ht="22" customHeight="1">
      <c r="A16" s="5" t="inlineStr"/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  <c r="M16" s="5" t="inlineStr"/>
    </row>
    <row r="17" ht="22" customHeight="1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</row>
    <row r="18" ht="22" customHeight="1">
      <c r="A18" s="5" t="inlineStr"/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</row>
    <row r="19" ht="22" customHeight="1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</row>
    <row r="20" ht="22" customHeight="1">
      <c r="A20" s="5" t="inlineStr"/>
      <c r="B20" s="5" t="inlineStr"/>
      <c r="C20" s="5" t="inlineStr"/>
      <c r="D20" s="5" t="inlineStr"/>
      <c r="E20" s="5" t="inlineStr"/>
      <c r="F20" s="5" t="inlineStr"/>
      <c r="G20" s="5" t="inlineStr"/>
      <c r="H20" s="5" t="inlineStr"/>
      <c r="I20" s="5" t="inlineStr"/>
      <c r="J20" s="5" t="inlineStr"/>
      <c r="K20" s="5" t="inlineStr"/>
      <c r="L20" s="5" t="inlineStr"/>
      <c r="M20" s="5" t="inlineStr"/>
    </row>
    <row r="21" ht="22" customHeight="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</row>
    <row r="22" ht="22" customHeight="1">
      <c r="A22" s="5" t="inlineStr"/>
      <c r="B22" s="5" t="inlineStr"/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/>
      <c r="L22" s="5" t="inlineStr"/>
      <c r="M22" s="5" t="inlineStr"/>
    </row>
    <row r="23" ht="22" customHeight="1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</row>
    <row r="24" ht="22" customHeight="1">
      <c r="A24" s="5" t="inlineStr"/>
      <c r="B24" s="5" t="inlineStr"/>
      <c r="C24" s="5" t="inlineStr"/>
      <c r="D24" s="5" t="inlineStr"/>
      <c r="E24" s="5" t="inlineStr"/>
      <c r="F24" s="5" t="inlineStr"/>
      <c r="G24" s="5" t="inlineStr"/>
      <c r="H24" s="5" t="inlineStr"/>
      <c r="I24" s="5" t="inlineStr"/>
      <c r="J24" s="5" t="inlineStr"/>
      <c r="K24" s="5" t="inlineStr"/>
      <c r="L24" s="5" t="inlineStr"/>
      <c r="M24" s="5" t="inlineStr"/>
    </row>
    <row r="25" ht="22" customHeight="1">
      <c r="A25" s="3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</row>
    <row r="26" ht="22" customHeight="1">
      <c r="A26" s="5" t="inlineStr"/>
      <c r="B26" s="5" t="inlineStr"/>
      <c r="C26" s="5" t="inlineStr"/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5" t="inlineStr"/>
      <c r="L26" s="5" t="inlineStr"/>
      <c r="M26" s="5" t="inlineStr"/>
    </row>
    <row r="27" ht="22" customHeight="1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</row>
    <row r="28" ht="22" customHeight="1">
      <c r="A28" s="5" t="inlineStr"/>
      <c r="B28" s="5" t="inlineStr"/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</row>
    <row r="29" ht="22" customHeight="1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</row>
    <row r="30" ht="22" customHeight="1">
      <c r="A30" s="5" t="inlineStr"/>
      <c r="B30" s="5" t="inlineStr"/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</row>
    <row r="31" ht="22" customHeight="1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</row>
    <row r="32" ht="22" customHeight="1">
      <c r="A32" s="5" t="inlineStr"/>
      <c r="B32" s="5" t="inlineStr"/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</row>
    <row r="33" ht="22" customHeight="1">
      <c r="A33" s="3" t="inlineStr"/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</row>
    <row r="34" ht="22" customHeight="1">
      <c r="A34" s="5" t="inlineStr"/>
      <c r="B34" s="5" t="inlineStr"/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</row>
    <row r="35" ht="22" customHeight="1">
      <c r="A35" s="3" t="inlineStr"/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</row>
    <row r="36" ht="22" customHeight="1">
      <c r="A36" s="5" t="inlineStr"/>
      <c r="B36" s="5" t="inlineStr"/>
      <c r="C36" s="5" t="inlineStr"/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</row>
    <row r="37" ht="22" customHeight="1">
      <c r="A37" s="3" t="inlineStr"/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/>
    </row>
    <row r="38" ht="22" customHeight="1">
      <c r="A38" s="5" t="inlineStr"/>
      <c r="B38" s="5" t="inlineStr"/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</row>
    <row r="39" ht="22" customHeight="1">
      <c r="A39" s="3" t="inlineStr"/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</row>
    <row r="40" ht="22" customHeight="1">
      <c r="A40" s="5" t="inlineStr"/>
      <c r="B40" s="5" t="inlineStr"/>
      <c r="C40" s="5" t="inlineStr"/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inlineStr"/>
    </row>
    <row r="41" ht="22" customHeight="1">
      <c r="A41" s="3" t="inlineStr"/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</row>
    <row r="42" ht="22" customHeight="1">
      <c r="A42" s="5" t="inlineStr"/>
      <c r="B42" s="5" t="inlineStr"/>
      <c r="C42" s="5" t="inlineStr"/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</row>
    <row r="43" ht="22" customHeight="1">
      <c r="A43" s="3" t="inlineStr"/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</row>
    <row r="44" ht="22" customHeight="1">
      <c r="A44" s="5" t="inlineStr"/>
      <c r="B44" s="5" t="inlineStr"/>
      <c r="C44" s="5" t="inlineStr"/>
      <c r="D44" s="5" t="inlineStr"/>
      <c r="E44" s="5" t="inlineStr"/>
      <c r="F44" s="5" t="inlineStr"/>
      <c r="G44" s="5" t="inlineStr"/>
      <c r="H44" s="5" t="inlineStr"/>
      <c r="I44" s="5" t="inlineStr"/>
      <c r="J44" s="5" t="inlineStr"/>
      <c r="K44" s="5" t="inlineStr"/>
      <c r="L44" s="5" t="inlineStr"/>
      <c r="M44" s="5" t="inlineStr"/>
    </row>
    <row r="45" ht="22" customHeight="1">
      <c r="A45" s="3" t="inlineStr"/>
      <c r="B45" s="3" t="inlineStr"/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3" t="inlineStr"/>
    </row>
    <row r="46" ht="22" customHeight="1">
      <c r="A46" s="5" t="inlineStr"/>
      <c r="B46" s="5" t="inlineStr"/>
      <c r="C46" s="5" t="inlineStr"/>
      <c r="D46" s="5" t="inlineStr"/>
      <c r="E46" s="5" t="inlineStr"/>
      <c r="F46" s="5" t="inlineStr"/>
      <c r="G46" s="5" t="inlineStr"/>
      <c r="H46" s="5" t="inlineStr"/>
      <c r="I46" s="5" t="inlineStr"/>
      <c r="J46" s="5" t="inlineStr"/>
      <c r="K46" s="5" t="inlineStr"/>
      <c r="L46" s="5" t="inlineStr"/>
      <c r="M46" s="5" t="inlineStr"/>
    </row>
    <row r="47" ht="22" customHeight="1">
      <c r="A47" s="3" t="inlineStr"/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3" t="inlineStr"/>
      <c r="M47" s="3" t="inlineStr"/>
    </row>
    <row r="48" ht="22" customHeight="1">
      <c r="A48" s="5" t="inlineStr"/>
      <c r="B48" s="5" t="inlineStr"/>
      <c r="C48" s="5" t="inlineStr"/>
      <c r="D48" s="5" t="inlineStr"/>
      <c r="E48" s="5" t="inlineStr"/>
      <c r="F48" s="5" t="inlineStr"/>
      <c r="G48" s="5" t="inlineStr"/>
      <c r="H48" s="5" t="inlineStr"/>
      <c r="I48" s="5" t="inlineStr"/>
      <c r="J48" s="5" t="inlineStr"/>
      <c r="K48" s="5" t="inlineStr"/>
      <c r="L48" s="5" t="inlineStr"/>
      <c r="M48" s="5" t="inlineStr"/>
    </row>
    <row r="49" ht="22" customHeight="1">
      <c r="A49" s="3" t="inlineStr"/>
      <c r="B49" s="3" t="inlineStr"/>
      <c r="C49" s="3" t="inlineStr"/>
      <c r="D49" s="3" t="inlineStr"/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3" t="inlineStr"/>
      <c r="M49" s="3" t="inlineStr"/>
    </row>
    <row r="50" ht="22" customHeight="1">
      <c r="A50" s="5" t="inlineStr"/>
      <c r="B50" s="5" t="inlineStr"/>
      <c r="C50" s="5" t="inlineStr"/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</row>
    <row r="51" ht="22" customHeight="1">
      <c r="A51" s="3" t="inlineStr"/>
      <c r="B51" s="3" t="inlineStr"/>
      <c r="C51" s="3" t="inlineStr"/>
      <c r="D51" s="3" t="inlineStr"/>
      <c r="E51" s="3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/>
      <c r="M51" s="3" t="inlineStr"/>
    </row>
    <row r="52" ht="22" customHeight="1">
      <c r="A52" s="5" t="inlineStr"/>
      <c r="B52" s="5" t="inlineStr"/>
      <c r="C52" s="5" t="inlineStr"/>
      <c r="D52" s="5" t="inlineStr"/>
      <c r="E52" s="5" t="inlineStr"/>
      <c r="F52" s="5" t="inlineStr"/>
      <c r="G52" s="5" t="inlineStr"/>
      <c r="H52" s="5" t="inlineStr"/>
      <c r="I52" s="5" t="inlineStr"/>
      <c r="J52" s="5" t="inlineStr"/>
      <c r="K52" s="5" t="inlineStr"/>
      <c r="L52" s="5" t="inlineStr"/>
      <c r="M52" s="5" t="inlineStr"/>
    </row>
    <row r="53" ht="22" customHeight="1">
      <c r="A53" s="3" t="inlineStr"/>
      <c r="B53" s="3" t="inlineStr"/>
      <c r="C53" s="3" t="inlineStr"/>
      <c r="D53" s="3" t="inlineStr"/>
      <c r="E53" s="3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/>
      <c r="M53" s="3" t="inlineStr"/>
    </row>
    <row r="54" ht="22" customHeight="1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  <c r="H54" s="5" t="inlineStr"/>
      <c r="I54" s="5" t="inlineStr"/>
      <c r="J54" s="5" t="inlineStr"/>
      <c r="K54" s="5" t="inlineStr"/>
      <c r="L54" s="5" t="inlineStr"/>
      <c r="M54" s="5" t="inlineStr"/>
    </row>
    <row r="55" ht="22" customHeight="1">
      <c r="A55" s="3" t="inlineStr"/>
      <c r="B55" s="3" t="inlineStr"/>
      <c r="C55" s="3" t="inlineStr"/>
      <c r="D55" s="3" t="inlineStr"/>
      <c r="E55" s="3" t="inlineStr"/>
      <c r="F55" s="3" t="inlineStr"/>
      <c r="G55" s="3" t="inlineStr"/>
      <c r="H55" s="3" t="inlineStr"/>
      <c r="I55" s="3" t="inlineStr"/>
      <c r="J55" s="3" t="inlineStr"/>
      <c r="K55" s="3" t="inlineStr"/>
      <c r="L55" s="3" t="inlineStr"/>
      <c r="M55" s="3" t="inlineStr"/>
    </row>
    <row r="56" ht="22" customHeight="1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  <c r="H56" s="5" t="inlineStr"/>
      <c r="I56" s="5" t="inlineStr"/>
      <c r="J56" s="5" t="inlineStr"/>
      <c r="K56" s="5" t="inlineStr"/>
      <c r="L56" s="5" t="inlineStr"/>
      <c r="M56" s="5" t="inlineStr"/>
    </row>
    <row r="57" ht="22" customHeight="1">
      <c r="A57" s="3" t="inlineStr"/>
      <c r="B57" s="3" t="inlineStr"/>
      <c r="C57" s="3" t="inlineStr"/>
      <c r="D57" s="3" t="inlineStr"/>
      <c r="E57" s="3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/>
      <c r="M57" s="3" t="inlineStr"/>
    </row>
    <row r="58" ht="22" customHeight="1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  <c r="H58" s="5" t="inlineStr"/>
      <c r="I58" s="5" t="inlineStr"/>
      <c r="J58" s="5" t="inlineStr"/>
      <c r="K58" s="5" t="inlineStr"/>
      <c r="L58" s="5" t="inlineStr"/>
      <c r="M58" s="5" t="inlineStr"/>
    </row>
    <row r="59" ht="22" customHeight="1">
      <c r="A59" s="3" t="inlineStr"/>
      <c r="B59" s="3" t="inlineStr"/>
      <c r="C59" s="3" t="inlineStr"/>
      <c r="D59" s="3" t="inlineStr"/>
      <c r="E59" s="3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3" t="inlineStr"/>
    </row>
    <row r="60" ht="22" customHeight="1">
      <c r="A60" s="5" t="inlineStr"/>
      <c r="B60" s="5" t="inlineStr"/>
      <c r="C60" s="5" t="inlineStr"/>
      <c r="D60" s="5" t="inlineStr"/>
      <c r="E60" s="5" t="inlineStr"/>
      <c r="F60" s="5" t="inlineStr"/>
      <c r="G60" s="5" t="inlineStr"/>
      <c r="H60" s="5" t="inlineStr"/>
      <c r="I60" s="5" t="inlineStr"/>
      <c r="J60" s="5" t="inlineStr"/>
      <c r="K60" s="5" t="inlineStr"/>
      <c r="L60" s="5" t="inlineStr"/>
      <c r="M60" s="5" t="inlineStr"/>
    </row>
    <row r="61" ht="22" customHeight="1">
      <c r="A61" s="3" t="inlineStr"/>
      <c r="B61" s="3" t="inlineStr"/>
      <c r="C61" s="3" t="inlineStr"/>
      <c r="D61" s="3" t="inlineStr"/>
      <c r="E61" s="3" t="inlineStr"/>
      <c r="F61" s="3" t="inlineStr"/>
      <c r="G61" s="3" t="inlineStr"/>
      <c r="H61" s="3" t="inlineStr"/>
      <c r="I61" s="3" t="inlineStr"/>
      <c r="J61" s="3" t="inlineStr"/>
      <c r="K61" s="3" t="inlineStr"/>
      <c r="L61" s="3" t="inlineStr"/>
      <c r="M61" s="3" t="inlineStr"/>
    </row>
    <row r="62" ht="22" customHeight="1">
      <c r="A62" s="5" t="inlineStr"/>
      <c r="B62" s="5" t="inlineStr"/>
      <c r="C62" s="5" t="inlineStr"/>
      <c r="D62" s="5" t="inlineStr"/>
      <c r="E62" s="5" t="inlineStr"/>
      <c r="F62" s="5" t="inlineStr"/>
      <c r="G62" s="5" t="inlineStr"/>
      <c r="H62" s="5" t="inlineStr"/>
      <c r="I62" s="5" t="inlineStr"/>
      <c r="J62" s="5" t="inlineStr"/>
      <c r="K62" s="5" t="inlineStr"/>
      <c r="L62" s="5" t="inlineStr"/>
      <c r="M62" s="5" t="inlineStr"/>
    </row>
    <row r="63" ht="22" customHeight="1">
      <c r="A63" s="3" t="inlineStr"/>
      <c r="B63" s="3" t="inlineStr"/>
      <c r="C63" s="3" t="inlineStr"/>
      <c r="D63" s="3" t="inlineStr"/>
      <c r="E63" s="3" t="inlineStr"/>
      <c r="F63" s="3" t="inlineStr"/>
      <c r="G63" s="3" t="inlineStr"/>
      <c r="H63" s="3" t="inlineStr"/>
      <c r="I63" s="3" t="inlineStr"/>
      <c r="J63" s="3" t="inlineStr"/>
      <c r="K63" s="3" t="inlineStr"/>
      <c r="L63" s="3" t="inlineStr"/>
      <c r="M63" s="3" t="inlineStr"/>
    </row>
    <row r="64" ht="22" customHeight="1">
      <c r="A64" s="5" t="inlineStr"/>
      <c r="B64" s="5" t="inlineStr"/>
      <c r="C64" s="5" t="inlineStr"/>
      <c r="D64" s="5" t="inlineStr"/>
      <c r="E64" s="5" t="inlineStr"/>
      <c r="F64" s="5" t="inlineStr"/>
      <c r="G64" s="5" t="inlineStr"/>
      <c r="H64" s="5" t="inlineStr"/>
      <c r="I64" s="5" t="inlineStr"/>
      <c r="J64" s="5" t="inlineStr"/>
      <c r="K64" s="5" t="inlineStr"/>
      <c r="L64" s="5" t="inlineStr"/>
      <c r="M64" s="5" t="inlineStr"/>
    </row>
    <row r="65" ht="22" customHeight="1">
      <c r="A65" s="3" t="inlineStr"/>
      <c r="B65" s="3" t="inlineStr"/>
      <c r="C65" s="3" t="inlineStr"/>
      <c r="D65" s="3" t="inlineStr"/>
      <c r="E65" s="3" t="inlineStr"/>
      <c r="F65" s="3" t="inlineStr"/>
      <c r="G65" s="3" t="inlineStr"/>
      <c r="H65" s="3" t="inlineStr"/>
      <c r="I65" s="3" t="inlineStr"/>
      <c r="J65" s="3" t="inlineStr"/>
      <c r="K65" s="3" t="inlineStr"/>
      <c r="L65" s="3" t="inlineStr"/>
      <c r="M65" s="3" t="inlineStr"/>
    </row>
    <row r="66" ht="22" customHeight="1">
      <c r="A66" s="5" t="inlineStr"/>
      <c r="B66" s="5" t="inlineStr"/>
      <c r="C66" s="5" t="inlineStr"/>
      <c r="D66" s="5" t="inlineStr"/>
      <c r="E66" s="5" t="inlineStr"/>
      <c r="F66" s="5" t="inlineStr"/>
      <c r="G66" s="5" t="inlineStr"/>
      <c r="H66" s="5" t="inlineStr"/>
      <c r="I66" s="5" t="inlineStr"/>
      <c r="J66" s="5" t="inlineStr"/>
      <c r="K66" s="5" t="inlineStr"/>
      <c r="L66" s="5" t="inlineStr"/>
      <c r="M66" s="5" t="inlineStr"/>
    </row>
    <row r="67" ht="22" customHeight="1">
      <c r="A67" s="3" t="inlineStr"/>
      <c r="B67" s="3" t="inlineStr"/>
      <c r="C67" s="3" t="inlineStr"/>
      <c r="D67" s="3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/>
      <c r="M67" s="3" t="inlineStr"/>
    </row>
    <row r="68" ht="22" customHeight="1">
      <c r="A68" s="5" t="inlineStr"/>
      <c r="B68" s="5" t="inlineStr"/>
      <c r="C68" s="5" t="inlineStr"/>
      <c r="D68" s="5" t="inlineStr"/>
      <c r="E68" s="5" t="inlineStr"/>
      <c r="F68" s="5" t="inlineStr"/>
      <c r="G68" s="5" t="inlineStr"/>
      <c r="H68" s="5" t="inlineStr"/>
      <c r="I68" s="5" t="inlineStr"/>
      <c r="J68" s="5" t="inlineStr"/>
      <c r="K68" s="5" t="inlineStr"/>
      <c r="L68" s="5" t="inlineStr"/>
      <c r="M68" s="5" t="inlineStr"/>
    </row>
    <row r="69" ht="22" customHeight="1">
      <c r="A69" s="3" t="inlineStr"/>
      <c r="B69" s="3" t="inlineStr"/>
      <c r="C69" s="3" t="inlineStr"/>
      <c r="D69" s="3" t="inlineStr"/>
      <c r="E69" s="3" t="inlineStr"/>
      <c r="F69" s="3" t="inlineStr"/>
      <c r="G69" s="3" t="inlineStr"/>
      <c r="H69" s="3" t="inlineStr"/>
      <c r="I69" s="3" t="inlineStr"/>
      <c r="J69" s="3" t="inlineStr"/>
      <c r="K69" s="3" t="inlineStr"/>
      <c r="L69" s="3" t="inlineStr"/>
      <c r="M69" s="3" t="inlineStr"/>
    </row>
    <row r="70" ht="22" customHeight="1">
      <c r="A70" s="5" t="inlineStr"/>
      <c r="B70" s="5" t="inlineStr"/>
      <c r="C70" s="5" t="inlineStr"/>
      <c r="D70" s="5" t="inlineStr"/>
      <c r="E70" s="5" t="inlineStr"/>
      <c r="F70" s="5" t="inlineStr"/>
      <c r="G70" s="5" t="inlineStr"/>
      <c r="H70" s="5" t="inlineStr"/>
      <c r="I70" s="5" t="inlineStr"/>
      <c r="J70" s="5" t="inlineStr"/>
      <c r="K70" s="5" t="inlineStr"/>
      <c r="L70" s="5" t="inlineStr"/>
      <c r="M70" s="5" t="inlineStr"/>
    </row>
    <row r="71" ht="22" customHeight="1">
      <c r="A71" s="3" t="inlineStr"/>
      <c r="B71" s="3" t="inlineStr"/>
      <c r="C71" s="3" t="inlineStr"/>
      <c r="D71" s="3" t="inlineStr"/>
      <c r="E71" s="3" t="inlineStr"/>
      <c r="F71" s="3" t="inlineStr"/>
      <c r="G71" s="3" t="inlineStr"/>
      <c r="H71" s="3" t="inlineStr"/>
      <c r="I71" s="3" t="inlineStr"/>
      <c r="J71" s="3" t="inlineStr"/>
      <c r="K71" s="3" t="inlineStr"/>
      <c r="L71" s="3" t="inlineStr"/>
      <c r="M71" s="3" t="inlineStr"/>
    </row>
    <row r="72" ht="22" customHeight="1">
      <c r="A72" s="5" t="inlineStr"/>
      <c r="B72" s="5" t="inlineStr"/>
      <c r="C72" s="5" t="inlineStr"/>
      <c r="D72" s="5" t="inlineStr"/>
      <c r="E72" s="5" t="inlineStr"/>
      <c r="F72" s="5" t="inlineStr"/>
      <c r="G72" s="5" t="inlineStr"/>
      <c r="H72" s="5" t="inlineStr"/>
      <c r="I72" s="5" t="inlineStr"/>
      <c r="J72" s="5" t="inlineStr"/>
      <c r="K72" s="5" t="inlineStr"/>
      <c r="L72" s="5" t="inlineStr"/>
      <c r="M72" s="5" t="inlineStr"/>
    </row>
    <row r="73" ht="22" customHeight="1">
      <c r="A73" s="3" t="inlineStr"/>
      <c r="B73" s="3" t="inlineStr"/>
      <c r="C73" s="3" t="inlineStr"/>
      <c r="D73" s="3" t="inlineStr"/>
      <c r="E73" s="3" t="inlineStr"/>
      <c r="F73" s="3" t="inlineStr"/>
      <c r="G73" s="3" t="inlineStr"/>
      <c r="H73" s="3" t="inlineStr"/>
      <c r="I73" s="3" t="inlineStr"/>
      <c r="J73" s="3" t="inlineStr"/>
      <c r="K73" s="3" t="inlineStr"/>
      <c r="L73" s="3" t="inlineStr"/>
      <c r="M73" s="3" t="inlineStr"/>
    </row>
    <row r="74" ht="22" customHeight="1">
      <c r="A74" s="5" t="inlineStr"/>
      <c r="B74" s="5" t="inlineStr"/>
      <c r="C74" s="5" t="inlineStr"/>
      <c r="D74" s="5" t="inlineStr"/>
      <c r="E74" s="5" t="inlineStr"/>
      <c r="F74" s="5" t="inlineStr"/>
      <c r="G74" s="5" t="inlineStr"/>
      <c r="H74" s="5" t="inlineStr"/>
      <c r="I74" s="5" t="inlineStr"/>
      <c r="J74" s="5" t="inlineStr"/>
      <c r="K74" s="5" t="inlineStr"/>
      <c r="L74" s="5" t="inlineStr"/>
      <c r="M74" s="5" t="inlineStr"/>
    </row>
    <row r="75" ht="22" customHeight="1">
      <c r="A75" s="3" t="inlineStr"/>
      <c r="B75" s="3" t="inlineStr"/>
      <c r="C75" s="3" t="inlineStr"/>
      <c r="D75" s="3" t="inlineStr"/>
      <c r="E75" s="3" t="inlineStr"/>
      <c r="F75" s="3" t="inlineStr"/>
      <c r="G75" s="3" t="inlineStr"/>
      <c r="H75" s="3" t="inlineStr"/>
      <c r="I75" s="3" t="inlineStr"/>
      <c r="J75" s="3" t="inlineStr"/>
      <c r="K75" s="3" t="inlineStr"/>
      <c r="L75" s="3" t="inlineStr"/>
      <c r="M75" s="3" t="inlineStr"/>
    </row>
    <row r="76" ht="22" customHeight="1">
      <c r="A76" s="5" t="inlineStr"/>
      <c r="B76" s="5" t="inlineStr"/>
      <c r="C76" s="5" t="inlineStr"/>
      <c r="D76" s="5" t="inlineStr"/>
      <c r="E76" s="5" t="inlineStr"/>
      <c r="F76" s="5" t="inlineStr"/>
      <c r="G76" s="5" t="inlineStr"/>
      <c r="H76" s="5" t="inlineStr"/>
      <c r="I76" s="5" t="inlineStr"/>
      <c r="J76" s="5" t="inlineStr"/>
      <c r="K76" s="5" t="inlineStr"/>
      <c r="L76" s="5" t="inlineStr"/>
      <c r="M76" s="5" t="inlineStr"/>
    </row>
    <row r="77" ht="22" customHeight="1">
      <c r="A77" s="3" t="inlineStr"/>
      <c r="B77" s="3" t="inlineStr"/>
      <c r="C77" s="3" t="inlineStr"/>
      <c r="D77" s="3" t="inlineStr"/>
      <c r="E77" s="3" t="inlineStr"/>
      <c r="F77" s="3" t="inlineStr"/>
      <c r="G77" s="3" t="inlineStr"/>
      <c r="H77" s="3" t="inlineStr"/>
      <c r="I77" s="3" t="inlineStr"/>
      <c r="J77" s="3" t="inlineStr"/>
      <c r="K77" s="3" t="inlineStr"/>
      <c r="L77" s="3" t="inlineStr"/>
      <c r="M77" s="3" t="inlineStr"/>
    </row>
    <row r="78" ht="22" customHeight="1">
      <c r="A78" s="5" t="inlineStr"/>
      <c r="B78" s="5" t="inlineStr"/>
      <c r="C78" s="5" t="inlineStr"/>
      <c r="D78" s="5" t="inlineStr"/>
      <c r="E78" s="5" t="inlineStr"/>
      <c r="F78" s="5" t="inlineStr"/>
      <c r="G78" s="5" t="inlineStr"/>
      <c r="H78" s="5" t="inlineStr"/>
      <c r="I78" s="5" t="inlineStr"/>
      <c r="J78" s="5" t="inlineStr"/>
      <c r="K78" s="5" t="inlineStr"/>
      <c r="L78" s="5" t="inlineStr"/>
      <c r="M78" s="5" t="inlineStr"/>
    </row>
    <row r="79" ht="22" customHeight="1">
      <c r="A79" s="3" t="inlineStr"/>
      <c r="B79" s="3" t="inlineStr"/>
      <c r="C79" s="3" t="inlineStr"/>
      <c r="D79" s="3" t="inlineStr"/>
      <c r="E79" s="3" t="inlineStr"/>
      <c r="F79" s="3" t="inlineStr"/>
      <c r="G79" s="3" t="inlineStr"/>
      <c r="H79" s="3" t="inlineStr"/>
      <c r="I79" s="3" t="inlineStr"/>
      <c r="J79" s="3" t="inlineStr"/>
      <c r="K79" s="3" t="inlineStr"/>
      <c r="L79" s="3" t="inlineStr"/>
      <c r="M79" s="3" t="inlineStr"/>
    </row>
    <row r="80" ht="22" customHeight="1">
      <c r="A80" s="5" t="inlineStr"/>
      <c r="B80" s="5" t="inlineStr"/>
      <c r="C80" s="5" t="inlineStr"/>
      <c r="D80" s="5" t="inlineStr"/>
      <c r="E80" s="5" t="inlineStr"/>
      <c r="F80" s="5" t="inlineStr"/>
      <c r="G80" s="5" t="inlineStr"/>
      <c r="H80" s="5" t="inlineStr"/>
      <c r="I80" s="5" t="inlineStr"/>
      <c r="J80" s="5" t="inlineStr"/>
      <c r="K80" s="5" t="inlineStr"/>
      <c r="L80" s="5" t="inlineStr"/>
      <c r="M80" s="5" t="inlineStr"/>
    </row>
    <row r="81" ht="22" customHeight="1">
      <c r="A81" s="3" t="inlineStr"/>
      <c r="B81" s="3" t="inlineStr"/>
      <c r="C81" s="3" t="inlineStr"/>
      <c r="D81" s="3" t="inlineStr"/>
      <c r="E81" s="3" t="inlineStr"/>
      <c r="F81" s="3" t="inlineStr"/>
      <c r="G81" s="3" t="inlineStr"/>
      <c r="H81" s="3" t="inlineStr"/>
      <c r="I81" s="3" t="inlineStr"/>
      <c r="J81" s="3" t="inlineStr"/>
      <c r="K81" s="3" t="inlineStr"/>
      <c r="L81" s="3" t="inlineStr"/>
      <c r="M81" s="3" t="inlineStr"/>
    </row>
    <row r="82" ht="22" customHeight="1">
      <c r="A82" s="5" t="inlineStr"/>
      <c r="B82" s="5" t="inlineStr"/>
      <c r="C82" s="5" t="inlineStr"/>
      <c r="D82" s="5" t="inlineStr"/>
      <c r="E82" s="5" t="inlineStr"/>
      <c r="F82" s="5" t="inlineStr"/>
      <c r="G82" s="5" t="inlineStr"/>
      <c r="H82" s="5" t="inlineStr"/>
      <c r="I82" s="5" t="inlineStr"/>
      <c r="J82" s="5" t="inlineStr"/>
      <c r="K82" s="5" t="inlineStr"/>
      <c r="L82" s="5" t="inlineStr"/>
      <c r="M82" s="5" t="inlineStr"/>
    </row>
    <row r="83" ht="22" customHeight="1">
      <c r="A83" s="3" t="inlineStr"/>
      <c r="B83" s="3" t="inlineStr"/>
      <c r="C83" s="3" t="inlineStr"/>
      <c r="D83" s="3" t="inlineStr"/>
      <c r="E83" s="3" t="inlineStr"/>
      <c r="F83" s="3" t="inlineStr"/>
      <c r="G83" s="3" t="inlineStr"/>
      <c r="H83" s="3" t="inlineStr"/>
      <c r="I83" s="3" t="inlineStr"/>
      <c r="J83" s="3" t="inlineStr"/>
      <c r="K83" s="3" t="inlineStr"/>
      <c r="L83" s="3" t="inlineStr"/>
      <c r="M83" s="3" t="inlineStr"/>
    </row>
    <row r="85" ht="48" customHeight="1">
      <c r="A85" s="7" t="inlineStr">
        <is>
          <t>客户类型：存量 / 新客 / 转介。转介指老客户带来的新企业，计入新客成果。不满意的，2 日内必须电话回访并让项目经理知情。</t>
        </is>
      </c>
    </row>
  </sheetData>
  <autoFilter ref="A2:M83"/>
  <mergeCells count="2">
    <mergeCell ref="A85:M85"/>
    <mergeCell ref="A1:M1"/>
  </mergeCells>
  <dataValidations count="6">
    <dataValidation sqref="A3:A200" showDropDown="0" showInputMessage="0" showErrorMessage="0" allowBlank="1" type="list">
      <formula1>"10/22 参访,11/5 小局,11/19 参访,11/26 新客局,12/3 参访,12/10 答谢参访,12/17 收官"</formula1>
    </dataValidation>
    <dataValidation sqref="G3:G200" showDropDown="0" showInputMessage="0" showErrorMessage="0" allowBlank="1" type="list">
      <formula1>"存量,新客,转介"</formula1>
    </dataValidation>
    <dataValidation sqref="H3:H200" showDropDown="0" showInputMessage="0" showErrorMessage="0" allowBlank="1" type="list">
      <formula1>"待邀,已邀,确认到场,拒绝,候补"</formula1>
    </dataValidation>
    <dataValidation sqref="I3:I200" showDropDown="0" showInputMessage="0" showErrorMessage="0" allowBlank="1" type="list">
      <formula1>"是,否"</formula1>
    </dataValidation>
    <dataValidation sqref="J3:J200" showDropDown="0" showInputMessage="0" showErrorMessage="0" allowBlank="1" type="list">
      <formula1>"满意,一般,不满意"</formula1>
    </dataValidation>
    <dataValidation sqref="L3:L200" showDropDown="0" showInputMessage="0" showErrorMessage="0" allowBlank="1" type="list">
      <formula1>"无需,已回访,未回访"</formula1>
    </dataValidation>
  </dataValidations>
  <pageMargins left="0.4" right="0.4" top="0.6" bottom="0.5" header="0.5" footer="0.5"/>
  <pageSetup orientation="landscape" paperSize="9" fitToHeight="1" fitToWidth="1"/>
  <headerFooter>
    <oddHeader>&amp;C泰隆银行 · 2026年四季度客户参访</oddHeader>
    <oddFooter>&amp;L单场不超过5000元&amp;R第 &amp;P 页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0A1E36"/>
    <outlinePr summaryBelow="1" summaryRight="1"/>
    <pageSetUpPr fitToPage="1"/>
  </sheetPr>
  <dimension ref="A1:M45"/>
  <sheetViews>
    <sheetView showGridLines="0" zoomScale="11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0" customWidth="1" min="3" max="3"/>
    <col width="14" customWidth="1" min="4" max="4"/>
    <col width="12" customWidth="1" min="5" max="5"/>
    <col width="8" customWidth="1" min="6" max="6"/>
    <col width="12" customWidth="1" min="7" max="7"/>
    <col width="14" customWidth="1" min="8" max="8"/>
    <col width="12" customWidth="1" min="9" max="9"/>
    <col width="12" customWidth="1" min="10" max="10"/>
    <col width="28" customWidth="1" min="11" max="11"/>
    <col width="22" customWidth="1" min="12" max="12"/>
    <col width="12" customWidth="1" min="13" max="13"/>
  </cols>
  <sheetData>
    <row r="1" ht="36" customHeight="1">
      <c r="A1" s="1" t="inlineStr">
        <is>
          <t>新客户跟进｜只记录新客和转介｜5 个工作日内必须有联系记录</t>
        </is>
      </c>
    </row>
    <row r="2" ht="26" customHeight="1">
      <c r="A2" s="2" t="inlineStr">
        <is>
          <t>场次</t>
        </is>
      </c>
      <c r="B2" s="2" t="inlineStr">
        <is>
          <t>企业名称</t>
        </is>
      </c>
      <c r="C2" s="2" t="inlineStr">
        <is>
          <t>来源</t>
        </is>
      </c>
      <c r="D2" s="2" t="inlineStr">
        <is>
          <t>陪同老客户</t>
        </is>
      </c>
      <c r="E2" s="2" t="inlineStr">
        <is>
          <t>客户经理</t>
        </is>
      </c>
      <c r="F2" s="2" t="inlineStr">
        <is>
          <t>出席</t>
        </is>
      </c>
      <c r="G2" s="2" t="inlineStr">
        <is>
          <t>离场对接人</t>
        </is>
      </c>
      <c r="H2" s="2" t="inlineStr">
        <is>
          <t>第5个工作日</t>
        </is>
      </c>
      <c r="I2" s="2" t="inlineStr">
        <is>
          <t>是否已联系</t>
        </is>
      </c>
      <c r="J2" s="2" t="inlineStr">
        <is>
          <t>联系日期</t>
        </is>
      </c>
      <c r="K2" s="2" t="inlineStr">
        <is>
          <t>客户原话要点</t>
        </is>
      </c>
      <c r="L2" s="2" t="inlineStr">
        <is>
          <t>下一步</t>
        </is>
      </c>
      <c r="M2" s="2" t="inlineStr">
        <is>
          <t>状态</t>
        </is>
      </c>
    </row>
    <row r="3" ht="22" customHeight="1">
      <c r="A3" s="3" t="inlineStr">
        <is>
          <t>11/26 新客局</t>
        </is>
      </c>
      <c r="B3" s="3" t="inlineStr">
        <is>
          <t>（示例，请覆盖）</t>
        </is>
      </c>
      <c r="C3" s="3" t="inlineStr">
        <is>
          <t>转介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>
        <is>
          <t>5个工作日内拜访或电话</t>
        </is>
      </c>
      <c r="M3" s="3" t="inlineStr">
        <is>
          <t>待联系</t>
        </is>
      </c>
    </row>
    <row r="4" ht="22" customHeight="1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3" t="inlineStr"/>
    </row>
    <row r="5" ht="22" customHeight="1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</row>
    <row r="6" ht="22" customHeight="1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3" t="inlineStr"/>
    </row>
    <row r="7" ht="22" customHeight="1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</row>
    <row r="8" ht="22" customHeight="1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3" t="inlineStr"/>
    </row>
    <row r="9" ht="22" customHeight="1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</row>
    <row r="10" ht="22" customHeight="1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3" t="inlineStr"/>
    </row>
    <row r="11" ht="22" customHeight="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</row>
    <row r="12" ht="22" customHeight="1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3" t="inlineStr"/>
    </row>
    <row r="13" ht="22" customHeight="1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</row>
    <row r="14" ht="22" customHeight="1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3" t="inlineStr"/>
    </row>
    <row r="15" ht="22" customHeight="1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</row>
    <row r="16" ht="22" customHeight="1">
      <c r="A16" s="5" t="inlineStr"/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  <c r="M16" s="3" t="inlineStr"/>
    </row>
    <row r="17" ht="22" customHeight="1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</row>
    <row r="18" ht="22" customHeight="1">
      <c r="A18" s="5" t="inlineStr"/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3" t="inlineStr"/>
    </row>
    <row r="19" ht="22" customHeight="1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</row>
    <row r="20" ht="22" customHeight="1">
      <c r="A20" s="5" t="inlineStr"/>
      <c r="B20" s="5" t="inlineStr"/>
      <c r="C20" s="5" t="inlineStr"/>
      <c r="D20" s="5" t="inlineStr"/>
      <c r="E20" s="5" t="inlineStr"/>
      <c r="F20" s="5" t="inlineStr"/>
      <c r="G20" s="5" t="inlineStr"/>
      <c r="H20" s="5" t="inlineStr"/>
      <c r="I20" s="5" t="inlineStr"/>
      <c r="J20" s="5" t="inlineStr"/>
      <c r="K20" s="5" t="inlineStr"/>
      <c r="L20" s="5" t="inlineStr"/>
      <c r="M20" s="3" t="inlineStr"/>
    </row>
    <row r="21" ht="22" customHeight="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</row>
    <row r="22" ht="22" customHeight="1">
      <c r="A22" s="5" t="inlineStr"/>
      <c r="B22" s="5" t="inlineStr"/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/>
      <c r="L22" s="5" t="inlineStr"/>
      <c r="M22" s="3" t="inlineStr"/>
    </row>
    <row r="23" ht="22" customHeight="1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</row>
    <row r="24" ht="22" customHeight="1">
      <c r="A24" s="5" t="inlineStr"/>
      <c r="B24" s="5" t="inlineStr"/>
      <c r="C24" s="5" t="inlineStr"/>
      <c r="D24" s="5" t="inlineStr"/>
      <c r="E24" s="5" t="inlineStr"/>
      <c r="F24" s="5" t="inlineStr"/>
      <c r="G24" s="5" t="inlineStr"/>
      <c r="H24" s="5" t="inlineStr"/>
      <c r="I24" s="5" t="inlineStr"/>
      <c r="J24" s="5" t="inlineStr"/>
      <c r="K24" s="5" t="inlineStr"/>
      <c r="L24" s="5" t="inlineStr"/>
      <c r="M24" s="3" t="inlineStr"/>
    </row>
    <row r="25" ht="22" customHeight="1">
      <c r="A25" s="3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</row>
    <row r="26" ht="22" customHeight="1">
      <c r="A26" s="5" t="inlineStr"/>
      <c r="B26" s="5" t="inlineStr"/>
      <c r="C26" s="5" t="inlineStr"/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5" t="inlineStr"/>
      <c r="L26" s="5" t="inlineStr"/>
      <c r="M26" s="3" t="inlineStr"/>
    </row>
    <row r="27" ht="22" customHeight="1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</row>
    <row r="28" ht="22" customHeight="1">
      <c r="A28" s="5" t="inlineStr"/>
      <c r="B28" s="5" t="inlineStr"/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3" t="inlineStr"/>
    </row>
    <row r="29" ht="22" customHeight="1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</row>
    <row r="30" ht="22" customHeight="1">
      <c r="A30" s="5" t="inlineStr"/>
      <c r="B30" s="5" t="inlineStr"/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3" t="inlineStr"/>
    </row>
    <row r="31" ht="22" customHeight="1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</row>
    <row r="32" ht="22" customHeight="1">
      <c r="A32" s="5" t="inlineStr"/>
      <c r="B32" s="5" t="inlineStr"/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3" t="inlineStr"/>
    </row>
    <row r="33" ht="22" customHeight="1">
      <c r="A33" s="3" t="inlineStr"/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</row>
    <row r="34" ht="22" customHeight="1">
      <c r="A34" s="5" t="inlineStr"/>
      <c r="B34" s="5" t="inlineStr"/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3" t="inlineStr"/>
    </row>
    <row r="35" ht="22" customHeight="1">
      <c r="A35" s="3" t="inlineStr"/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</row>
    <row r="36" ht="22" customHeight="1">
      <c r="A36" s="5" t="inlineStr"/>
      <c r="B36" s="5" t="inlineStr"/>
      <c r="C36" s="5" t="inlineStr"/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3" t="inlineStr"/>
    </row>
    <row r="37" ht="22" customHeight="1">
      <c r="A37" s="3" t="inlineStr"/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/>
    </row>
    <row r="38" ht="22" customHeight="1">
      <c r="A38" s="5" t="inlineStr"/>
      <c r="B38" s="5" t="inlineStr"/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3" t="inlineStr"/>
    </row>
    <row r="39" ht="22" customHeight="1">
      <c r="A39" s="3" t="inlineStr"/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</row>
    <row r="40" ht="22" customHeight="1">
      <c r="A40" s="5" t="inlineStr"/>
      <c r="B40" s="5" t="inlineStr"/>
      <c r="C40" s="5" t="inlineStr"/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3" t="inlineStr"/>
    </row>
    <row r="41" ht="22" customHeight="1">
      <c r="A41" s="3" t="inlineStr"/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</row>
    <row r="42" ht="22" customHeight="1">
      <c r="A42" s="5" t="inlineStr"/>
      <c r="B42" s="5" t="inlineStr"/>
      <c r="C42" s="5" t="inlineStr"/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3" t="inlineStr"/>
    </row>
    <row r="43" ht="22" customHeight="1">
      <c r="A43" s="3" t="inlineStr"/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</row>
    <row r="45" ht="48" customHeight="1">
      <c r="A45" s="7" t="inlineStr">
        <is>
          <t>不在本表记录授信结论。联系结果只写：已联系、约到下次、暂无需求、联系不上。</t>
        </is>
      </c>
    </row>
  </sheetData>
  <autoFilter ref="A2:M43"/>
  <mergeCells count="2">
    <mergeCell ref="A45:M45"/>
    <mergeCell ref="A1:M1"/>
  </mergeCells>
  <dataValidations count="5">
    <dataValidation sqref="A3:A80" showDropDown="0" showInputMessage="0" showErrorMessage="0" allowBlank="1" type="list">
      <formula1>"10/22 参访,11/5 小局,11/19 参访,11/26 新客局,12/3 参访,12/10 答谢参访,12/17 收官"</formula1>
    </dataValidation>
    <dataValidation sqref="C3:C80" showDropDown="0" showInputMessage="0" showErrorMessage="0" allowBlank="1" type="list">
      <formula1>"提名,转介,活动相识"</formula1>
    </dataValidation>
    <dataValidation sqref="F3:F80" showDropDown="0" showInputMessage="0" showErrorMessage="0" allowBlank="1" type="list">
      <formula1>"是,否"</formula1>
    </dataValidation>
    <dataValidation sqref="I3:I80" showDropDown="0" showInputMessage="0" showErrorMessage="0" allowBlank="1" type="list">
      <formula1>"是,否"</formula1>
    </dataValidation>
    <dataValidation sqref="M3:M80" showDropDown="0" showInputMessage="0" showErrorMessage="0" allowBlank="1" type="list">
      <formula1>"待联系,已联系,约到下次,暂无需求,联系不上"</formula1>
    </dataValidation>
  </dataValidations>
  <pageMargins left="0.4" right="0.4" top="0.6" bottom="0.5" header="0.5" footer="0.5"/>
  <pageSetup orientation="landscape" paperSize="9" fitToHeight="1" fitToWidth="1"/>
  <headerFooter>
    <oddHeader>&amp;C泰隆银行 · 2026年四季度客户参访</oddHeader>
    <oddFooter>&amp;L单场不超过5000元&amp;R第 &amp;P 页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0A1E36"/>
    <outlinePr summaryBelow="1" summaryRight="1"/>
    <pageSetUpPr fitToPage="1"/>
  </sheetPr>
  <dimension ref="A1:J45"/>
  <sheetViews>
    <sheetView showGridLines="0" zoomScale="11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2" customWidth="1" min="4" max="4"/>
    <col width="36" customWidth="1" min="5" max="5"/>
    <col width="12" customWidth="1" min="6" max="6"/>
    <col width="14" customWidth="1" min="7" max="7"/>
    <col width="12" customWidth="1" min="8" max="8"/>
    <col width="28" customWidth="1" min="9" max="9"/>
    <col width="14" customWidth="1" min="10" max="10"/>
  </cols>
  <sheetData>
    <row r="1" ht="36" customHeight="1">
      <c r="A1" s="1" t="inlineStr">
        <is>
          <t>服务事项｜每家客户最多先记一件事｜10 个工作日内给第一次反馈</t>
        </is>
      </c>
    </row>
    <row r="2" ht="26" customHeight="1">
      <c r="A2" s="2" t="inlineStr">
        <is>
          <t>事项编号</t>
        </is>
      </c>
      <c r="B2" s="2" t="inlineStr">
        <is>
          <t>场次</t>
        </is>
      </c>
      <c r="C2" s="2" t="inlineStr">
        <is>
          <t>企业名称</t>
        </is>
      </c>
      <c r="D2" s="2" t="inlineStr">
        <is>
          <t>客户类型</t>
        </is>
      </c>
      <c r="E2" s="2" t="inlineStr">
        <is>
          <t>客户要办的一件事</t>
        </is>
      </c>
      <c r="F2" s="2" t="inlineStr">
        <is>
          <t>客户经理</t>
        </is>
      </c>
      <c r="G2" s="2" t="inlineStr">
        <is>
          <t>承诺反馈日</t>
        </is>
      </c>
      <c r="H2" s="2" t="inlineStr">
        <is>
          <t>状态</t>
        </is>
      </c>
      <c r="I2" s="2" t="inlineStr">
        <is>
          <t>反馈内容</t>
        </is>
      </c>
      <c r="J2" s="2" t="inlineStr">
        <is>
          <t>是否涉及融资</t>
        </is>
      </c>
    </row>
    <row r="3" ht="24" customHeight="1">
      <c r="A3" s="3" t="inlineStr">
        <is>
          <t>1022-001</t>
        </is>
      </c>
      <c r="B3" s="3" t="inlineStr">
        <is>
          <t>10/22 参访</t>
        </is>
      </c>
      <c r="C3" s="3" t="inlineStr">
        <is>
          <t>（示例）</t>
        </is>
      </c>
      <c r="D3" s="3" t="inlineStr">
        <is>
          <t>存量</t>
        </is>
      </c>
      <c r="E3" s="3" t="inlineStr">
        <is>
          <t>想了解订单周转可以准备哪些材料</t>
        </is>
      </c>
      <c r="F3" s="3" t="inlineStr"/>
      <c r="G3" s="3" t="inlineStr">
        <is>
          <t>2026-11-05</t>
        </is>
      </c>
      <c r="H3" s="3" t="inlineStr">
        <is>
          <t>待反馈</t>
        </is>
      </c>
      <c r="I3" s="3" t="inlineStr"/>
      <c r="J3" s="3" t="inlineStr">
        <is>
          <t>是</t>
        </is>
      </c>
    </row>
    <row r="4" ht="24" customHeight="1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</row>
    <row r="5" ht="24" customHeight="1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</row>
    <row r="6" ht="24" customHeight="1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</row>
    <row r="7" ht="24" customHeight="1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</row>
    <row r="8" ht="24" customHeight="1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</row>
    <row r="9" ht="24" customHeight="1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</row>
    <row r="10" ht="24" customHeight="1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</row>
    <row r="11" ht="24" customHeight="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</row>
    <row r="12" ht="24" customHeight="1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</row>
    <row r="13" ht="24" customHeight="1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</row>
    <row r="14" ht="24" customHeight="1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</row>
    <row r="15" ht="24" customHeight="1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</row>
    <row r="16" ht="24" customHeight="1">
      <c r="A16" s="5" t="inlineStr"/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</row>
    <row r="17" ht="24" customHeight="1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</row>
    <row r="18" ht="24" customHeight="1">
      <c r="A18" s="5" t="inlineStr"/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</row>
    <row r="19" ht="24" customHeight="1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</row>
    <row r="20" ht="24" customHeight="1">
      <c r="A20" s="5" t="inlineStr"/>
      <c r="B20" s="5" t="inlineStr"/>
      <c r="C20" s="5" t="inlineStr"/>
      <c r="D20" s="5" t="inlineStr"/>
      <c r="E20" s="5" t="inlineStr"/>
      <c r="F20" s="5" t="inlineStr"/>
      <c r="G20" s="5" t="inlineStr"/>
      <c r="H20" s="5" t="inlineStr"/>
      <c r="I20" s="5" t="inlineStr"/>
      <c r="J20" s="5" t="inlineStr"/>
    </row>
    <row r="21" ht="24" customHeight="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</row>
    <row r="22" ht="24" customHeight="1">
      <c r="A22" s="5" t="inlineStr"/>
      <c r="B22" s="5" t="inlineStr"/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5" t="inlineStr"/>
    </row>
    <row r="23" ht="24" customHeight="1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</row>
    <row r="24" ht="24" customHeight="1">
      <c r="A24" s="5" t="inlineStr"/>
      <c r="B24" s="5" t="inlineStr"/>
      <c r="C24" s="5" t="inlineStr"/>
      <c r="D24" s="5" t="inlineStr"/>
      <c r="E24" s="5" t="inlineStr"/>
      <c r="F24" s="5" t="inlineStr"/>
      <c r="G24" s="5" t="inlineStr"/>
      <c r="H24" s="5" t="inlineStr"/>
      <c r="I24" s="5" t="inlineStr"/>
      <c r="J24" s="5" t="inlineStr"/>
    </row>
    <row r="25" ht="24" customHeight="1">
      <c r="A25" s="3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</row>
    <row r="26" ht="24" customHeight="1">
      <c r="A26" s="5" t="inlineStr"/>
      <c r="B26" s="5" t="inlineStr"/>
      <c r="C26" s="5" t="inlineStr"/>
      <c r="D26" s="5" t="inlineStr"/>
      <c r="E26" s="5" t="inlineStr"/>
      <c r="F26" s="5" t="inlineStr"/>
      <c r="G26" s="5" t="inlineStr"/>
      <c r="H26" s="5" t="inlineStr"/>
      <c r="I26" s="5" t="inlineStr"/>
      <c r="J26" s="5" t="inlineStr"/>
    </row>
    <row r="27" ht="24" customHeight="1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</row>
    <row r="28" ht="24" customHeight="1">
      <c r="A28" s="5" t="inlineStr"/>
      <c r="B28" s="5" t="inlineStr"/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</row>
    <row r="29" ht="24" customHeight="1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</row>
    <row r="30" ht="24" customHeight="1">
      <c r="A30" s="5" t="inlineStr"/>
      <c r="B30" s="5" t="inlineStr"/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</row>
    <row r="31" ht="24" customHeight="1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</row>
    <row r="32" ht="24" customHeight="1">
      <c r="A32" s="5" t="inlineStr"/>
      <c r="B32" s="5" t="inlineStr"/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</row>
    <row r="33" ht="24" customHeight="1">
      <c r="A33" s="3" t="inlineStr"/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</row>
    <row r="34" ht="24" customHeight="1">
      <c r="A34" s="5" t="inlineStr"/>
      <c r="B34" s="5" t="inlineStr"/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</row>
    <row r="35" ht="24" customHeight="1">
      <c r="A35" s="3" t="inlineStr"/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</row>
    <row r="36" ht="24" customHeight="1">
      <c r="A36" s="5" t="inlineStr"/>
      <c r="B36" s="5" t="inlineStr"/>
      <c r="C36" s="5" t="inlineStr"/>
      <c r="D36" s="5" t="inlineStr"/>
      <c r="E36" s="5" t="inlineStr"/>
      <c r="F36" s="5" t="inlineStr"/>
      <c r="G36" s="5" t="inlineStr"/>
      <c r="H36" s="5" t="inlineStr"/>
      <c r="I36" s="5" t="inlineStr"/>
      <c r="J36" s="5" t="inlineStr"/>
    </row>
    <row r="37" ht="24" customHeight="1">
      <c r="A37" s="3" t="inlineStr"/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</row>
    <row r="38" ht="24" customHeight="1">
      <c r="A38" s="5" t="inlineStr"/>
      <c r="B38" s="5" t="inlineStr"/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</row>
    <row r="39" ht="24" customHeight="1">
      <c r="A39" s="3" t="inlineStr"/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</row>
    <row r="40" ht="24" customHeight="1">
      <c r="A40" s="5" t="inlineStr"/>
      <c r="B40" s="5" t="inlineStr"/>
      <c r="C40" s="5" t="inlineStr"/>
      <c r="D40" s="5" t="inlineStr"/>
      <c r="E40" s="5" t="inlineStr"/>
      <c r="F40" s="5" t="inlineStr"/>
      <c r="G40" s="5" t="inlineStr"/>
      <c r="H40" s="5" t="inlineStr"/>
      <c r="I40" s="5" t="inlineStr"/>
      <c r="J40" s="5" t="inlineStr"/>
    </row>
    <row r="41" ht="24" customHeight="1">
      <c r="A41" s="3" t="inlineStr"/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</row>
    <row r="42" ht="24" customHeight="1">
      <c r="A42" s="5" t="inlineStr"/>
      <c r="B42" s="5" t="inlineStr"/>
      <c r="C42" s="5" t="inlineStr"/>
      <c r="D42" s="5" t="inlineStr"/>
      <c r="E42" s="5" t="inlineStr"/>
      <c r="F42" s="5" t="inlineStr"/>
      <c r="G42" s="5" t="inlineStr"/>
      <c r="H42" s="5" t="inlineStr"/>
      <c r="I42" s="5" t="inlineStr"/>
      <c r="J42" s="5" t="inlineStr"/>
    </row>
    <row r="43" ht="24" customHeight="1">
      <c r="A43" s="3" t="inlineStr"/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</row>
    <row r="45" ht="48" customHeight="1">
      <c r="A45" s="7" t="inlineStr">
        <is>
          <t>涉及融资的，只反馈材料准备或是否进入银行正常流程，不写额度、利率和放款时间。</t>
        </is>
      </c>
    </row>
  </sheetData>
  <autoFilter ref="A2:J43"/>
  <mergeCells count="2">
    <mergeCell ref="A45:J45"/>
    <mergeCell ref="A1:J1"/>
  </mergeCells>
  <dataValidations count="3">
    <dataValidation sqref="D3:D80" showDropDown="0" showInputMessage="0" showErrorMessage="0" allowBlank="1" type="list">
      <formula1>"存量,新客,转介"</formula1>
    </dataValidation>
    <dataValidation sqref="H3:H80" showDropDown="0" showInputMessage="0" showErrorMessage="0" allowBlank="1" type="list">
      <formula1>"待反馈,已反馈,转介,暂不适配,客户暂缓"</formula1>
    </dataValidation>
    <dataValidation sqref="J3:J80" showDropDown="0" showInputMessage="0" showErrorMessage="0" allowBlank="1" type="list">
      <formula1>"是,否"</formula1>
    </dataValidation>
  </dataValidations>
  <pageMargins left="0.4" right="0.4" top="0.6" bottom="0.5" header="0.5" footer="0.5"/>
  <pageSetup orientation="landscape" paperSize="9" fitToHeight="1" fitToWidth="1"/>
  <headerFooter>
    <oddHeader>&amp;C泰隆银行 · 2026年四季度客户参访</oddHeader>
    <oddFooter>&amp;L单场不超过5000元&amp;R第 &amp;P 页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rgb="001F7A4D"/>
    <outlinePr summaryBelow="1" summaryRight="1"/>
    <pageSetUpPr fitToPage="1"/>
  </sheetPr>
  <dimension ref="A1:F12"/>
  <sheetViews>
    <sheetView showGridLines="0" zoomScale="11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8" customWidth="1" min="3" max="3"/>
    <col width="36" customWidth="1" min="4" max="4"/>
    <col width="12" customWidth="1" min="5" max="5"/>
    <col width="28" customWidth="1" min="6" max="6"/>
  </cols>
  <sheetData>
    <row r="1" ht="36" customHeight="1">
      <c r="A1" s="1" t="inlineStr">
        <is>
          <t>指标自动汇总｜出席与满意度来自「07-客户出席回访」，新客联系来自「08-新客跟进」</t>
        </is>
      </c>
    </row>
    <row r="2">
      <c r="A2" s="2" t="inlineStr">
        <is>
          <t>指标</t>
        </is>
      </c>
      <c r="B2" s="2" t="inlineStr">
        <is>
          <t>目标</t>
        </is>
      </c>
      <c r="C2" s="2" t="inlineStr">
        <is>
          <t>当前数字</t>
        </is>
      </c>
      <c r="D2" s="2" t="inlineStr">
        <is>
          <t>怎么数</t>
        </is>
      </c>
      <c r="E2" s="2" t="inlineStr">
        <is>
          <t>是否达到</t>
        </is>
      </c>
      <c r="F2" s="2" t="inlineStr">
        <is>
          <t>说明</t>
        </is>
      </c>
    </row>
    <row r="3" ht="28" customHeight="1">
      <c r="A3" s="3" t="inlineStr">
        <is>
          <t>存量客户出席人次</t>
        </is>
      </c>
      <c r="B3" s="3" t="n">
        <v>60</v>
      </c>
      <c r="C3" s="3">
        <f>COUNTIFS('07-客户出席回访'!G:G,"存量",'07-客户出席回访'!I:I,"是")</f>
        <v/>
      </c>
      <c r="D3" s="3" t="inlineStr">
        <is>
          <t>类型=存量 且 出席=是</t>
        </is>
      </c>
      <c r="E3" s="12">
        <f>IF(C3="","待填",IF(C3&gt;=B3,"达到","未达到"))</f>
        <v/>
      </c>
      <c r="F3" s="3" t="inlineStr"/>
    </row>
    <row r="4" ht="28" customHeight="1">
      <c r="A4" s="3" t="inlineStr">
        <is>
          <t>新客户出席</t>
        </is>
      </c>
      <c r="B4" s="3" t="n">
        <v>25</v>
      </c>
      <c r="C4" s="3">
        <f>COUNTIFS('07-客户出席回访'!G:G,"新客",'07-客户出席回访'!I:I,"是")+COUNTIFS('07-客户出席回访'!G:G,"转介",'07-客户出席回访'!I:I,"是")</f>
        <v/>
      </c>
      <c r="D4" s="3" t="inlineStr">
        <is>
          <t>新客+转介，且出席=是</t>
        </is>
      </c>
      <c r="E4" s="12">
        <f>IF(C4="","待填",IF(C4&gt;=B4,"达到","未达到"))</f>
        <v/>
      </c>
      <c r="F4" s="3" t="inlineStr"/>
    </row>
    <row r="5" ht="28" customHeight="1">
      <c r="A5" s="3" t="inlineStr">
        <is>
          <t>转介到场</t>
        </is>
      </c>
      <c r="B5" s="3" t="n">
        <v>8</v>
      </c>
      <c r="C5" s="3">
        <f>COUNTIFS('07-客户出席回访'!G:G,"转介",'07-客户出席回访'!I:I,"是")</f>
        <v/>
      </c>
      <c r="D5" s="3" t="inlineStr">
        <is>
          <t>类型=转介 且 出席=是</t>
        </is>
      </c>
      <c r="E5" s="12">
        <f>IF(C5="","待填",IF(C5&gt;=B5,"达到","未达到"))</f>
        <v/>
      </c>
      <c r="F5" s="3" t="inlineStr"/>
    </row>
    <row r="6" ht="28" customHeight="1">
      <c r="A6" s="3" t="inlineStr">
        <is>
          <t>已填满意度份数</t>
        </is>
      </c>
      <c r="B6" s="3" t="inlineStr">
        <is>
          <t>—</t>
        </is>
      </c>
      <c r="C6" s="3">
        <f>COUNTIF('07-客户出席回访'!J:J,"满意")+COUNTIF('07-客户出席回访'!J:J,"一般")+COUNTIF('07-客户出席回访'!J:J,"不满意")</f>
        <v/>
      </c>
      <c r="D6" s="3" t="inlineStr">
        <is>
          <t>有满意度记录的人数</t>
        </is>
      </c>
      <c r="E6" s="12" t="inlineStr">
        <is>
          <t>—</t>
        </is>
      </c>
      <c r="F6" s="3" t="inlineStr"/>
    </row>
    <row r="7" ht="28" customHeight="1">
      <c r="A7" s="3" t="inlineStr">
        <is>
          <t>满意份数</t>
        </is>
      </c>
      <c r="B7" s="3" t="inlineStr">
        <is>
          <t>—</t>
        </is>
      </c>
      <c r="C7" s="3">
        <f>COUNTIF('07-客户出席回访'!J:J,"满意")</f>
        <v/>
      </c>
      <c r="D7" s="3" t="inlineStr">
        <is>
          <t>满意度=满意</t>
        </is>
      </c>
      <c r="E7" s="12" t="inlineStr">
        <is>
          <t>—</t>
        </is>
      </c>
      <c r="F7" s="3" t="inlineStr"/>
    </row>
    <row r="8" ht="28" customHeight="1">
      <c r="A8" s="3" t="inlineStr">
        <is>
          <t>满意度</t>
        </is>
      </c>
      <c r="B8" s="3" t="inlineStr">
        <is>
          <t>≥90%</t>
        </is>
      </c>
      <c r="C8" s="13">
        <f>IF(C6=0,"",C7/C6)</f>
        <v/>
      </c>
      <c r="D8" s="3" t="inlineStr">
        <is>
          <t>满意份数 / 已填份数</t>
        </is>
      </c>
      <c r="E8" s="12">
        <f>IF(C8="","待填",IF(C8&gt;=0.9,"达到","未达到"))</f>
        <v/>
      </c>
      <c r="F8" s="3" t="inlineStr"/>
    </row>
    <row r="9" ht="28" customHeight="1">
      <c r="A9" s="3" t="inlineStr">
        <is>
          <t>新客已联系</t>
        </is>
      </c>
      <c r="B9" s="3" t="inlineStr">
        <is>
          <t>—</t>
        </is>
      </c>
      <c r="C9" s="3">
        <f>COUNTIF('08-新客跟进'!I:I,"是")</f>
        <v/>
      </c>
      <c r="D9" s="3" t="inlineStr">
        <is>
          <t>新客表中已联系=是</t>
        </is>
      </c>
      <c r="E9" s="12" t="inlineStr">
        <is>
          <t>—</t>
        </is>
      </c>
      <c r="F9" s="3" t="inlineStr"/>
    </row>
    <row r="10" ht="28" customHeight="1">
      <c r="A10" s="3" t="inlineStr">
        <is>
          <t>新客应联系</t>
        </is>
      </c>
      <c r="B10" s="3" t="inlineStr">
        <is>
          <t>—</t>
        </is>
      </c>
      <c r="C10" s="3">
        <f>COUNTIF('08-新客跟进'!F:F,"是")</f>
        <v/>
      </c>
      <c r="D10" s="3" t="inlineStr">
        <is>
          <t>新客表中出席=是</t>
        </is>
      </c>
      <c r="E10" s="12" t="inlineStr">
        <is>
          <t>—</t>
        </is>
      </c>
      <c r="F10" s="3" t="inlineStr"/>
    </row>
    <row r="11" ht="28" customHeight="1">
      <c r="A11" s="3" t="inlineStr">
        <is>
          <t>新客联系率</t>
        </is>
      </c>
      <c r="B11" s="3" t="inlineStr">
        <is>
          <t>100%</t>
        </is>
      </c>
      <c r="C11" s="13">
        <f>IF(C10=0,"",C9/C10)</f>
        <v/>
      </c>
      <c r="D11" s="3" t="inlineStr">
        <is>
          <t>已联系 / 应联系</t>
        </is>
      </c>
      <c r="E11" s="12">
        <f>IF(C11="","待填",IF(C11&gt;=1,"达到","未达到"))</f>
        <v/>
      </c>
      <c r="F11" s="3" t="inlineStr"/>
    </row>
    <row r="12" ht="32" customHeight="1">
      <c r="A12" s="11" t="inlineStr">
        <is>
          <t>满意度目标看比例，不看绝对份数。新客 5 日内联系率 = 已联系 / 应联系，目标 100%。示例行请覆盖，否则会被算进数字。</t>
        </is>
      </c>
    </row>
  </sheetData>
  <mergeCells count="2">
    <mergeCell ref="A1:F1"/>
    <mergeCell ref="A12:F12"/>
  </mergeCells>
  <conditionalFormatting sqref="E3:E11">
    <cfRule type="expression" priority="1" dxfId="3">
      <formula>E3="达到"</formula>
    </cfRule>
    <cfRule type="expression" priority="2" dxfId="2">
      <formula>E3="未达到"</formula>
    </cfRule>
  </conditionalFormatting>
  <pageMargins left="0.4" right="0.4" top="0.6" bottom="0.5" header="0.5" footer="0.5"/>
  <pageSetup orientation="landscape" paperSize="9" fitToHeight="1" fitToWidth="1"/>
  <headerFooter>
    <oddHeader>&amp;C泰隆银行 · 2026年四季度客户参访</oddHeader>
    <oddFooter>&amp;L单场不超过5000元&amp;R第 &amp;P 页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rgb="000A1E36"/>
    <outlinePr summaryBelow="1" summaryRight="1"/>
    <pageSetUpPr fitToPage="1"/>
  </sheetPr>
  <dimension ref="A1:G12"/>
  <sheetViews>
    <sheetView showGridLines="0" zoomScale="11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6" customWidth="1" min="4" max="4"/>
    <col width="14" customWidth="1" min="5" max="5"/>
    <col width="12" customWidth="1" min="6" max="6"/>
    <col width="42" customWidth="1" min="7" max="7"/>
  </cols>
  <sheetData>
    <row r="1" ht="36" customHeight="1">
      <c r="A1" s="1" t="inlineStr">
        <is>
          <t>责任与小场人力｜先填姓名，没有姓名的岗位视为未到位</t>
        </is>
      </c>
    </row>
    <row r="2" ht="26" customHeight="1">
      <c r="A2" s="2" t="inlineStr">
        <is>
          <t>事项或岗位</t>
        </is>
      </c>
      <c r="B2" s="2" t="inlineStr">
        <is>
          <t>人数</t>
        </is>
      </c>
      <c r="C2" s="2" t="inlineStr">
        <is>
          <t>拍板人</t>
        </is>
      </c>
      <c r="D2" s="2" t="inlineStr">
        <is>
          <t>办理人</t>
        </is>
      </c>
      <c r="E2" s="2" t="inlineStr">
        <is>
          <t>姓名</t>
        </is>
      </c>
      <c r="F2" s="2" t="inlineStr">
        <is>
          <t>备份</t>
        </is>
      </c>
      <c r="G2" s="2" t="inlineStr">
        <is>
          <t>一场要做完的事</t>
        </is>
      </c>
    </row>
    <row r="3" ht="30" customHeight="1">
      <c r="A3" s="3" t="inlineStr">
        <is>
          <t>项目经理</t>
        </is>
      </c>
      <c r="B3" s="3" t="inlineStr">
        <is>
          <t>1</t>
        </is>
      </c>
      <c r="C3" s="3" t="inlineStr">
        <is>
          <t>项目经理</t>
        </is>
      </c>
      <c r="D3" s="3" t="inlineStr">
        <is>
          <t>项目经理</t>
        </is>
      </c>
      <c r="E3" s="3" t="inlineStr"/>
      <c r="F3" s="3" t="inlineStr"/>
      <c r="G3" s="3" t="inlineStr">
        <is>
          <t>控预算、控时间、处理不满意升级</t>
        </is>
      </c>
    </row>
    <row r="4" ht="30" customHeight="1">
      <c r="A4" s="5" t="inlineStr">
        <is>
          <t>客户经理陪同</t>
        </is>
      </c>
      <c r="B4" s="5" t="inlineStr">
        <is>
          <t>4—8</t>
        </is>
      </c>
      <c r="C4" s="5" t="inlineStr">
        <is>
          <t>客户经理</t>
        </is>
      </c>
      <c r="D4" s="5" t="inlineStr">
        <is>
          <t>客户经理</t>
        </is>
      </c>
      <c r="E4" s="5" t="inlineStr"/>
      <c r="F4" s="5" t="inlineStr"/>
      <c r="G4" s="5" t="inlineStr">
        <is>
          <t>邀请、陪同、次日回访、新客首联</t>
        </is>
      </c>
    </row>
    <row r="5" ht="30" customHeight="1">
      <c r="A5" s="3" t="inlineStr">
        <is>
          <t>会务</t>
        </is>
      </c>
      <c r="B5" s="3" t="inlineStr">
        <is>
          <t>1</t>
        </is>
      </c>
      <c r="C5" s="3" t="inlineStr">
        <is>
          <t>项目经理</t>
        </is>
      </c>
      <c r="D5" s="3" t="inlineStr">
        <is>
          <t>会务</t>
        </is>
      </c>
      <c r="E5" s="3" t="inlineStr"/>
      <c r="F5" s="3" t="inlineStr"/>
      <c r="G5" s="3" t="inlineStr">
        <is>
          <t>场地、交通、茶水、物料，报价不超 5000</t>
        </is>
      </c>
    </row>
    <row r="6" ht="30" customHeight="1">
      <c r="A6" s="5" t="inlineStr">
        <is>
          <t>记录</t>
        </is>
      </c>
      <c r="B6" s="5" t="inlineStr">
        <is>
          <t>1</t>
        </is>
      </c>
      <c r="C6" s="5" t="inlineStr">
        <is>
          <t>项目经理</t>
        </is>
      </c>
      <c r="D6" s="5" t="inlineStr">
        <is>
          <t>记录</t>
        </is>
      </c>
      <c r="E6" s="5" t="inlineStr"/>
      <c r="F6" s="5" t="inlineStr"/>
      <c r="G6" s="5" t="inlineStr">
        <is>
          <t>服务卡收回，当天录入台账</t>
        </is>
      </c>
    </row>
    <row r="7" ht="30" customHeight="1">
      <c r="A7" s="3" t="inlineStr">
        <is>
          <t>合规窗口</t>
        </is>
      </c>
      <c r="B7" s="3" t="inlineStr">
        <is>
          <t>1</t>
        </is>
      </c>
      <c r="C7" s="3" t="inlineStr">
        <is>
          <t>银行合规</t>
        </is>
      </c>
      <c r="D7" s="3" t="inlineStr">
        <is>
          <t>银行合规</t>
        </is>
      </c>
      <c r="E7" s="3" t="inlineStr"/>
      <c r="F7" s="3" t="inlineStr"/>
      <c r="G7" s="3" t="inlineStr">
        <is>
          <t>审邀请话术；不必全程在场</t>
        </is>
      </c>
    </row>
    <row r="8" ht="30" customHeight="1">
      <c r="A8" s="5" t="inlineStr">
        <is>
          <t>被访企业引导</t>
        </is>
      </c>
      <c r="B8" s="5" t="inlineStr">
        <is>
          <t>1</t>
        </is>
      </c>
      <c r="C8" s="5" t="inlineStr">
        <is>
          <t>被访企业</t>
        </is>
      </c>
      <c r="D8" s="5" t="inlineStr">
        <is>
          <t>被访企业</t>
        </is>
      </c>
      <c r="E8" s="5" t="inlineStr"/>
      <c r="F8" s="5" t="inlineStr"/>
      <c r="G8" s="5" t="inlineStr">
        <is>
          <t>路线、安全、无拍摄区</t>
        </is>
      </c>
    </row>
    <row r="9" ht="30" customHeight="1">
      <c r="A9" s="3" t="inlineStr">
        <is>
          <t>参访企业落实</t>
        </is>
      </c>
      <c r="B9" s="3" t="inlineStr">
        <is>
          <t>—</t>
        </is>
      </c>
      <c r="C9" s="3" t="inlineStr">
        <is>
          <t>项目经理</t>
        </is>
      </c>
      <c r="D9" s="3" t="inlineStr">
        <is>
          <t>科企联/项目办</t>
        </is>
      </c>
      <c r="E9" s="3" t="inlineStr"/>
      <c r="F9" s="3" t="inlineStr"/>
      <c r="G9" s="3" t="inlineStr">
        <is>
          <t>书面确认免费接待和拍摄边界</t>
        </is>
      </c>
    </row>
    <row r="10" ht="30" customHeight="1">
      <c r="A10" s="5" t="inlineStr">
        <is>
          <t>预算不超 5000</t>
        </is>
      </c>
      <c r="B10" s="5" t="inlineStr">
        <is>
          <t>—</t>
        </is>
      </c>
      <c r="C10" s="5" t="inlineStr">
        <is>
          <t>项目经理</t>
        </is>
      </c>
      <c r="D10" s="5" t="inlineStr">
        <is>
          <t>会务</t>
        </is>
      </c>
      <c r="E10" s="5" t="inlineStr"/>
      <c r="F10" s="5" t="inlineStr"/>
      <c r="G10" s="5" t="inlineStr">
        <is>
          <t>决算录入闸门表</t>
        </is>
      </c>
    </row>
    <row r="12" ht="48" customHeight="1">
      <c r="A12" s="7" t="inlineStr">
        <is>
          <t>小局可以不设被访企业引导。客户经理人数按自己客户的数量增减，但不把客户交给不认识的人陪同。</t>
        </is>
      </c>
    </row>
  </sheetData>
  <autoFilter ref="A2:G10"/>
  <mergeCells count="2">
    <mergeCell ref="A1:G1"/>
    <mergeCell ref="A12:G12"/>
  </mergeCells>
  <pageMargins left="0.4" right="0.4" top="0.6" bottom="0.5" header="0.5" footer="0.5"/>
  <pageSetup orientation="landscape" paperSize="9" fitToHeight="1" fitToWidth="1"/>
  <headerFooter>
    <oddHeader>&amp;C泰隆银行 · 2026年四季度客户参访</oddHeader>
    <oddFooter>&amp;L单场不超过5000元&amp;R第 &amp;P 页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tabColor rgb="000A1E36"/>
    <outlinePr summaryBelow="1" summaryRight="1"/>
    <pageSetUpPr fitToPage="1"/>
  </sheetPr>
  <dimension ref="A1:E16"/>
  <sheetViews>
    <sheetView showGridLines="0" zoomScale="11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0" customWidth="1" min="4" max="4"/>
    <col width="14" customWidth="1" min="5" max="5"/>
  </cols>
  <sheetData>
    <row r="1" ht="36" customHeight="1">
      <c r="A1" s="1" t="inlineStr">
        <is>
          <t>现场检查｜每场复制使用｜场次：　　日期：　　项目经理：</t>
        </is>
      </c>
    </row>
    <row r="2" ht="26" customHeight="1">
      <c r="A2" s="2" t="inlineStr">
        <is>
          <t>时点</t>
        </is>
      </c>
      <c r="B2" s="2" t="inlineStr">
        <is>
          <t>检查项</t>
        </is>
      </c>
      <c r="C2" s="2" t="inlineStr">
        <is>
          <t>适用</t>
        </is>
      </c>
      <c r="D2" s="2" t="inlineStr">
        <is>
          <t>完成</t>
        </is>
      </c>
      <c r="E2" s="2" t="inlineStr">
        <is>
          <t>姓名</t>
        </is>
      </c>
    </row>
    <row r="3" ht="26" customHeight="1">
      <c r="A3" s="3" t="inlineStr">
        <is>
          <t>立项</t>
        </is>
      </c>
      <c r="B3" s="3" t="inlineStr">
        <is>
          <t>预算表合计 ≤5000，且无付费嘉宾、无摄影团队</t>
        </is>
      </c>
      <c r="C3" s="3" t="inlineStr">
        <is>
          <t>全部</t>
        </is>
      </c>
      <c r="D3" s="3" t="inlineStr">
        <is>
          <t>否</t>
        </is>
      </c>
      <c r="E3" s="3" t="inlineStr"/>
    </row>
    <row r="4" ht="26" customHeight="1">
      <c r="A4" s="5" t="inlineStr">
        <is>
          <t>立项</t>
        </is>
      </c>
      <c r="B4" s="5" t="inlineStr">
        <is>
          <t>被访企业书面同意免费接待，写明无拍摄区</t>
        </is>
      </c>
      <c r="C4" s="5" t="inlineStr">
        <is>
          <t>参访</t>
        </is>
      </c>
      <c r="D4" s="5" t="inlineStr">
        <is>
          <t>否</t>
        </is>
      </c>
      <c r="E4" s="5" t="inlineStr"/>
    </row>
    <row r="5" ht="26" customHeight="1">
      <c r="A5" s="3" t="inlineStr">
        <is>
          <t>邀请前</t>
        </is>
      </c>
      <c r="B5" s="3" t="inlineStr">
        <is>
          <t>话术不含额度、利率、放款、领导保证出席</t>
        </is>
      </c>
      <c r="C5" s="3" t="inlineStr">
        <is>
          <t>全部</t>
        </is>
      </c>
      <c r="D5" s="3" t="inlineStr">
        <is>
          <t>否</t>
        </is>
      </c>
      <c r="E5" s="3" t="inlineStr"/>
    </row>
    <row r="6" ht="26" customHeight="1">
      <c r="A6" s="5" t="inlineStr">
        <is>
          <t>T-5</t>
        </is>
      </c>
      <c r="B6" s="5" t="inlineStr">
        <is>
          <t>交通和茶歇报价复核，超了已减项</t>
        </is>
      </c>
      <c r="C6" s="5" t="inlineStr">
        <is>
          <t>全部</t>
        </is>
      </c>
      <c r="D6" s="5" t="inlineStr">
        <is>
          <t>否</t>
        </is>
      </c>
      <c r="E6" s="5" t="inlineStr"/>
    </row>
    <row r="7" ht="26" customHeight="1">
      <c r="A7" s="3" t="inlineStr">
        <is>
          <t>T-1</t>
        </is>
      </c>
      <c r="B7" s="3" t="inlineStr">
        <is>
          <t>每位客户都有陪同的客户经理</t>
        </is>
      </c>
      <c r="C7" s="3" t="inlineStr">
        <is>
          <t>全部</t>
        </is>
      </c>
      <c r="D7" s="3" t="inlineStr">
        <is>
          <t>否</t>
        </is>
      </c>
      <c r="E7" s="3" t="inlineStr"/>
    </row>
    <row r="8" ht="26" customHeight="1">
      <c r="A8" s="5" t="inlineStr">
        <is>
          <t>当天开始</t>
        </is>
      </c>
      <c r="B8" s="5" t="inlineStr">
        <is>
          <t>13:30 开始；告知不收费、不承诺贷款</t>
        </is>
      </c>
      <c r="C8" s="5" t="inlineStr">
        <is>
          <t>全部</t>
        </is>
      </c>
      <c r="D8" s="5" t="inlineStr">
        <is>
          <t>否</t>
        </is>
      </c>
      <c r="E8" s="5" t="inlineStr"/>
    </row>
    <row r="9" ht="26" customHeight="1">
      <c r="A9" s="3" t="inlineStr">
        <is>
          <t>参访中</t>
        </is>
      </c>
      <c r="B9" s="3" t="inlineStr">
        <is>
          <t>动线 90 分钟内，引导在场</t>
        </is>
      </c>
      <c r="C9" s="3" t="inlineStr">
        <is>
          <t>参访</t>
        </is>
      </c>
      <c r="D9" s="3" t="inlineStr">
        <is>
          <t>否</t>
        </is>
      </c>
      <c r="E9" s="3" t="inlineStr"/>
    </row>
    <row r="10" ht="26" customHeight="1">
      <c r="A10" s="5" t="inlineStr">
        <is>
          <t>离场前</t>
        </is>
      </c>
      <c r="B10" s="5" t="inlineStr">
        <is>
          <t>每家客户有一张服务卡，客户点头</t>
        </is>
      </c>
      <c r="C10" s="5" t="inlineStr">
        <is>
          <t>全部</t>
        </is>
      </c>
      <c r="D10" s="5" t="inlineStr">
        <is>
          <t>否</t>
        </is>
      </c>
      <c r="E10" s="5" t="inlineStr"/>
    </row>
    <row r="11" ht="26" customHeight="1">
      <c r="A11" s="3" t="inlineStr">
        <is>
          <t>离场前</t>
        </is>
      </c>
      <c r="B11" s="3" t="inlineStr">
        <is>
          <t>新客户知道对接人姓名</t>
        </is>
      </c>
      <c r="C11" s="3" t="inlineStr">
        <is>
          <t>有新客时</t>
        </is>
      </c>
      <c r="D11" s="3" t="inlineStr">
        <is>
          <t>否</t>
        </is>
      </c>
      <c r="E11" s="3" t="inlineStr"/>
    </row>
    <row r="12" ht="26" customHeight="1">
      <c r="A12" s="5" t="inlineStr">
        <is>
          <t>当天</t>
        </is>
      </c>
      <c r="B12" s="5" t="inlineStr">
        <is>
          <t>票据装袋，准备录入决算闸门</t>
        </is>
      </c>
      <c r="C12" s="5" t="inlineStr">
        <is>
          <t>全部</t>
        </is>
      </c>
      <c r="D12" s="5" t="inlineStr">
        <is>
          <t>否</t>
        </is>
      </c>
      <c r="E12" s="5" t="inlineStr"/>
    </row>
    <row r="13" ht="26" customHeight="1">
      <c r="A13" s="3" t="inlineStr">
        <is>
          <t>次日</t>
        </is>
      </c>
      <c r="B13" s="3" t="inlineStr">
        <is>
          <t>出席客户都有满意度</t>
        </is>
      </c>
      <c r="C13" s="3" t="inlineStr">
        <is>
          <t>全部</t>
        </is>
      </c>
      <c r="D13" s="3" t="inlineStr">
        <is>
          <t>否</t>
        </is>
      </c>
      <c r="E13" s="3" t="inlineStr"/>
    </row>
    <row r="14" ht="26" customHeight="1">
      <c r="A14" s="5" t="inlineStr">
        <is>
          <t>2日内</t>
        </is>
      </c>
      <c r="B14" s="5" t="inlineStr">
        <is>
          <t>不满意客户已电话，项目经理已知情</t>
        </is>
      </c>
      <c r="C14" s="5" t="inlineStr">
        <is>
          <t>如有</t>
        </is>
      </c>
      <c r="D14" s="5" t="inlineStr">
        <is>
          <t>否</t>
        </is>
      </c>
      <c r="E14" s="5" t="inlineStr"/>
    </row>
    <row r="16" ht="48" customHeight="1">
      <c r="A16" s="7" t="inlineStr">
        <is>
          <t>完成栏改为“是”才算过。参访场次中标成“参访”的项目不能空。</t>
        </is>
      </c>
    </row>
  </sheetData>
  <autoFilter ref="A2:E14"/>
  <mergeCells count="2">
    <mergeCell ref="A16:E16"/>
    <mergeCell ref="A1:E1"/>
  </mergeCells>
  <dataValidations count="1">
    <dataValidation sqref="D3:D30" showDropDown="0" showInputMessage="0" showErrorMessage="0" allowBlank="1" type="list">
      <formula1>"是,否"</formula1>
    </dataValidation>
  </dataValidations>
  <pageMargins left="0.4" right="0.4" top="0.6" bottom="0.5" header="0.5" footer="0.5"/>
  <pageSetup orientation="landscape" paperSize="9" fitToHeight="1" fitToWidth="1"/>
  <headerFooter>
    <oddHeader>&amp;C泰隆银行 · 2026年四季度客户参访</oddHeader>
    <oddFooter>&amp;L单场不超过5000元&amp;R第 &amp;P 页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tabColor rgb="000A1E36"/>
    <outlinePr summaryBelow="1" summaryRight="1"/>
    <pageSetUpPr fitToPage="1"/>
  </sheetPr>
  <dimension ref="A1:D13"/>
  <sheetViews>
    <sheetView showGridLines="0" zoomScale="11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48" customWidth="1" min="2" max="2"/>
    <col width="14" customWidth="1" min="3" max="3"/>
    <col width="10" customWidth="1" min="4" max="4"/>
  </cols>
  <sheetData>
    <row r="1" ht="36" customHeight="1">
      <c r="A1" s="1" t="inlineStr">
        <is>
          <t>风险与边界｜开场先说不收费、不承诺贷款</t>
        </is>
      </c>
    </row>
    <row r="2" ht="26" customHeight="1">
      <c r="A2" s="2" t="inlineStr">
        <is>
          <t>风险</t>
        </is>
      </c>
      <c r="B2" s="2" t="inlineStr">
        <is>
          <t>出现时怎么处理</t>
        </is>
      </c>
      <c r="C2" s="2" t="inlineStr">
        <is>
          <t>谁处理</t>
        </is>
      </c>
      <c r="D2" s="2" t="inlineStr">
        <is>
          <t>程度</t>
        </is>
      </c>
    </row>
    <row r="3" ht="30" customHeight="1">
      <c r="A3" s="3" t="inlineStr">
        <is>
          <t>报价超过 5000 元</t>
        </is>
      </c>
      <c r="B3" s="3" t="inlineStr">
        <is>
          <t>减交通、茶歇或物料；减完仍超过就换零成本场地</t>
        </is>
      </c>
      <c r="C3" s="3" t="inlineStr">
        <is>
          <t>项目经理</t>
        </is>
      </c>
      <c r="D3" s="14" t="inlineStr">
        <is>
          <t>高</t>
        </is>
      </c>
    </row>
    <row r="4" ht="30" customHeight="1">
      <c r="A4" s="5" t="inlineStr">
        <is>
          <t>被访企业临时取消</t>
        </is>
      </c>
      <c r="B4" s="5" t="inlineStr">
        <is>
          <t>改到银行贵宾室，同主题小局，已确认客户照常接待</t>
        </is>
      </c>
      <c r="C4" s="5" t="inlineStr">
        <is>
          <t>项目经理</t>
        </is>
      </c>
      <c r="D4" s="14" t="inlineStr">
        <is>
          <t>高</t>
        </is>
      </c>
    </row>
    <row r="5" ht="30" customHeight="1">
      <c r="A5" s="3" t="inlineStr">
        <is>
          <t>客户问能批多少</t>
        </is>
      </c>
      <c r="B5" s="3" t="inlineStr">
        <is>
          <t>回答由银行独立审批；不给区间、不给时间</t>
        </is>
      </c>
      <c r="C5" s="3" t="inlineStr">
        <is>
          <t>客户经理</t>
        </is>
      </c>
      <c r="D5" s="14" t="inlineStr">
        <is>
          <t>高</t>
        </is>
      </c>
    </row>
    <row r="6" ht="30" customHeight="1">
      <c r="A6" s="5" t="inlineStr">
        <is>
          <t>有人现场拉业务或收费</t>
        </is>
      </c>
      <c r="B6" s="5" t="inlineStr">
        <is>
          <t>当场制止并请离，取消后续资格</t>
        </is>
      </c>
      <c r="C6" s="5" t="inlineStr">
        <is>
          <t>项目经理</t>
        </is>
      </c>
      <c r="D6" s="14" t="inlineStr">
        <is>
          <t>高</t>
        </is>
      </c>
    </row>
    <row r="7" ht="30" customHeight="1">
      <c r="A7" s="3" t="inlineStr">
        <is>
          <t>客户不满意</t>
        </is>
      </c>
      <c r="B7" s="3" t="inlineStr">
        <is>
          <t>2 日内客户经理电话；项目经理记录原因</t>
        </is>
      </c>
      <c r="C7" s="3" t="inlineStr">
        <is>
          <t>客户经理</t>
        </is>
      </c>
      <c r="D7" s="3" t="inlineStr">
        <is>
          <t>中</t>
        </is>
      </c>
    </row>
    <row r="8" ht="30" customHeight="1">
      <c r="A8" s="5" t="inlineStr">
        <is>
          <t>新客 5 日内没人联系</t>
        </is>
      </c>
      <c r="B8" s="5" t="inlineStr">
        <is>
          <t>项目经理当天改派另一位客户经理</t>
        </is>
      </c>
      <c r="C8" s="5" t="inlineStr">
        <is>
          <t>项目经理</t>
        </is>
      </c>
      <c r="D8" s="14" t="inlineStr">
        <is>
          <t>高</t>
        </is>
      </c>
    </row>
    <row r="9" ht="30" customHeight="1">
      <c r="A9" s="3" t="inlineStr">
        <is>
          <t>同一客户被连续邀请</t>
        </is>
      </c>
      <c r="B9" s="3" t="inlineStr">
        <is>
          <t>相邻场次默认不重复，季度不超过 3 次</t>
        </is>
      </c>
      <c r="C9" s="3" t="inlineStr">
        <is>
          <t>项目经理</t>
        </is>
      </c>
      <c r="D9" s="3" t="inlineStr">
        <is>
          <t>中</t>
        </is>
      </c>
    </row>
    <row r="10" ht="30" customHeight="1">
      <c r="A10" s="5" t="inlineStr">
        <is>
          <t>想加伴手礼</t>
        </is>
      </c>
      <c r="B10" s="5" t="inlineStr">
        <is>
          <t>先过合规；总额仍须 ≤5000，否则不做</t>
        </is>
      </c>
      <c r="C10" s="5" t="inlineStr">
        <is>
          <t>银行合规</t>
        </is>
      </c>
      <c r="D10" s="3" t="inlineStr">
        <is>
          <t>中</t>
        </is>
      </c>
    </row>
    <row r="11" ht="30" customHeight="1">
      <c r="A11" s="3" t="inlineStr">
        <is>
          <t>拍摄到不该拍的区域</t>
        </is>
      </c>
      <c r="B11" s="3" t="inlineStr">
        <is>
          <t>当场删除，书面说明</t>
        </is>
      </c>
      <c r="C11" s="3" t="inlineStr">
        <is>
          <t>会务</t>
        </is>
      </c>
      <c r="D11" s="14" t="inlineStr">
        <is>
          <t>高</t>
        </is>
      </c>
    </row>
    <row r="13" ht="48" customHeight="1">
      <c r="A13" s="7" t="inlineStr">
        <is>
          <t>金融业务由泰隆银行独立尽调、审批。活动方不代替银行作授信判断。</t>
        </is>
      </c>
    </row>
  </sheetData>
  <autoFilter ref="A2:D11"/>
  <mergeCells count="2">
    <mergeCell ref="A1:D1"/>
    <mergeCell ref="A13:D13"/>
  </mergeCells>
  <pageMargins left="0.4" right="0.4" top="0.6" bottom="0.5" header="0.5" footer="0.5"/>
  <pageSetup orientation="landscape" paperSize="9" fitToHeight="1" fitToWidth="1"/>
  <headerFooter>
    <oddHeader>&amp;C泰隆银行 · 2026年四季度客户参访</oddHeader>
    <oddFooter>&amp;L单场不超过5000元&amp;R第 &amp;P 页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tabColor rgb="000A1E36"/>
    <outlinePr summaryBelow="1" summaryRight="1"/>
    <pageSetUpPr fitToPage="1"/>
  </sheetPr>
  <dimension ref="A1:C13"/>
  <sheetViews>
    <sheetView showGridLines="0" zoomScale="11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62" customWidth="1" min="2" max="2"/>
    <col width="36" customWidth="1" min="3" max="3"/>
  </cols>
  <sheetData>
    <row r="1" ht="36" customHeight="1">
      <c r="A1" s="1" t="inlineStr">
        <is>
          <t>可直接使用的话术｜方括号处替换成当天信息</t>
        </is>
      </c>
    </row>
    <row r="2" ht="26" customHeight="1">
      <c r="A2" s="2" t="inlineStr">
        <is>
          <t>场景</t>
        </is>
      </c>
      <c r="B2" s="2" t="inlineStr">
        <is>
          <t>怎么说</t>
        </is>
      </c>
      <c r="C2" s="2" t="inlineStr">
        <is>
          <t>不要补上的话</t>
        </is>
      </c>
    </row>
    <row r="3" ht="48" customHeight="1">
      <c r="A3" s="3" t="inlineStr">
        <is>
          <t>邀请老客户</t>
        </is>
      </c>
      <c r="B3" s="3" t="inlineStr">
        <is>
          <t>【姓名】总，10月22日下午我们安排了一场小范围企业参访，半天，我陪您一起去。人不超二十位，不收费。您看这天是否方便？</t>
        </is>
      </c>
      <c r="C3" s="3" t="inlineStr">
        <is>
          <t>不要说保证见到某位领导，不要说去了有额度。</t>
        </is>
      </c>
    </row>
    <row r="4" ht="48" customHeight="1">
      <c r="A4" s="5" t="inlineStr">
        <is>
          <t>邀请新客户</t>
        </is>
      </c>
      <c r="B4" s="5" t="inlineStr">
        <is>
          <t>我们和复旦、科企联一起，请少数企业去现场看一家公司，银行客户经理会陪同。不收费，也不在现场谈贷款结果。如果您愿意来，我负责接您，活动后 5 个工作日内再跟您联系一次。</t>
        </is>
      </c>
      <c r="C4" s="5" t="inlineStr">
        <is>
          <t>不要说内部指标、隐形名额、送礼开户。</t>
        </is>
      </c>
    </row>
    <row r="5" ht="48" customHeight="1">
      <c r="A5" s="3" t="inlineStr">
        <is>
          <t>老客户带新</t>
        </is>
      </c>
      <c r="B5" s="3" t="inlineStr">
        <is>
          <t>如果您有一位合适的同行或合作伙伴，可以一起来。名额有限，我先替您留一个位子。</t>
        </is>
      </c>
      <c r="C5" s="3" t="inlineStr">
        <is>
          <t>不要承诺对方一定能成为我行客户。</t>
        </is>
      </c>
    </row>
    <row r="6" ht="48" customHeight="1">
      <c r="A6" s="5" t="inlineStr">
        <is>
          <t>开场</t>
        </is>
      </c>
      <c r="B6" s="5" t="inlineStr">
        <is>
          <t>今天下午只做一件事：把大家带来的问题记清楚。活动不收费。贷款能否办理，由泰隆银行按自己的流程审批，现场不作承诺。</t>
        </is>
      </c>
      <c r="C6" s="5" t="inlineStr">
        <is>
          <t>不要介绍具体产品价格和通过率。</t>
        </is>
      </c>
    </row>
    <row r="7" ht="48" customHeight="1">
      <c r="A7" s="3" t="inlineStr">
        <is>
          <t>离场</t>
        </is>
      </c>
      <c r="B7" s="3" t="inlineStr">
        <is>
          <t>今天我为您记下的是【一件事】。下一步由我来办，最晚【日期】前给您回复。您看是不是这一件？</t>
        </is>
      </c>
      <c r="C7" s="3" t="inlineStr">
        <is>
          <t>不要当场加第二件、第三件把客户留住。</t>
        </is>
      </c>
    </row>
    <row r="8" ht="48" customHeight="1">
      <c r="A8" s="5" t="inlineStr">
        <is>
          <t>次日回访</t>
        </is>
      </c>
      <c r="B8" s="5" t="inlineStr">
        <is>
          <t>昨天的参访，哪一点对您有用，哪一点浪费了您的时间？我想听一句实在的。</t>
        </is>
      </c>
      <c r="C8" s="5" t="inlineStr">
        <is>
          <t>不要群发同一段话。</t>
        </is>
      </c>
    </row>
    <row r="9" ht="48" customHeight="1">
      <c r="A9" s="3" t="inlineStr">
        <is>
          <t>不满意</t>
        </is>
      </c>
      <c r="B9" s="3" t="inlineStr">
        <is>
          <t>昨天那件事没安排好，是我们的问题。我今天先处理【具体动作】，处理完再告诉您。</t>
        </is>
      </c>
      <c r="C9" s="3" t="inlineStr">
        <is>
          <t>不要解释成客户误会了。</t>
        </is>
      </c>
    </row>
    <row r="10" ht="48" customHeight="1">
      <c r="A10" s="5" t="inlineStr">
        <is>
          <t>新客首次联系</t>
        </is>
      </c>
      <c r="B10" s="5" t="inlineStr">
        <is>
          <t>谢谢您昨天来。我是您的对接人【姓名】。您当时提到【一件事】，我这周把可以准备的资料或可介绍的同事跟您说清楚。是否办理业务，还是要走银行正常流程。</t>
        </is>
      </c>
      <c r="C10" s="5" t="inlineStr">
        <is>
          <t>不要在电话里做审批判断。</t>
        </is>
      </c>
    </row>
    <row r="11" ht="48" customHeight="1">
      <c r="A11" s="3" t="inlineStr">
        <is>
          <t>暂不适合</t>
        </is>
      </c>
      <c r="B11" s="3" t="inlineStr">
        <is>
          <t>以目前这件需求，银行这条线暂时对不上，原因是【客观原因】。我可以介绍【另一条合规渠道】，是否使用由您决定。您仍在我们的客户名单里，下一场合适的活动我再单独邀您。</t>
        </is>
      </c>
      <c r="C11" s="3" t="inlineStr">
        <is>
          <t>不要说再等等来拖延，不要留下负面评价。</t>
        </is>
      </c>
    </row>
    <row r="13" ht="48" customHeight="1">
      <c r="A13" s="7" t="inlineStr">
        <is>
          <t>对外提到泰隆银行名称、标识和案例前，先经银行指定窗口看过。</t>
        </is>
      </c>
    </row>
  </sheetData>
  <autoFilter ref="A2:C11"/>
  <mergeCells count="2">
    <mergeCell ref="A1:C1"/>
    <mergeCell ref="A13:C13"/>
  </mergeCells>
  <pageMargins left="0.4" right="0.4" top="0.6" bottom="0.5" header="0.5" footer="0.5"/>
  <pageSetup orientation="landscape" paperSize="9" fitToHeight="1" fitToWidth="1"/>
  <headerFooter>
    <oddHeader>&amp;C泰隆银行 · 2026年四季度客户参访</oddHeader>
    <oddFooter>&amp;L单场不超过5000元&amp;R第 &amp;P 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2026-09-22T08:06:11Z</dcterms:created>
  <dcterms:modified xmlns:dcterms="http://purl.org/dc/terms/" xmlns:xsi="http://www.w3.org/2001/XMLSchema-instance" xsi:type="dcterms:W3CDTF">2026-09-22T08:06:11Z</dcterms:modified>
</cp:coreProperties>
</file>