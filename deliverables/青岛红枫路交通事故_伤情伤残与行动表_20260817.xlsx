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伤情鉴定" sheetId="1" state="visible" r:id="rId1"/>
    <sheet xmlns:r="http://schemas.openxmlformats.org/officeDocument/2006/relationships" name="伤残情况" sheetId="2" state="visible" r:id="rId2"/>
    <sheet xmlns:r="http://schemas.openxmlformats.org/officeDocument/2006/relationships" name="外伤与退变对照" sheetId="3" state="visible" r:id="rId3"/>
    <sheet xmlns:r="http://schemas.openxmlformats.org/officeDocument/2006/relationships" name="转院报销" sheetId="4" state="visible" r:id="rId4"/>
    <sheet xmlns:r="http://schemas.openxmlformats.org/officeDocument/2006/relationships" name="费用台账" sheetId="5" state="visible" r:id="rId5"/>
    <sheet xmlns:r="http://schemas.openxmlformats.org/officeDocument/2006/relationships" name="72小时待办" sheetId="6" state="visible" r:id="rId6"/>
    <sheet xmlns:r="http://schemas.openxmlformats.org/officeDocument/2006/relationships" name="沟通口径卡" sheetId="7" state="visible" r:id="rId7"/>
    <sheet xmlns:r="http://schemas.openxmlformats.org/officeDocument/2006/relationships" name="责任与程序" sheetId="8" state="visible" r:id="rId8"/>
    <sheet xmlns:r="http://schemas.openxmlformats.org/officeDocument/2006/relationships" name="录音来源" sheetId="9" state="visible" r:id="rId9"/>
    <sheet xmlns:r="http://schemas.openxmlformats.org/officeDocument/2006/relationships" name="附录轻弦洽谈" sheetId="10" state="visible" r:id="rId10"/>
  </sheets>
  <definedNames>
    <definedName name="_xlnm._FilterDatabase" localSheetId="0" hidden="1">'伤情鉴定'!$A$1:$F$8</definedName>
    <definedName name="_xlnm.Print_Titles" localSheetId="0">'伤情鉴定'!$1:$2</definedName>
    <definedName name="_xlnm._FilterDatabase" localSheetId="1" hidden="1">'伤残情况'!$A$1:$C$15</definedName>
    <definedName name="_xlnm.Print_Titles" localSheetId="1">'伤残情况'!$1:$2</definedName>
    <definedName name="_xlnm._FilterDatabase" localSheetId="2" hidden="1">'外伤与退变对照'!$A$1:$C$8</definedName>
    <definedName name="_xlnm.Print_Titles" localSheetId="2">'外伤与退变对照'!$1:$2</definedName>
    <definedName name="_xlnm._FilterDatabase" localSheetId="3" hidden="1">'转院报销'!$A$1:$C$9</definedName>
    <definedName name="_xlnm.Print_Titles" localSheetId="3">'转院报销'!$1:$2</definedName>
    <definedName name="_xlnm._FilterDatabase" localSheetId="4" hidden="1">'费用台账'!$A$2:$H$30</definedName>
    <definedName name="_xlnm.Print_Titles" localSheetId="4">'费用台账'!$1:$2</definedName>
    <definedName name="_xlnm._FilterDatabase" localSheetId="5" hidden="1">'72小时待办'!$A$1:$E$8</definedName>
    <definedName name="_xlnm.Print_Titles" localSheetId="5">'72小时待办'!$1:$2</definedName>
    <definedName name="_xlnm._FilterDatabase" localSheetId="6" hidden="1">'沟通口径卡'!$A$1:$B$23</definedName>
    <definedName name="_xlnm.Print_Titles" localSheetId="6">'沟通口径卡'!$1:$2</definedName>
    <definedName name="_xlnm._FilterDatabase" localSheetId="7" hidden="1">'责任与程序'!$A$1:$C$10</definedName>
    <definedName name="_xlnm.Print_Titles" localSheetId="7">'责任与程序'!$1:$2</definedName>
    <definedName name="_xlnm._FilterDatabase" localSheetId="8" hidden="1">'录音来源'!$A$1:$D$13</definedName>
    <definedName name="_xlnm.Print_Titles" localSheetId="8">'录音来源'!$1:$2</definedName>
    <definedName name="_xlnm._FilterDatabase" localSheetId="9" hidden="1">'附录轻弦洽谈'!$A$1:$B$6</definedName>
    <definedName name="_xlnm.Print_Titles" localSheetId="9">'附录轻弦洽谈'!$1:$2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微软雅黑"/>
      <b val="1"/>
      <color rgb="000B2F5B"/>
      <sz val="14"/>
    </font>
    <font>
      <name val="微软雅黑"/>
      <b val="1"/>
      <color rgb="00FFFFFF"/>
      <sz val="11"/>
    </font>
    <font>
      <name val="微软雅黑"/>
      <b val="1"/>
      <color rgb="00A63D2F"/>
      <sz val="10"/>
    </font>
    <font>
      <name val="微软雅黑"/>
      <b val="1"/>
      <color rgb="002F6B4F"/>
      <sz val="10"/>
    </font>
    <font>
      <name val="微软雅黑"/>
      <color rgb="001F2A37"/>
      <sz val="10"/>
    </font>
    <font>
      <name val="微软雅黑"/>
      <b val="1"/>
      <color rgb="001F2A37"/>
      <sz val="10"/>
    </font>
    <font>
      <name val="微软雅黑"/>
      <b val="1"/>
      <color rgb="000B2F5B"/>
      <sz val="10"/>
    </font>
  </fonts>
  <fills count="4">
    <fill>
      <patternFill/>
    </fill>
    <fill>
      <patternFill patternType="gray125"/>
    </fill>
    <fill>
      <patternFill patternType="solid">
        <fgColor rgb="000B2F5B"/>
      </patternFill>
    </fill>
    <fill>
      <patternFill patternType="solid">
        <fgColor rgb="00F3F6FA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 wrapText="1"/>
    </xf>
    <xf numFmtId="0" fontId="5" fillId="3" borderId="1" applyAlignment="1" pivotButton="0" quotePrefix="0" xfId="0">
      <alignment vertical="center" wrapText="1"/>
    </xf>
    <xf numFmtId="0" fontId="6" fillId="0" borderId="0" pivotButton="0" quotePrefix="0" xfId="0"/>
    <xf numFmtId="0" fontId="7" fillId="0" borderId="0" pivotButton="0" quotePrefix="0" xfId="0"/>
    <xf numFmtId="4" fontId="5" fillId="0" borderId="1" applyAlignment="1" pivotButton="0" quotePrefix="0" xfId="0">
      <alignment vertical="center" wrapText="1"/>
    </xf>
    <xf numFmtId="4" fontId="5" fillId="3" borderId="1" applyAlignment="1" pivotButton="0" quotePrefix="0" xfId="0">
      <alignment vertical="center" wrapText="1"/>
    </xf>
    <xf numFmtId="4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28" customWidth="1" min="3" max="3"/>
    <col width="42" customWidth="1" min="4" max="4"/>
    <col width="36" customWidth="1" min="5" max="5"/>
    <col width="22" customWidth="1" min="6" max="6"/>
  </cols>
  <sheetData>
    <row r="1" ht="24" customHeight="1">
      <c r="A1" s="1" t="inlineStr">
        <is>
          <t>齐鲁医院云影像 · 谁受伤、伤了什么（2026-08-17 核对）</t>
        </is>
      </c>
    </row>
    <row r="2" ht="22" customHeight="1">
      <c r="A2" s="2" t="inlineStr">
        <is>
          <t>日期</t>
        </is>
      </c>
      <c r="B2" s="2" t="inlineStr">
        <is>
          <t>检查号</t>
        </is>
      </c>
      <c r="C2" s="2" t="inlineStr">
        <is>
          <t>项目 / 科室</t>
        </is>
      </c>
      <c r="D2" s="2" t="inlineStr">
        <is>
          <t>影像所见（报告原文）</t>
        </is>
      </c>
      <c r="E2" s="2" t="inlineStr">
        <is>
          <t>影像诊断（报告原文）</t>
        </is>
      </c>
      <c r="F2" s="2" t="inlineStr">
        <is>
          <t>本次事故？</t>
        </is>
      </c>
    </row>
    <row r="3" ht="72" customHeight="1">
      <c r="A3" s="3" t="inlineStr">
        <is>
          <t>2026-08-14</t>
        </is>
      </c>
      <c r="B3" s="3" t="inlineStr">
        <is>
          <t>10008056847</t>
        </is>
      </c>
      <c r="C3" s="3" t="inlineStr">
        <is>
          <t>右小腿CT平扫（薄层）＋骨三维成像
急诊 · 急诊骨科 · 已审核</t>
        </is>
      </c>
      <c r="D3" s="3" t="inlineStr">
        <is>
          <t>右侧胫骨远端、腓骨近端骨质不连续，断端移位，踝关节对位不良，胫距关节间隙增宽。距骨内缘、外踝下方见小骨片影。右小腿、踝关节软组织肿胀。</t>
        </is>
      </c>
      <c r="E3" s="3" t="inlineStr">
        <is>
          <t>右侧胫骨远端、腓骨近端骨折，并踝关节半脱位
右距骨内缘、外踝撕脱性骨折
右小腿、踝关节软组织肿胀</t>
        </is>
      </c>
      <c r="F3" s="3" t="inlineStr">
        <is>
          <t>是，计入本次</t>
        </is>
      </c>
    </row>
    <row r="4" ht="56" customHeight="1">
      <c r="A4" s="4" t="inlineStr">
        <is>
          <t>2026-08-14</t>
        </is>
      </c>
      <c r="B4" s="4" t="inlineStr">
        <is>
          <t>10008056848</t>
        </is>
      </c>
      <c r="C4" s="4" t="inlineStr">
        <is>
          <t>右足CT平扫（薄层）＋骨三维成像
急诊 · 急诊骨科 · 已审核</t>
        </is>
      </c>
      <c r="D4" s="4" t="inlineStr">
        <is>
          <t>右足诸关节在位，组成骨结构完整，边缘见骨质增生，跟骨见骨刺影，第一跖骨头见囊状低密度影，边缘硬化。</t>
        </is>
      </c>
      <c r="E4" s="4" t="inlineStr">
        <is>
          <t>右足退行性变、跟骨骨刺
右第一跖骨头囊变</t>
        </is>
      </c>
      <c r="F4" s="4" t="inlineStr">
        <is>
          <t>否，退变/陈旧，不计入评残</t>
        </is>
      </c>
    </row>
    <row r="5" ht="48" customHeight="1">
      <c r="A5" s="3" t="inlineStr">
        <is>
          <t>2026-08-15</t>
        </is>
      </c>
      <c r="B5" s="3" t="inlineStr">
        <is>
          <t>10008059257</t>
        </is>
      </c>
      <c r="C5" s="3" t="inlineStr">
        <is>
          <t>右踝关节CT平扫（薄层）＋骨三维成像
住院 · 手足与显微重建外科 · 已审核</t>
        </is>
      </c>
      <c r="D5" s="3" t="inlineStr">
        <is>
          <t>右踝关节骨折内外固定术后复查，内外固定在位，位线可。周围软组织肿胀，密度增高。</t>
        </is>
      </c>
      <c r="E5" s="3" t="inlineStr">
        <is>
          <t>右踝关节骨折内外固定术后复查</t>
        </is>
      </c>
      <c r="F5" s="3" t="inlineStr">
        <is>
          <t>是，计入本次</t>
        </is>
      </c>
    </row>
    <row r="7">
      <c r="A7" s="5" t="inlineStr">
        <is>
          <t>患者：胡** / 男 / 64岁　　医院：山东大学齐鲁医院（青岛）</t>
        </is>
      </c>
    </row>
    <row r="8">
      <c r="A8" t="inlineStr">
        <is>
          <t>报告页注明：本报告仅供临床医生参考，不作任何证明。 这是影像诊断，不是伤残鉴定。</t>
        </is>
      </c>
    </row>
  </sheetData>
  <autoFilter ref="A1:F8"/>
  <mergeCells count="3">
    <mergeCell ref="A8:F8"/>
    <mergeCell ref="A1:F1"/>
    <mergeCell ref="A7:F7"/>
  </mergeCells>
  <pageMargins left="0.4" right="0.4" top="0.5" bottom="0.5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70" customWidth="1" min="2" max="2"/>
    <col width="36" customWidth="1" min="3" max="3"/>
  </cols>
  <sheetData>
    <row r="1" ht="24" customHeight="1">
      <c r="A1" s="1" t="inlineStr">
        <is>
          <t>伤残：现在不能定级。只准备材料。</t>
        </is>
      </c>
    </row>
    <row r="2" ht="22" customHeight="1">
      <c r="A2" s="2" t="inlineStr">
        <is>
          <t>问题</t>
        </is>
      </c>
      <c r="B2" s="2" t="inlineStr">
        <is>
          <t>结论</t>
        </is>
      </c>
      <c r="C2" s="2" t="inlineStr">
        <is>
          <t>家属立刻怎么做</t>
        </is>
      </c>
    </row>
    <row r="3" ht="48" customHeight="1">
      <c r="A3" s="3" t="inlineStr">
        <is>
          <t>谁可能评残</t>
        </is>
      </c>
      <c r="B3" s="3" t="inlineStr">
        <is>
          <t>仅伤者本人：64 岁男性胡某（云影像脱敏为胡**）。家属胡继刚、美团骑手均无本次伤残材料。</t>
        </is>
      </c>
      <c r="C3" s="3" t="inlineStr">
        <is>
          <t>只为伤者本人建病历档案，不要给别人做伤残材料</t>
        </is>
      </c>
    </row>
    <row r="4" ht="48" customHeight="1">
      <c r="A4" s="4" t="inlineStr">
        <is>
          <t>现在有没有残级</t>
        </is>
      </c>
      <c r="B4" s="4" t="inlineStr">
        <is>
          <t>尚未做伤残鉴定。云影像三份 CT 是影像诊断，不是伤残鉴定书，不能当残级用。</t>
        </is>
      </c>
      <c r="C4" s="4" t="inlineStr">
        <is>
          <t>对外禁止说「已经几级」</t>
        </is>
      </c>
    </row>
    <row r="5" ht="48" customHeight="1">
      <c r="A5" s="3" t="inlineStr">
        <is>
          <t>什么时候评</t>
        </is>
      </c>
      <c r="B5" s="3" t="inlineStr">
        <is>
          <t>须治疗终结、临床相对稳定后，由有资质的司法鉴定机构评定。骨折内固定常见窗口是伤后约 3 个月以上，以鉴定机构书面要求为准；是否取内固定后再评，也以鉴定机构为准。</t>
        </is>
      </c>
      <c r="C5" s="3" t="inlineStr">
        <is>
          <t>先治病，3 个月窗口前不要催鉴定</t>
        </is>
      </c>
    </row>
    <row r="6" ht="48" customHeight="1">
      <c r="A6" s="4" t="inlineStr">
        <is>
          <t>用哪套标准</t>
        </is>
      </c>
      <c r="B6" s="4" t="inlineStr">
        <is>
          <t>道路交通事故人身损害评残，实务中多用《人体损伤致残程度分级》（两院三部 2017）。不要用工伤标准去套交通事故，也不要按网上计算器先报一个级数给对方。</t>
        </is>
      </c>
      <c r="C6" s="4" t="inlineStr">
        <is>
          <t>交通事故用人体损伤致残程度分级，不要套工伤</t>
        </is>
      </c>
    </row>
    <row r="7" ht="48" customHeight="1">
      <c r="A7" s="3" t="inlineStr">
        <is>
          <t>评哪些伤</t>
        </is>
      </c>
      <c r="B7" s="3" t="inlineStr">
        <is>
          <t>与本次事故相关、日后可能构成评残基础的，是右踝骨折脱位 + 胫骨远端骨折 + 腓骨近端骨折治疗后残留的踝关节功能、行走能力、畸形或疼痛。右足退变、骨刺不计入本次。</t>
        </is>
      </c>
      <c r="C7" s="3" t="inlineStr">
        <is>
          <t>踝关节功能+行走；右足骨刺删除</t>
        </is>
      </c>
    </row>
    <row r="8" ht="48" customHeight="1">
      <c r="A8" s="4" t="inlineStr">
        <is>
          <t>现在能否报价</t>
        </is>
      </c>
      <c r="B8" s="4" t="inlineStr">
        <is>
          <t>现在不能、也不应对外报「几级伤残」。等级取决于日后功能，不取决于急诊 CT 有多吓人。</t>
        </is>
      </c>
      <c r="C8" s="4" t="inlineStr">
        <is>
          <t>面谈不谈残级、不签总包死价</t>
        </is>
      </c>
    </row>
    <row r="10">
      <c r="A10" s="6" t="inlineStr">
        <is>
          <t>评残前材料清单</t>
        </is>
      </c>
    </row>
    <row r="11">
      <c r="A11" s="3" t="n">
        <v>1</v>
      </c>
      <c r="B11" s="3" t="inlineStr">
        <is>
          <t>保存三份 CT 报告、影像、手术记录、入院出院记录、医嘱和发票原件</t>
        </is>
      </c>
      <c r="C11" s="3" t="n"/>
    </row>
    <row r="12">
      <c r="A12" s="4" t="n">
        <v>2</v>
      </c>
      <c r="B12" s="4" t="inlineStr">
        <is>
          <t>后续每次复查都留报告（是否骨愈合、是否感染、踝关节活动度）</t>
        </is>
      </c>
      <c r="C12" s="4" t="n"/>
    </row>
    <row r="13">
      <c r="A13" s="3" t="n">
        <v>3</v>
      </c>
      <c r="B13" s="3" t="inlineStr">
        <is>
          <t>伤残鉴定前不要在协商里提前锁定残级或总包死价</t>
        </is>
      </c>
      <c r="C13" s="3" t="n"/>
    </row>
    <row r="14">
      <c r="A14" s="4" t="n">
        <v>4</v>
      </c>
      <c r="B14" s="4" t="inlineStr">
        <is>
          <t>鉴定机构须合法，报告用途写清「道路交通事故」</t>
        </is>
      </c>
      <c r="C14" s="4" t="n"/>
    </row>
    <row r="15">
      <c r="A15" s="3" t="n">
        <v>5</v>
      </c>
      <c r="B15" s="3" t="inlineStr">
        <is>
          <t>不要把人社局电话咨询当成交通事故评残。人社局管工伤、残疾人证等另一套制度；本案评残走司法鉴定</t>
        </is>
      </c>
      <c r="C15" s="3" t="n"/>
    </row>
  </sheetData>
  <autoFilter ref="A1:C15"/>
  <mergeCells count="7">
    <mergeCell ref="B13:C13"/>
    <mergeCell ref="A10:C10"/>
    <mergeCell ref="B15:C15"/>
    <mergeCell ref="A1:C1"/>
    <mergeCell ref="B11:C11"/>
    <mergeCell ref="B14:C14"/>
    <mergeCell ref="B12:C12"/>
  </mergeCells>
  <pageMargins left="0.4" right="0.4" top="0.5" bottom="0.5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55" customWidth="1" min="2" max="2"/>
    <col width="55" customWidth="1" min="3" max="3"/>
  </cols>
  <sheetData>
    <row r="1" ht="24" customHeight="1">
      <c r="A1" s="1" t="inlineStr">
        <is>
          <t>通话口述 vs 医院 CT：必须改口的清单</t>
        </is>
      </c>
    </row>
    <row r="2" ht="22" customHeight="1">
      <c r="A2" s="2" t="inlineStr">
        <is>
          <t>来源</t>
        </is>
      </c>
      <c r="B2" s="2" t="inlineStr">
        <is>
          <t>内容</t>
        </is>
      </c>
      <c r="C2" s="2" t="inlineStr">
        <is>
          <t>处理</t>
        </is>
      </c>
    </row>
    <row r="3" ht="110" customHeight="1">
      <c r="A3" s="3" t="inlineStr">
        <is>
          <t>CT：本次外伤</t>
        </is>
      </c>
      <c r="B3" s="3" t="inlineStr">
        <is>
          <t>• 右侧胫骨远端骨折（断端移位）
• 右侧腓骨近端骨折（断端移位）
• 右踝关节半脱位（对位不良，胫距关节间隙增宽）
• 右距骨内缘撕脱性骨折
• 右外踝撕脱性骨折
• 右小腿、踝关节软组织肿胀
• 2026-08-15 已行右踝关节骨折内外固定术，复查固定在位、位线可，软组织仍肿</t>
        </is>
      </c>
      <c r="C3" s="3" t="inlineStr">
        <is>
          <t>对外、对保险、对鉴定都用这套</t>
        </is>
      </c>
    </row>
    <row r="4" ht="70" customHeight="1">
      <c r="A4" s="4" t="inlineStr">
        <is>
          <t>CT：非本次外伤</t>
        </is>
      </c>
      <c r="B4" s="4" t="inlineStr">
        <is>
          <t>• 右足组成骨结构完整，诸关节在位，未见本次外伤性骨折
• 右足退行性变、跟骨骨刺、第一跖骨头囊变：属退变/陈旧改变，一般不计入本次交通事故伤残</t>
        </is>
      </c>
      <c r="C4" s="4" t="inlineStr">
        <is>
          <t>不要写成跟骨粉碎骨折</t>
        </is>
      </c>
    </row>
    <row r="5" ht="40" customHeight="1">
      <c r="A5" s="3" t="inlineStr">
        <is>
          <t>通话须改口</t>
        </is>
      </c>
      <c r="B5" s="3" t="inlineStr">
        <is>
          <t>通话里说「右脚后跟粉碎性骨折」</t>
        </is>
      </c>
      <c r="C5" s="3" t="inlineStr">
        <is>
          <t>右足 CT 未见跟骨粉碎骨折，跟骨仅为骨刺；粉碎/移位主要在胫骨远端和踝关节。</t>
        </is>
      </c>
    </row>
    <row r="6" ht="40" customHeight="1">
      <c r="A6" s="4" t="inlineStr">
        <is>
          <t>通话须改口</t>
        </is>
      </c>
      <c r="B6" s="4" t="inlineStr">
        <is>
          <t>通话里说「腓骨下段/小腿外侧骨折」</t>
        </is>
      </c>
      <c r="C6" s="4" t="inlineStr">
        <is>
          <t>急诊小腿 CT 写的是「腓骨近端」骨折，另有「外踝撕脱性骨折」（外踝属腓骨远端）。两处都要记，不要只记一处。</t>
        </is>
      </c>
    </row>
    <row r="7" ht="40" customHeight="1">
      <c r="A7" s="3" t="inlineStr">
        <is>
          <t>通话须改口</t>
        </is>
      </c>
      <c r="B7" s="3" t="inlineStr">
        <is>
          <t>通话里钢钉数量 2 根或 4 根说法不一</t>
        </is>
      </c>
      <c r="C7" s="3" t="inlineStr">
        <is>
          <t>术后 CT 结论是「内外固定术后，内外固定在位」，以手术记录和术后 CT 为准，不以口述根数为准。</t>
        </is>
      </c>
    </row>
    <row r="8" ht="40" customHeight="1">
      <c r="A8" s="4" t="inlineStr">
        <is>
          <t>通话须改口</t>
        </is>
      </c>
      <c r="B8" s="4" t="inlineStr">
        <is>
          <t>8 月 15 日部分通话说已出院回家</t>
        </is>
      </c>
      <c r="C8" s="4" t="inlineStr">
        <is>
          <t>同日住院 CT 在手足与显微重建外科，证明当时仍在齐鲁医院住院术后复查，并未结束治疗。</t>
        </is>
      </c>
    </row>
  </sheetData>
  <autoFilter ref="A1:C8"/>
  <mergeCells count="1">
    <mergeCell ref="A1:C1"/>
  </mergeCells>
  <pageMargins left="0.4" right="0.4" top="0.5" bottom="0.5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C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55" customWidth="1" min="2" max="2"/>
    <col width="40" customWidth="1" min="3" max="3"/>
  </cols>
  <sheetData>
    <row r="1" ht="24" customHeight="1">
      <c r="A1" s="1" t="inlineStr">
        <is>
          <t>人已到人民医院，齐鲁出院未办。二甲能不能报，保险公司说了算。</t>
        </is>
      </c>
    </row>
    <row r="2" ht="22" customHeight="1">
      <c r="A2" s="2" t="inlineStr">
        <is>
          <t>事项</t>
        </is>
      </c>
      <c r="B2" s="2" t="inlineStr">
        <is>
          <t>目前事实</t>
        </is>
      </c>
      <c r="C2" s="2" t="inlineStr">
        <is>
          <t>怎么处理</t>
        </is>
      </c>
    </row>
    <row r="3" ht="56" customHeight="1">
      <c r="A3" s="3" t="inlineStr">
        <is>
          <t>当前卡住</t>
        </is>
      </c>
      <c r="B3" s="3" t="inlineStr">
        <is>
          <t>2026-08-17 中午：伤者已同意并搬到市北区人民医院，齐鲁出院单未办，二甲因此无法办理入院。这是当前第一优先，比谈残级、谈责任都急。</t>
        </is>
      </c>
      <c r="C3" s="3" t="inlineStr">
        <is>
          <t>当天办齐鲁出院结算，再办人民医院入院</t>
        </is>
      </c>
    </row>
    <row r="4" ht="56" customHeight="1">
      <c r="A4" s="4" t="inlineStr">
        <is>
          <t>结算规则</t>
        </is>
      </c>
      <c r="B4" s="4" t="inlineStr">
        <is>
          <t>跨院必须先在上一院结算，才能办下一院入院。出院部和科室权责分离，只找出院部催科室留床没有用。证件、押金票据带到齐鲁办理窗口（通话提到 11 楼）。</t>
        </is>
      </c>
      <c r="C4" s="4" t="inlineStr">
        <is>
          <t>带齐证件和押金票，出院部和科室分开催</t>
        </is>
      </c>
    </row>
    <row r="5" ht="56" customHeight="1">
      <c r="A5" s="3" t="inlineStr">
        <is>
          <t>朋友怎么说</t>
        </is>
      </c>
      <c r="B5" s="3" t="inlineStr">
        <is>
          <t>8 月 17 日 12:57 咨询：对方称公立二甲及以上一般在商业保险报销范围内，民营和一级社区医院通常不认。这只是朋友经验，对方自己只是骨裂、没住院，不能当保单条款。</t>
        </is>
      </c>
      <c r="C5" s="3" t="inlineStr">
        <is>
          <t>仅参考，不能当保单</t>
        </is>
      </c>
    </row>
    <row r="6" ht="56" customHeight="1">
      <c r="A6" s="4" t="inlineStr">
        <is>
          <t>家属口径</t>
        </is>
      </c>
      <c r="B6" s="4" t="inlineStr">
        <is>
          <t>家属会后口径正确：二甲能不能报，由保险公司确定。保险说二甲不行就不能继续住；保险说可以，再安心住；保险要求回三甲，由保险医务部门对接医院。</t>
        </is>
      </c>
      <c r="C6" s="4" t="inlineStr">
        <is>
          <t>采用这一条</t>
        </is>
      </c>
    </row>
    <row r="7" ht="56" customHeight="1">
      <c r="A7" s="3" t="inlineStr">
        <is>
          <t>交警口径</t>
        </is>
      </c>
      <c r="B7" s="3" t="inlineStr">
        <is>
          <t>交警工作口径是去三甲。对市北区人民医院无法书面保证一定能理赔，但同路段类似骨折有在该院治疗且未因医院级别拒赔的先例。</t>
        </is>
      </c>
      <c r="C7" s="3" t="inlineStr">
        <is>
          <t>留痕，不把交警口头当保险确认</t>
        </is>
      </c>
    </row>
    <row r="8" ht="56" customHeight="1">
      <c r="A8" s="4" t="inlineStr">
        <is>
          <t>今天目标</t>
        </is>
      </c>
      <c r="B8" s="4" t="inlineStr">
        <is>
          <t>今天先把出院/入院手续打通，避免治疗空窗。住哪一级以保险公司书面或通话确认为准，不以朋友一句「公立二甲都报」为准。</t>
        </is>
      </c>
      <c r="C8" s="4" t="inlineStr">
        <is>
          <t>手续打通 + 保险确认二甲</t>
        </is>
      </c>
    </row>
    <row r="9" ht="56" customHeight="1">
      <c r="A9" s="3" t="inlineStr">
        <is>
          <t>明确不做</t>
        </is>
      </c>
      <c r="B9" s="3" t="inlineStr">
        <is>
          <t>不要装病拒绝出院、不要「出院再以新患者入院」去绕床位考核——这是咨询人给的偏门办法，不做。
不要给交警或医院换号、代扮身份。对方要谁的电话，就给谁的电话。
不要把人社局「伤残补助」当成交通事故评残入口。那是另一套制度。
不要为了留在三甲去谈红包或所谓保护费。</t>
        </is>
      </c>
      <c r="C9" s="3" t="inlineStr">
        <is>
          <t>装病、绕考核、代扮、人社局评残，全部停</t>
        </is>
      </c>
    </row>
  </sheetData>
  <autoFilter ref="A1:C9"/>
  <mergeCells count="1">
    <mergeCell ref="A1:C1"/>
  </mergeCells>
  <pageMargins left="0.4" right="0.4" top="0.5" bottom="0.5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H1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16" customWidth="1" min="4" max="4"/>
    <col width="14" customWidth="1" min="5" max="5"/>
    <col width="12" customWidth="1" min="6" max="6"/>
    <col width="14" customWidth="1" min="7" max="7"/>
    <col width="36" customWidth="1" min="8" max="8"/>
  </cols>
  <sheetData>
    <row r="1" ht="24" customHeight="1">
      <c r="A1" s="1" t="inlineStr">
        <is>
          <t>用发票重做台账。8月15日「约7万」和8月16日「不到3.5万」冲突，对外前必须核死。</t>
        </is>
      </c>
    </row>
    <row r="2" ht="22" customHeight="1">
      <c r="A2" s="2" t="inlineStr">
        <is>
          <t>日期</t>
        </is>
      </c>
      <c r="B2" s="2" t="inlineStr">
        <is>
          <t>项目</t>
        </is>
      </c>
      <c r="C2" s="2" t="inlineStr">
        <is>
          <t>金额（元）</t>
        </is>
      </c>
      <c r="D2" s="2" t="inlineStr">
        <is>
          <t>已付/未付</t>
        </is>
      </c>
      <c r="E2" s="2" t="inlineStr">
        <is>
          <t>付款人</t>
        </is>
      </c>
      <c r="F2" s="2" t="inlineStr">
        <is>
          <t>有无发票</t>
        </is>
      </c>
      <c r="G2" s="2" t="inlineStr">
        <is>
          <t>票据号</t>
        </is>
      </c>
      <c r="H2" s="2" t="inlineStr">
        <is>
          <t>备注</t>
        </is>
      </c>
    </row>
    <row r="3">
      <c r="A3" s="3" t="inlineStr">
        <is>
          <t>2026-08-14</t>
        </is>
      </c>
      <c r="B3" s="3" t="inlineStr">
        <is>
          <t>急诊右小腿CT（10008056847）</t>
        </is>
      </c>
      <c r="C3" s="7" t="inlineStr"/>
      <c r="D3" s="3" t="inlineStr">
        <is>
          <t>已付待核</t>
        </is>
      </c>
      <c r="E3" s="3" t="inlineStr">
        <is>
          <t>家属</t>
        </is>
      </c>
      <c r="F3" s="3" t="inlineStr">
        <is>
          <t>待贴</t>
        </is>
      </c>
      <c r="G3" s="3" t="inlineStr"/>
      <c r="H3" s="3" t="inlineStr">
        <is>
          <t>齐鲁医院</t>
        </is>
      </c>
    </row>
    <row r="4">
      <c r="A4" s="4" t="inlineStr">
        <is>
          <t>2026-08-14</t>
        </is>
      </c>
      <c r="B4" s="4" t="inlineStr">
        <is>
          <t>急诊右足CT（10008056848）</t>
        </is>
      </c>
      <c r="C4" s="8" t="inlineStr"/>
      <c r="D4" s="4" t="inlineStr">
        <is>
          <t>已付待核</t>
        </is>
      </c>
      <c r="E4" s="4" t="inlineStr">
        <is>
          <t>家属</t>
        </is>
      </c>
      <c r="F4" s="4" t="inlineStr">
        <is>
          <t>待贴</t>
        </is>
      </c>
      <c r="G4" s="4" t="inlineStr"/>
      <c r="H4" s="4" t="inlineStr">
        <is>
          <t>齐鲁医院</t>
        </is>
      </c>
    </row>
    <row r="5">
      <c r="A5" s="3" t="inlineStr">
        <is>
          <t>2026-08-15</t>
        </is>
      </c>
      <c r="B5" s="3" t="inlineStr">
        <is>
          <t>住院右踝CT术后复查（10008059257）</t>
        </is>
      </c>
      <c r="C5" s="7" t="inlineStr"/>
      <c r="D5" s="3" t="inlineStr">
        <is>
          <t>已付待核</t>
        </is>
      </c>
      <c r="E5" s="3" t="inlineStr">
        <is>
          <t>家属</t>
        </is>
      </c>
      <c r="F5" s="3" t="inlineStr">
        <is>
          <t>待贴</t>
        </is>
      </c>
      <c r="G5" s="3" t="inlineStr"/>
      <c r="H5" s="3" t="inlineStr">
        <is>
          <t>手足与显微重建外科</t>
        </is>
      </c>
    </row>
    <row r="6">
      <c r="A6" s="4" t="inlineStr">
        <is>
          <t>2026-08-15</t>
        </is>
      </c>
      <c r="B6" s="4" t="inlineStr">
        <is>
          <t>右踝骨折内外固定手术</t>
        </is>
      </c>
      <c r="C6" s="8" t="inlineStr"/>
      <c r="D6" s="4" t="inlineStr">
        <is>
          <t>已付待核</t>
        </is>
      </c>
      <c r="E6" s="4" t="inlineStr">
        <is>
          <t>家属</t>
        </is>
      </c>
      <c r="F6" s="4" t="inlineStr">
        <is>
          <t>待贴</t>
        </is>
      </c>
      <c r="G6" s="4" t="inlineStr"/>
      <c r="H6" s="4" t="inlineStr">
        <is>
          <t>以手术记录为准</t>
        </is>
      </c>
    </row>
    <row r="7">
      <c r="A7" s="3" t="inlineStr"/>
      <c r="B7" s="3" t="inlineStr">
        <is>
          <t>住院押金/预缴</t>
        </is>
      </c>
      <c r="C7" s="7" t="inlineStr"/>
      <c r="D7" s="3" t="inlineStr">
        <is>
          <t>已付待核</t>
        </is>
      </c>
      <c r="E7" s="3" t="inlineStr">
        <is>
          <t>家属</t>
        </is>
      </c>
      <c r="F7" s="3" t="inlineStr">
        <is>
          <t>待贴</t>
        </is>
      </c>
      <c r="G7" s="3" t="inlineStr"/>
      <c r="H7" s="3" t="inlineStr">
        <is>
          <t>8/16口径累计不到35000，须对账单</t>
        </is>
      </c>
    </row>
    <row r="8">
      <c r="A8" s="4" t="inlineStr"/>
      <c r="B8" s="4" t="inlineStr">
        <is>
          <t>药品（院内）</t>
        </is>
      </c>
      <c r="C8" s="8" t="inlineStr"/>
      <c r="D8" s="4" t="inlineStr">
        <is>
          <t>已付待核</t>
        </is>
      </c>
      <c r="E8" s="4" t="inlineStr">
        <is>
          <t>家属</t>
        </is>
      </c>
      <c r="F8" s="4" t="inlineStr">
        <is>
          <t>待贴</t>
        </is>
      </c>
      <c r="G8" s="4" t="inlineStr"/>
      <c r="H8" s="4" t="inlineStr"/>
    </row>
    <row r="9">
      <c r="A9" s="3" t="inlineStr"/>
      <c r="B9" s="3" t="inlineStr">
        <is>
          <t>护工费</t>
        </is>
      </c>
      <c r="C9" s="7" t="inlineStr"/>
      <c r="D9" s="3" t="inlineStr">
        <is>
          <t>已付待核</t>
        </is>
      </c>
      <c r="E9" s="3" t="inlineStr">
        <is>
          <t>家属</t>
        </is>
      </c>
      <c r="F9" s="3" t="inlineStr">
        <is>
          <t>待贴</t>
        </is>
      </c>
      <c r="G9" s="3" t="inlineStr"/>
      <c r="H9" s="3" t="inlineStr">
        <is>
          <t>不确定项，必须合同+发票</t>
        </is>
      </c>
    </row>
    <row r="10">
      <c r="A10" s="4" t="inlineStr"/>
      <c r="B10" s="4" t="inlineStr">
        <is>
          <t>护理耗材（垫、便盆等）</t>
        </is>
      </c>
      <c r="C10" s="8" t="inlineStr"/>
      <c r="D10" s="4" t="inlineStr">
        <is>
          <t>已付待核</t>
        </is>
      </c>
      <c r="E10" s="4" t="inlineStr">
        <is>
          <t>家属</t>
        </is>
      </c>
      <c r="F10" s="4" t="inlineStr">
        <is>
          <t>待贴</t>
        </is>
      </c>
      <c r="G10" s="4" t="inlineStr"/>
      <c r="H10" s="4" t="inlineStr"/>
    </row>
    <row r="11">
      <c r="A11" s="3" t="inlineStr">
        <is>
          <t>2026-08-17</t>
        </is>
      </c>
      <c r="B11" s="3" t="inlineStr">
        <is>
          <t>转院救护车</t>
        </is>
      </c>
      <c r="C11" s="7" t="n">
        <v>160</v>
      </c>
      <c r="D11" s="3" t="inlineStr">
        <is>
          <t>已付待核</t>
        </is>
      </c>
      <c r="E11" s="3" t="inlineStr">
        <is>
          <t>家属</t>
        </is>
      </c>
      <c r="F11" s="3" t="inlineStr">
        <is>
          <t>待贴</t>
        </is>
      </c>
      <c r="G11" s="3" t="inlineStr"/>
      <c r="H11" s="3" t="inlineStr">
        <is>
          <t>预估150，实收160，必须发票</t>
        </is>
      </c>
    </row>
    <row r="12">
      <c r="A12" s="4" t="inlineStr"/>
      <c r="B12" s="4" t="inlineStr">
        <is>
          <t>雇主垫付（通话口径）</t>
        </is>
      </c>
      <c r="C12" s="8" t="n">
        <v>20000</v>
      </c>
      <c r="D12" s="4" t="inlineStr">
        <is>
          <t>待核是否属实</t>
        </is>
      </c>
      <c r="E12" s="4" t="inlineStr">
        <is>
          <t>货主?</t>
        </is>
      </c>
      <c r="F12" s="4" t="inlineStr">
        <is>
          <t>待核</t>
        </is>
      </c>
      <c r="G12" s="4" t="inlineStr"/>
      <c r="H12" s="4" t="inlineStr">
        <is>
          <t>8/15口述，未与3.5万口径对上</t>
        </is>
      </c>
    </row>
    <row r="13">
      <c r="A13" s="3" t="inlineStr"/>
      <c r="B13" s="3" t="inlineStr">
        <is>
          <t>未结工钱（通话口径）</t>
        </is>
      </c>
      <c r="C13" s="7" t="n">
        <v>5000</v>
      </c>
      <c r="D13" s="3" t="inlineStr">
        <is>
          <t>未付</t>
        </is>
      </c>
      <c r="E13" s="3" t="inlineStr">
        <is>
          <t>货主</t>
        </is>
      </c>
      <c r="F13" s="3" t="inlineStr">
        <is>
          <t>无</t>
        </is>
      </c>
      <c r="G13" s="3" t="inlineStr"/>
      <c r="H13" s="3" t="inlineStr">
        <is>
          <t>不要直接冲抵事故赔偿</t>
        </is>
      </c>
    </row>
    <row r="14">
      <c r="A14" s="4" t="inlineStr"/>
      <c r="B14" s="4" t="inlineStr">
        <is>
          <t>责任方已付</t>
        </is>
      </c>
      <c r="C14" s="8" t="n">
        <v>0</v>
      </c>
      <c r="D14" s="4" t="inlineStr">
        <is>
          <t>未付</t>
        </is>
      </c>
      <c r="E14" s="4" t="inlineStr">
        <is>
          <t>骑手/美团</t>
        </is>
      </c>
      <c r="F14" s="4" t="inlineStr">
        <is>
          <t>无</t>
        </is>
      </c>
      <c r="G14" s="4" t="inlineStr"/>
      <c r="H14" s="4" t="inlineStr">
        <is>
          <t>截至8/16通话称一分未付</t>
        </is>
      </c>
    </row>
    <row r="16">
      <c r="A16" s="5" t="inlineStr">
        <is>
          <t>合计（仅填写了数字的行）</t>
        </is>
      </c>
      <c r="C16" s="9">
        <f>SUM(C3:C14)</f>
        <v/>
      </c>
    </row>
  </sheetData>
  <autoFilter ref="A2:H30"/>
  <mergeCells count="1">
    <mergeCell ref="A1:H1"/>
  </mergeCells>
  <dataValidations count="2">
    <dataValidation sqref="D3:D30" showDropDown="0" showInputMessage="0" showErrorMessage="0" allowBlank="1" type="list">
      <formula1>"已付,未付,已付待核,未发生或待核"</formula1>
    </dataValidation>
    <dataValidation sqref="F3:F30" showDropDown="0" showInputMessage="0" showErrorMessage="0" allowBlank="1" type="list">
      <formula1>"有,无,待贴,待核"</formula1>
    </dataValidation>
  </dataValidations>
  <pageMargins left="0.4" right="0.4" top="0.5" bottom="0.5" header="0.5" footer="0.5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E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55" customWidth="1" min="3" max="3"/>
    <col width="36" customWidth="1" min="4" max="4"/>
    <col width="14" customWidth="1" min="5" max="5"/>
  </cols>
  <sheetData>
    <row r="1" ht="24" customHeight="1">
      <c r="A1" s="1" t="inlineStr">
        <is>
          <t>今天先打通出院入院，并向保险公司确认二甲。不谈残级。</t>
        </is>
      </c>
    </row>
    <row r="2" ht="22" customHeight="1">
      <c r="A2" s="2" t="inlineStr">
        <is>
          <t>序号</t>
        </is>
      </c>
      <c r="B2" s="2" t="inlineStr">
        <is>
          <t>谁</t>
        </is>
      </c>
      <c r="C2" s="2" t="inlineStr">
        <is>
          <t>做什么</t>
        </is>
      </c>
      <c r="D2" s="2" t="inlineStr">
        <is>
          <t>为什么</t>
        </is>
      </c>
      <c r="E2" s="2" t="inlineStr">
        <is>
          <t>状态</t>
        </is>
      </c>
    </row>
    <row r="3" ht="36" customHeight="1">
      <c r="A3" s="3" t="n">
        <v>1</v>
      </c>
      <c r="B3" s="3" t="inlineStr">
        <is>
          <t>家属</t>
        </is>
      </c>
      <c r="C3" s="3" t="inlineStr">
        <is>
          <t>当天办齐鲁出院结算（带齐证件、押金票），再办人民医院入院</t>
        </is>
      </c>
      <c r="D3" s="3" t="inlineStr">
        <is>
          <t>人已到二甲但无入院身份，治疗空窗最危险</t>
        </is>
      </c>
      <c r="E3" s="3" t="inlineStr">
        <is>
          <t>未完成</t>
        </is>
      </c>
    </row>
    <row r="4" ht="36" customHeight="1">
      <c r="A4" s="4" t="n">
        <v>2</v>
      </c>
      <c r="B4" s="4" t="inlineStr">
        <is>
          <t>家属+交警</t>
        </is>
      </c>
      <c r="C4" s="4" t="inlineStr">
        <is>
          <t>向交警要美团/平台保险公司电话，问清：市北区人民医院费用能否理赔</t>
        </is>
      </c>
      <c r="D4" s="4" t="inlineStr">
        <is>
          <t>二甲能不能住，保险公司说了算，朋友说了不算</t>
        </is>
      </c>
      <c r="E4" s="4" t="inlineStr">
        <is>
          <t>未完成</t>
        </is>
      </c>
    </row>
    <row r="5" ht="36" customHeight="1">
      <c r="A5" s="3" t="n">
        <v>3</v>
      </c>
      <c r="B5" s="3" t="inlineStr">
        <is>
          <t>家属</t>
        </is>
      </c>
      <c r="C5" s="3" t="inlineStr">
        <is>
          <t>下载并保存三份 CT 报告、齐鲁手术记录、费用明细和发票</t>
        </is>
      </c>
      <c r="D5" s="3" t="inlineStr">
        <is>
          <t>这是目前最硬的伤情和花费证据</t>
        </is>
      </c>
      <c r="E5" s="3" t="inlineStr">
        <is>
          <t>未完成</t>
        </is>
      </c>
    </row>
    <row r="6" ht="36" customHeight="1">
      <c r="A6" s="4" t="n">
        <v>4</v>
      </c>
      <c r="B6" s="4" t="inlineStr">
        <is>
          <t>家属+赛主任+交警</t>
        </is>
      </c>
      <c r="C6" s="4" t="inlineStr">
        <is>
          <t>医院资质公对公留痕：交警电话可给赛主任，口径必须是交警原话</t>
        </is>
      </c>
      <c r="D6" s="4" t="inlineStr">
        <is>
          <t>不代扮交警，不换号</t>
        </is>
      </c>
      <c r="E6" s="4" t="inlineStr">
        <is>
          <t>未完成</t>
        </is>
      </c>
    </row>
    <row r="7" ht="36" customHeight="1">
      <c r="A7" s="3" t="n">
        <v>5</v>
      </c>
      <c r="B7" s="3" t="inlineStr">
        <is>
          <t>交警</t>
        </is>
      </c>
      <c r="C7" s="3" t="inlineStr">
        <is>
          <t>本周约骑手面谈；要平台保险名称、保单/工号、理赔窗口和是否须认定书</t>
        </is>
      </c>
      <c r="D7" s="3" t="inlineStr">
        <is>
          <t>钱主要来自平台险，不是骑手现金</t>
        </is>
      </c>
      <c r="E7" s="3" t="inlineStr">
        <is>
          <t>未完成</t>
        </is>
      </c>
    </row>
    <row r="8" ht="36" customHeight="1">
      <c r="A8" s="4" t="n">
        <v>6</v>
      </c>
      <c r="B8" s="4" t="inlineStr">
        <is>
          <t>家属</t>
        </is>
      </c>
      <c r="C8" s="4" t="inlineStr">
        <is>
          <t>面谈只谈已发生费用和后续流程，不谈残级、不签总包死价</t>
        </is>
      </c>
      <c r="D8" s="4" t="inlineStr">
        <is>
          <t>残还评不了，现在锁死会吃亏</t>
        </is>
      </c>
      <c r="E8" s="4" t="inlineStr">
        <is>
          <t>未完成</t>
        </is>
      </c>
    </row>
  </sheetData>
  <autoFilter ref="A1:E8"/>
  <mergeCells count="1">
    <mergeCell ref="A1:E1"/>
  </mergeCells>
  <dataValidations count="1">
    <dataValidation sqref="E3:E20" showDropDown="0" showInputMessage="0" showErrorMessage="0" allowBlank="0" type="list">
      <formula1>"未完成,进行中,已完成,律师跟进"</formula1>
    </dataValidation>
  </dataValidations>
  <pageMargins left="0.4" right="0.4" top="0.5" bottom="0.5" header="0.5" footer="0.5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B2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90" customWidth="1" min="2" max="2"/>
  </cols>
  <sheetData>
    <row r="1" ht="24" customHeight="1">
      <c r="A1" s="1" t="inlineStr">
        <is>
          <t>面谈只说这些。全责、残级、跟骨粉碎骨折，全部停用。</t>
        </is>
      </c>
    </row>
    <row r="2" ht="22" customHeight="1">
      <c r="A2" s="2" t="inlineStr">
        <is>
          <t>场合</t>
        </is>
      </c>
      <c r="B2" s="2" t="inlineStr">
        <is>
          <t>原话/要点</t>
        </is>
      </c>
    </row>
    <row r="3">
      <c r="A3" s="3" t="inlineStr">
        <is>
          <t>对交警</t>
        </is>
      </c>
      <c r="B3" s="3" t="inlineStr">
        <is>
          <t>我们接受「看视频、任何一方都不是全责」这一事实前提。</t>
        </is>
      </c>
    </row>
    <row r="4">
      <c r="A4" s="4" t="inlineStr">
        <is>
          <t>对交警</t>
        </is>
      </c>
      <c r="B4" s="4" t="inlineStr">
        <is>
          <t>请协助本周见到骑手，并请对方当场确认美团/保险公司联系人。</t>
        </is>
      </c>
    </row>
    <row r="5">
      <c r="A5" s="3" t="inlineStr">
        <is>
          <t>对交警</t>
        </is>
      </c>
      <c r="B5" s="3" t="inlineStr">
        <is>
          <t>就医医院请书面或通话留痕：默认三甲；若暂留二甲，是否影响保险审核。</t>
        </is>
      </c>
    </row>
    <row r="6">
      <c r="A6" s="4" t="inlineStr">
        <is>
          <t>对交警</t>
        </is>
      </c>
      <c r="B6" s="4" t="inlineStr">
        <is>
          <t>简易程序可以谈，但要先问清保险能否在该责任比例下正常赔。</t>
        </is>
      </c>
    </row>
    <row r="7">
      <c r="A7" s="3" t="inlineStr">
        <is>
          <t>对骑手/平台</t>
        </is>
      </c>
      <c r="B7" s="3" t="inlineStr">
        <is>
          <t>先看病、先垫付已发生医疗费，态度摆正，拉群不打游击电话。</t>
        </is>
      </c>
    </row>
    <row r="8">
      <c r="A8" s="4" t="inlineStr">
        <is>
          <t>对骑手/平台</t>
        </is>
      </c>
      <c r="B8" s="4" t="inlineStr">
        <is>
          <t>请平台和保险进群。个人经济情况理解，但规则归规则。</t>
        </is>
      </c>
    </row>
    <row r="9">
      <c r="A9" s="3" t="inlineStr">
        <is>
          <t>对骑手/平台</t>
        </is>
      </c>
      <c r="B9" s="3" t="inlineStr">
        <is>
          <t>不接受「等认定书之前什么都不做」。认定书管责任，不管伤者今天能不能住院。</t>
        </is>
      </c>
    </row>
    <row r="10">
      <c r="A10" s="4" t="inlineStr">
        <is>
          <t>对骑手/平台</t>
        </is>
      </c>
      <c r="B10" s="4" t="inlineStr">
        <is>
          <t>不谈残级，不签一次性了结，除非律师看过保险条款。</t>
        </is>
      </c>
    </row>
    <row r="11">
      <c r="A11" s="3" t="inlineStr">
        <is>
          <t>对医院</t>
        </is>
      </c>
      <c r="B11" s="3" t="inlineStr">
        <is>
          <t>患者是交通事故伤者。请先协助办完齐鲁出院结算，再办人民医院入院，不要人在床上没有住院号。</t>
        </is>
      </c>
    </row>
    <row r="12">
      <c r="A12" s="4" t="inlineStr">
        <is>
          <t>对医院</t>
        </is>
      </c>
      <c r="B12" s="4" t="inlineStr">
        <is>
          <t>需要转院请书面告知原因、是否联合体、结算规则，并协助专业转运、开具发票。</t>
        </is>
      </c>
    </row>
    <row r="13">
      <c r="A13" s="3" t="inlineStr">
        <is>
          <t>对医院</t>
        </is>
      </c>
      <c r="B13" s="3" t="inlineStr">
        <is>
          <t>请出具诊断证明、手术名称、预计住院和康复周期。</t>
        </is>
      </c>
    </row>
    <row r="14">
      <c r="A14" s="4" t="inlineStr">
        <is>
          <t>对保险公司</t>
        </is>
      </c>
      <c r="B14" s="4" t="inlineStr">
        <is>
          <t>请确认：山东大学齐鲁医院（青岛）已发生费用、市北区人民医院后续费用，是否都属于可赔医院。</t>
        </is>
      </c>
    </row>
    <row r="15">
      <c r="A15" s="3" t="inlineStr">
        <is>
          <t>对保险公司</t>
        </is>
      </c>
      <c r="B15" s="3" t="inlineStr">
        <is>
          <t>如果二甲不认，请贵司医务部门对接医院，协调转回三甲连续治疗。</t>
        </is>
      </c>
    </row>
    <row r="16">
      <c r="A16" s="4" t="inlineStr">
        <is>
          <t>对保险公司</t>
        </is>
      </c>
      <c r="B16" s="4" t="inlineStr">
        <is>
          <t>请告知理赔需要的材料清单、是否必须先有责任认定书才能垫付医疗费。</t>
        </is>
      </c>
    </row>
    <row r="17">
      <c r="A17" s="3" t="inlineStr">
        <is>
          <t>绝对不要说</t>
        </is>
      </c>
      <c r="B17" s="3" t="inlineStr">
        <is>
          <t>不要再说「对方全责」——交警视频已经排除。</t>
        </is>
      </c>
    </row>
    <row r="18">
      <c r="A18" s="4" t="inlineStr">
        <is>
          <t>绝对不要说</t>
        </is>
      </c>
      <c r="B18" s="4" t="inlineStr">
        <is>
          <t>不要对外说「已经几级伤残」。</t>
        </is>
      </c>
    </row>
    <row r="19">
      <c r="A19" s="3" t="inlineStr">
        <is>
          <t>绝对不要说</t>
        </is>
      </c>
      <c r="B19" s="3" t="inlineStr">
        <is>
          <t>不要把右足骨刺、退变说成这次撞出来的跟骨粉碎骨折。</t>
        </is>
      </c>
    </row>
    <row r="20">
      <c r="A20" s="4" t="inlineStr">
        <is>
          <t>绝对不要说</t>
        </is>
      </c>
      <c r="B20" s="4" t="inlineStr">
        <is>
          <t>不要为了走一般程序去赌全责，那会把无牌/无证风险砸在己方。</t>
        </is>
      </c>
    </row>
    <row r="21">
      <c r="A21" s="3" t="inlineStr">
        <is>
          <t>绝对不要说</t>
        </is>
      </c>
      <c r="B21" s="3" t="inlineStr">
        <is>
          <t>不要无发票的现金开支事后补口。</t>
        </is>
      </c>
    </row>
    <row r="22">
      <c r="A22" s="4" t="inlineStr">
        <is>
          <t>绝对不要说</t>
        </is>
      </c>
      <c r="B22" s="4" t="inlineStr">
        <is>
          <t>不要对保险公司说「朋友说公立二甲一定能报」。</t>
        </is>
      </c>
    </row>
    <row r="23">
      <c r="A23" s="3" t="inlineStr">
        <is>
          <t>绝对不要说</t>
        </is>
      </c>
      <c r="B23" s="3" t="inlineStr">
        <is>
          <t>不要装病、不要出院再入院绕考核、不要代扮交警。</t>
        </is>
      </c>
    </row>
  </sheetData>
  <autoFilter ref="A1:B23"/>
  <mergeCells count="1">
    <mergeCell ref="A1:B1"/>
  </mergeCells>
  <pageMargins left="0.4" right="0.4" top="0.5" bottom="0.5" header="0.5" footer="0.5"/>
  <pageSetup orientation="landscape" paperSize="9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C1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55" customWidth="1" min="2" max="2"/>
    <col width="40" customWidth="1" min="3" max="3"/>
  </cols>
  <sheetData>
    <row r="1" ht="24" customHeight="1">
      <c r="A1" s="1" t="inlineStr">
        <is>
          <t>交警视频已排除全责。程序选择不要赌全责。</t>
        </is>
      </c>
    </row>
    <row r="2" ht="22" customHeight="1">
      <c r="A2" s="2" t="inlineStr">
        <is>
          <t>事项</t>
        </is>
      </c>
      <c r="B2" s="2" t="inlineStr">
        <is>
          <t>交警口径</t>
        </is>
      </c>
      <c r="C2" s="2" t="inlineStr">
        <is>
          <t>家属对策</t>
        </is>
      </c>
    </row>
    <row r="3" ht="48" customHeight="1">
      <c r="A3" s="3" t="inlineStr">
        <is>
          <t>地点</t>
        </is>
      </c>
      <c r="B3" s="3" t="inlineStr">
        <is>
          <t>青岛市北区红枫路汽车市场外抚顺路（正规市政道路，批发市场附近）</t>
        </is>
      </c>
      <c r="C3" s="3" t="inlineStr">
        <is>
          <t>材料里写抚顺路市政道路，不要写成市场内部</t>
        </is>
      </c>
    </row>
    <row r="4" ht="48" customHeight="1">
      <c r="A4" s="4" t="inlineStr">
        <is>
          <t>过程</t>
        </is>
      </c>
      <c r="B4" s="4" t="inlineStr">
        <is>
          <t>伤者骑三轮车准备掉头，后方美团二轮电动车碰撞，三轮侧翻。交警称视频能看清过程。</t>
        </is>
      </c>
      <c r="C4" s="4" t="inlineStr">
        <is>
          <t>以监控为准，不补充猜测</t>
        </is>
      </c>
    </row>
    <row r="5" ht="48" customHeight="1">
      <c r="A5" s="3" t="inlineStr">
        <is>
          <t>三轮过错</t>
        </is>
      </c>
      <c r="B5" s="3" t="inlineStr">
        <is>
          <t>三轮车交警认定为机动车，未悬挂正规机动车号牌（批发市场自制内部牌，家属记得 2588，交警不认可）；转向灯失灵，掉头未有效提示后方；掉头动作违规：先向右靠再大弧度左拐，易误导后方</t>
        </is>
      </c>
      <c r="C5" s="3" t="inlineStr">
        <is>
          <t>承认监控里看得到的问题，不争口头全责</t>
        </is>
      </c>
    </row>
    <row r="6" ht="48" customHeight="1">
      <c r="A6" s="4" t="inlineStr">
        <is>
          <t>骑手过错</t>
        </is>
      </c>
      <c r="B6" s="4" t="inlineStr">
        <is>
          <t>未与前车保持足够安全距离；处于后方、视野更清楚，有条件提前规避</t>
        </is>
      </c>
      <c r="C6" s="4" t="inlineStr">
        <is>
          <t>要求主责，保底同等</t>
        </is>
      </c>
    </row>
    <row r="7" ht="48" customHeight="1">
      <c r="A7" s="3" t="inlineStr">
        <is>
          <t>责任范围</t>
        </is>
      </c>
      <c r="B7" s="3" t="inlineStr">
        <is>
          <t>监控可排除任何一方全责。可能结果只有两种：双方同等责任；或三轮次责、外卖主责。交警称无论简易、一般程序还是法院，看了视频都不会超出该范围。</t>
        </is>
      </c>
      <c r="C7" s="3" t="inlineStr">
        <is>
          <t>停止使用「对方全责」</t>
        </is>
      </c>
    </row>
    <row r="8" ht="48" customHeight="1">
      <c r="A8" s="4" t="inlineStr">
        <is>
          <t>简易程序</t>
        </is>
      </c>
      <c r="B8" s="4" t="inlineStr">
        <is>
          <t>不审资质，快出认定书</t>
        </is>
      </c>
      <c r="C8" s="4" t="inlineStr">
        <is>
          <t>可谈，但先确认平台保险能赔</t>
        </is>
      </c>
    </row>
    <row r="9" ht="48" customHeight="1">
      <c r="A9" s="3" t="inlineStr">
        <is>
          <t>一般程序</t>
        </is>
      </c>
      <c r="B9" s="3" t="inlineStr">
        <is>
          <t>鉴定约一个多月；无牌/可能无证要处罚</t>
        </is>
      </c>
      <c r="C9" s="3" t="inlineStr">
        <is>
          <t>除非保险拒赔或对方不谈，否则不主动升级</t>
        </is>
      </c>
    </row>
    <row r="10" ht="48" customHeight="1">
      <c r="A10" s="4" t="inlineStr">
        <is>
          <t>交警赔钱</t>
        </is>
      </c>
      <c r="B10" s="4" t="inlineStr">
        <is>
          <t>只出认定书，不参与金额</t>
        </is>
      </c>
      <c r="C10" s="4" t="inlineStr">
        <is>
          <t>金额找保险和法院，别逼交警</t>
        </is>
      </c>
    </row>
  </sheetData>
  <autoFilter ref="A1:C10"/>
  <mergeCells count="1">
    <mergeCell ref="A1:C1"/>
  </mergeCells>
  <pageMargins left="0.4" right="0.4" top="0.5" bottom="0.5" header="0.5" footer="0.5"/>
  <pageSetup orientation="landscape" paperSize="9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D1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36" customWidth="1" min="2" max="2"/>
    <col width="10" customWidth="1" min="3" max="3"/>
    <col width="50" customWidth="1" min="4" max="4"/>
  </cols>
  <sheetData>
    <row r="1" ht="24" customHeight="1">
      <c r="A1" s="1" t="inlineStr">
        <is>
          <t>得到大脑 11 份录音。与 CT 冲突的以 CT 为准；二甲报销以保险公司为准。</t>
        </is>
      </c>
    </row>
    <row r="2" ht="22" customHeight="1">
      <c r="A2" s="2" t="inlineStr">
        <is>
          <t>日期</t>
        </is>
      </c>
      <c r="B2" s="2" t="inlineStr">
        <is>
          <t>标题</t>
        </is>
      </c>
      <c r="C2" s="2" t="inlineStr">
        <is>
          <t>时长</t>
        </is>
      </c>
      <c r="D2" s="2" t="inlineStr">
        <is>
          <t>本表如何使用</t>
        </is>
      </c>
    </row>
    <row r="3">
      <c r="A3" s="3" t="inlineStr">
        <is>
          <t>2026-08-15</t>
        </is>
      </c>
      <c r="B3" s="3" t="inlineStr">
        <is>
          <t>伤势与理赔情况讨论</t>
        </is>
      </c>
      <c r="C3" s="3" t="inlineStr">
        <is>
          <t>20:01</t>
        </is>
      </c>
      <c r="D3" s="3" t="inlineStr">
        <is>
          <t>早期口述伤情与费用，须用 CT 校正</t>
        </is>
      </c>
    </row>
    <row r="4">
      <c r="A4" s="4" t="inlineStr">
        <is>
          <t>2026-08-15</t>
        </is>
      </c>
      <c r="B4" s="4" t="inlineStr">
        <is>
          <t>轻弦办公椅园区快闪洽谈</t>
        </is>
      </c>
      <c r="C4" s="4" t="inlineStr">
        <is>
          <t>07:59</t>
        </is>
      </c>
      <c r="D4" s="4" t="inlineStr">
        <is>
          <t>同批录音，与事故无关，见附录</t>
        </is>
      </c>
    </row>
    <row r="5">
      <c r="A5" s="3" t="inlineStr">
        <is>
          <t>2026-08-16</t>
        </is>
      </c>
      <c r="B5" s="3" t="inlineStr">
        <is>
          <t>美团医疗赔偿家属协商</t>
        </is>
      </c>
      <c r="C5" s="3" t="inlineStr">
        <is>
          <t>16:00</t>
        </is>
      </c>
      <c r="D5" s="3" t="inlineStr">
        <is>
          <t>催款、转院、发票、伤残鉴定流程的家属共识</t>
        </is>
      </c>
    </row>
    <row r="6">
      <c r="A6" s="4" t="inlineStr">
        <is>
          <t>2026-08-16</t>
        </is>
      </c>
      <c r="B6" s="4" t="inlineStr">
        <is>
          <t>与骑手赔偿责任通话</t>
        </is>
      </c>
      <c r="C6" s="4" t="inlineStr">
        <is>
          <t>03:19</t>
        </is>
      </c>
      <c r="D6" s="4" t="inlineStr">
        <is>
          <t>骑手要等认定书；家属要求拉群</t>
        </is>
      </c>
    </row>
    <row r="7">
      <c r="A7" s="3" t="inlineStr">
        <is>
          <t>2026-08-17</t>
        </is>
      </c>
      <c r="B7" s="3" t="inlineStr">
        <is>
          <t>医院转院结算流程</t>
        </is>
      </c>
      <c r="C7" s="3" t="inlineStr">
        <is>
          <t>05:00</t>
        </is>
      </c>
      <c r="D7" s="3" t="inlineStr">
        <is>
          <t>必须先结算再入院；三级诊疗解释</t>
        </is>
      </c>
    </row>
    <row r="8">
      <c r="A8" s="4" t="inlineStr">
        <is>
          <t>2026-08-17</t>
        </is>
      </c>
      <c r="B8" s="4" t="inlineStr">
        <is>
          <t>红枫路交警沟通</t>
        </is>
      </c>
      <c r="C8" s="4" t="inlineStr">
        <is>
          <t>16:00</t>
        </is>
      </c>
      <c r="D8" s="4" t="inlineStr">
        <is>
          <t>责任范围、简易/一般、保险、医院级别</t>
        </is>
      </c>
    </row>
    <row r="9">
      <c r="A9" s="3" t="inlineStr">
        <is>
          <t>2026-08-17</t>
        </is>
      </c>
      <c r="B9" s="3" t="inlineStr">
        <is>
          <t>交警补充：赔偿职权边界</t>
        </is>
      </c>
      <c r="C9" s="3" t="inlineStr">
        <is>
          <t>02:23</t>
        </is>
      </c>
      <c r="D9" s="3" t="inlineStr">
        <is>
          <t>交警不下赔偿金额；评残后再谈残</t>
        </is>
      </c>
    </row>
    <row r="10">
      <c r="A10" s="4" t="inlineStr">
        <is>
          <t>2026-08-17</t>
        </is>
      </c>
      <c r="B10" s="4" t="inlineStr">
        <is>
          <t>交警：二甲入院与执行风险</t>
        </is>
      </c>
      <c r="C10" s="4" t="inlineStr">
        <is>
          <t>06:08</t>
        </is>
      </c>
      <c r="D10" s="4" t="inlineStr">
        <is>
          <t>三甲默认、二甲不确定、骑手偿付弱</t>
        </is>
      </c>
    </row>
    <row r="11">
      <c r="A11" s="3" t="inlineStr">
        <is>
          <t>2026-08-17</t>
        </is>
      </c>
      <c r="B11" s="3" t="inlineStr">
        <is>
          <t>与赛主任转院沟通</t>
        </is>
      </c>
      <c r="C11" s="3" t="inlineStr">
        <is>
          <t>03:27</t>
        </is>
      </c>
      <c r="D11" s="3" t="inlineStr">
        <is>
          <t>联合体二甲惯例；交警电话公对公</t>
        </is>
      </c>
    </row>
    <row r="12">
      <c r="A12" s="4" t="inlineStr">
        <is>
          <t>2026-08-17</t>
        </is>
      </c>
      <c r="B12" s="4" t="inlineStr">
        <is>
          <t>转院问题内部/律师讨论</t>
        </is>
      </c>
      <c r="C12" s="4" t="inlineStr">
        <is>
          <t>38:06</t>
        </is>
      </c>
      <c r="D12" s="4" t="inlineStr">
        <is>
          <t>必须回三甲的策略讨论；责任预判须服从交警视频</t>
        </is>
      </c>
    </row>
    <row r="13">
      <c r="A13" s="3" t="inlineStr">
        <is>
          <t>2026-08-17</t>
        </is>
      </c>
      <c r="B13" s="3" t="inlineStr">
        <is>
          <t>伤者转院报销问题咨询</t>
        </is>
      </c>
      <c r="C13" s="3" t="inlineStr">
        <is>
          <t>46:00</t>
        </is>
      </c>
      <c r="D13" s="3" t="inlineStr">
        <is>
          <t>人已到人民医院、齐鲁未出院；朋友称公立二甲可报，会后改为以保险公司确认为准</t>
        </is>
      </c>
    </row>
  </sheetData>
  <autoFilter ref="A1:D13"/>
  <mergeCells count="1">
    <mergeCell ref="A1:D1"/>
  </mergeCells>
  <pageMargins left="0.4" right="0.4" top="0.5" bottom="0.5" header="0.5" footer="0.5"/>
  <pageSetup orientation="landscape" paperSize="9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B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90" customWidth="1" min="2" max="2"/>
  </cols>
  <sheetData>
    <row r="1" ht="24" customHeight="1">
      <c r="A1" s="1" t="inlineStr">
        <is>
          <t>附录：轻弦办公椅上海园区快闪（同批 8 月 15 日录音，与事故无关）</t>
        </is>
      </c>
    </row>
    <row r="2" ht="22" customHeight="1">
      <c r="A2" s="2" t="inlineStr">
        <is>
          <t>序号</t>
        </is>
      </c>
      <c r="B2" s="2" t="inlineStr">
        <is>
          <t>要点</t>
        </is>
      </c>
    </row>
    <row r="3">
      <c r="A3" s="3" t="n">
        <v>1</v>
      </c>
      <c r="B3" s="3" t="inlineStr">
        <is>
          <t>产品：轻弦人体工学椅；供方称字节、大疆、小米等有总部集采。</t>
        </is>
      </c>
    </row>
    <row r="4">
      <c r="A4" s="4" t="n">
        <v>2</v>
      </c>
      <c r="B4" s="4" t="inlineStr">
        <is>
          <t>合作：物业大堂快闪 + 企业内购；单椅成交返佣 100–200 元；可用椅子抵场地费。</t>
        </is>
      </c>
    </row>
    <row r="5">
      <c r="A5" s="3" t="n">
        <v>3</v>
      </c>
      <c r="B5" s="3" t="inlineStr">
        <is>
          <t>渠道：杨浦滨江、徐汇滨江；合作方有闵行森马、杨浦科创等园区资源。</t>
        </is>
      </c>
    </row>
    <row r="6">
      <c r="A6" s="4" t="n">
        <v>4</v>
      </c>
      <c r="B6" s="4" t="inlineStr">
        <is>
          <t>下一步：供方发资料；合作方下下周回沪后选 1–2 个园区试点。</t>
        </is>
      </c>
    </row>
  </sheetData>
  <autoFilter ref="A1:B6"/>
  <mergeCells count="1">
    <mergeCell ref="A1:B1"/>
  </mergeCells>
  <pageMargins left="0.4" right="0.4" top="0.5" bottom="0.5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2026-08-17T06:03:42Z</dcterms:created>
  <dcterms:modified xmlns:dcterms="http://purl.org/dc/terms/" xmlns:xsi="http://www.w3.org/2001/XMLSchema-instance" xsi:type="dcterms:W3CDTF">2026-08-17T06:03:42Z</dcterms:modified>
</cp:coreProperties>
</file>