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伤情鉴定" sheetId="1" state="visible" r:id="rId1"/>
    <sheet xmlns:r="http://schemas.openxmlformats.org/officeDocument/2006/relationships" name="伤残情况" sheetId="2" state="visible" r:id="rId2"/>
    <sheet xmlns:r="http://schemas.openxmlformats.org/officeDocument/2006/relationships" name="外伤与退变对照" sheetId="3" state="visible" r:id="rId3"/>
    <sheet xmlns:r="http://schemas.openxmlformats.org/officeDocument/2006/relationships" name="转院报销" sheetId="4" state="visible" r:id="rId4"/>
    <sheet xmlns:r="http://schemas.openxmlformats.org/officeDocument/2006/relationships" name="费用台账" sheetId="5" state="visible" r:id="rId5"/>
    <sheet xmlns:r="http://schemas.openxmlformats.org/officeDocument/2006/relationships" name="72小时待办" sheetId="6" state="visible" r:id="rId6"/>
    <sheet xmlns:r="http://schemas.openxmlformats.org/officeDocument/2006/relationships" name="沟通口径卡" sheetId="7" state="visible" r:id="rId7"/>
    <sheet xmlns:r="http://schemas.openxmlformats.org/officeDocument/2006/relationships" name="责任与程序" sheetId="8" state="visible" r:id="rId8"/>
    <sheet xmlns:r="http://schemas.openxmlformats.org/officeDocument/2006/relationships" name="刘孝春分担清单" sheetId="9" state="visible" r:id="rId9"/>
    <sheet xmlns:r="http://schemas.openxmlformats.org/officeDocument/2006/relationships" name="待补充信息" sheetId="10" state="visible" r:id="rId10"/>
    <sheet xmlns:r="http://schemas.openxmlformats.org/officeDocument/2006/relationships" name="录音来源" sheetId="11" state="visible" r:id="rId11"/>
    <sheet xmlns:r="http://schemas.openxmlformats.org/officeDocument/2006/relationships" name="附录轻弦洽谈" sheetId="12" state="visible" r:id="rId12"/>
  </sheets>
  <definedNames>
    <definedName name="_xlnm._FilterDatabase" localSheetId="0" hidden="1">'伤情鉴定'!$A$1:$F$8</definedName>
    <definedName name="_xlnm.Print_Titles" localSheetId="0">'伤情鉴定'!$1:$2</definedName>
    <definedName name="_xlnm._FilterDatabase" localSheetId="1" hidden="1">'伤残情况'!$A$1:$C$15</definedName>
    <definedName name="_xlnm.Print_Titles" localSheetId="1">'伤残情况'!$1:$2</definedName>
    <definedName name="_xlnm._FilterDatabase" localSheetId="2" hidden="1">'外伤与退变对照'!$A$1:$C$18</definedName>
    <definedName name="_xlnm.Print_Titles" localSheetId="2">'外伤与退变对照'!$1:$2</definedName>
    <definedName name="_xlnm._FilterDatabase" localSheetId="3" hidden="1">'转院报销'!$A$1:$C$22</definedName>
    <definedName name="_xlnm.Print_Titles" localSheetId="3">'转院报销'!$1:$2</definedName>
    <definedName name="_xlnm._FilterDatabase" localSheetId="4" hidden="1">'费用台账'!$A$2:$H$30</definedName>
    <definedName name="_xlnm.Print_Titles" localSheetId="4">'费用台账'!$1:$2</definedName>
    <definedName name="_xlnm._FilterDatabase" localSheetId="5" hidden="1">'72小时待办'!$A$1:$E$10</definedName>
    <definedName name="_xlnm.Print_Titles" localSheetId="5">'72小时待办'!$1:$2</definedName>
    <definedName name="_xlnm._FilterDatabase" localSheetId="6" hidden="1">'沟通口径卡'!$A$1:$B$35</definedName>
    <definedName name="_xlnm.Print_Titles" localSheetId="6">'沟通口径卡'!$1:$2</definedName>
    <definedName name="_xlnm._FilterDatabase" localSheetId="7" hidden="1">'责任与程序'!$A$1:$C$13</definedName>
    <definedName name="_xlnm.Print_Titles" localSheetId="7">'责任与程序'!$1:$2</definedName>
    <definedName name="_xlnm._FilterDatabase" localSheetId="8" hidden="1">'刘孝春分担清单'!$A$1:$E$28</definedName>
    <definedName name="_xlnm.Print_Titles" localSheetId="8">'刘孝春分担清单'!$1:$2</definedName>
    <definedName name="_xlnm._FilterDatabase" localSheetId="9" hidden="1">'待补充信息'!$A$1:$E$14</definedName>
    <definedName name="_xlnm.Print_Titles" localSheetId="9">'待补充信息'!$1:$2</definedName>
    <definedName name="_xlnm._FilterDatabase" localSheetId="10" hidden="1">'录音来源'!$A$1:$D$20</definedName>
    <definedName name="_xlnm.Print_Titles" localSheetId="10">'录音来源'!$1:$2</definedName>
    <definedName name="_xlnm._FilterDatabase" localSheetId="11" hidden="1">'附录轻弦洽谈'!$A$1:$B$6</definedName>
    <definedName name="_xlnm.Print_Titles" localSheetId="11">'附录轻弦洽谈'!$1:$2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0B2F5B"/>
      <sz val="14"/>
    </font>
    <font>
      <name val="微软雅黑"/>
      <b val="1"/>
      <color rgb="00FFFFFF"/>
      <sz val="11"/>
    </font>
    <font>
      <name val="微软雅黑"/>
      <b val="1"/>
      <color rgb="00A63D2F"/>
      <sz val="10"/>
    </font>
    <font>
      <name val="微软雅黑"/>
      <b val="1"/>
      <color rgb="002F6B4F"/>
      <sz val="10"/>
    </font>
    <font>
      <name val="微软雅黑"/>
      <color rgb="001F2A37"/>
      <sz val="10"/>
    </font>
    <font>
      <name val="微软雅黑"/>
      <b val="1"/>
      <color rgb="001F2A37"/>
      <sz val="10"/>
    </font>
    <font>
      <name val="微软雅黑"/>
      <b val="1"/>
      <color rgb="000B2F5B"/>
      <sz val="10"/>
    </font>
  </fonts>
  <fills count="4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4" fontId="5" fillId="0" borderId="1" applyAlignment="1" pivotButton="0" quotePrefix="0" xfId="0">
      <alignment vertical="center" wrapText="1"/>
    </xf>
    <xf numFmtId="4" fontId="5" fillId="3" borderId="1" applyAlignment="1" pivotButton="0" quotePrefix="0" xfId="0">
      <alignment vertical="center" wrapText="1"/>
    </xf>
    <xf numFmtId="4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42" customWidth="1" min="4" max="4"/>
    <col width="36" customWidth="1" min="5" max="5"/>
    <col width="22" customWidth="1" min="6" max="6"/>
  </cols>
  <sheetData>
    <row r="1" ht="24" customHeight="1">
      <c r="A1" s="1" t="inlineStr">
        <is>
          <t>齐鲁医院云影像 · 谁受伤、伤了什么（2026-08-17 核对）</t>
        </is>
      </c>
    </row>
    <row r="2" ht="22" customHeight="1">
      <c r="A2" s="2" t="inlineStr">
        <is>
          <t>日期</t>
        </is>
      </c>
      <c r="B2" s="2" t="inlineStr">
        <is>
          <t>检查号</t>
        </is>
      </c>
      <c r="C2" s="2" t="inlineStr">
        <is>
          <t>项目 / 科室</t>
        </is>
      </c>
      <c r="D2" s="2" t="inlineStr">
        <is>
          <t>影像所见（报告原文）</t>
        </is>
      </c>
      <c r="E2" s="2" t="inlineStr">
        <is>
          <t>影像诊断（报告原文）</t>
        </is>
      </c>
      <c r="F2" s="2" t="inlineStr">
        <is>
          <t>本次事故？</t>
        </is>
      </c>
    </row>
    <row r="3" ht="72" customHeight="1">
      <c r="A3" s="3" t="inlineStr">
        <is>
          <t>2026-08-14</t>
        </is>
      </c>
      <c r="B3" s="3" t="inlineStr">
        <is>
          <t>10008056847</t>
        </is>
      </c>
      <c r="C3" s="3" t="inlineStr">
        <is>
          <t>右小腿CT平扫（薄层）＋骨三维成像
急诊 · 急诊骨科 · 已审核</t>
        </is>
      </c>
      <c r="D3" s="3" t="inlineStr">
        <is>
          <t>右侧胫骨远端、腓骨近端骨质不连续，断端移位，踝关节对位不良，胫距关节间隙增宽。距骨内缘、外踝下方见小骨片影。右小腿、踝关节软组织肿胀。</t>
        </is>
      </c>
      <c r="E3" s="3" t="inlineStr">
        <is>
          <t>右侧胫骨远端、腓骨近端骨折，并踝关节半脱位
右距骨内缘、外踝撕脱性骨折
右小腿、踝关节软组织肿胀</t>
        </is>
      </c>
      <c r="F3" s="3" t="inlineStr">
        <is>
          <t>是，计入本次</t>
        </is>
      </c>
    </row>
    <row r="4" ht="56" customHeight="1">
      <c r="A4" s="4" t="inlineStr">
        <is>
          <t>2026-08-14</t>
        </is>
      </c>
      <c r="B4" s="4" t="inlineStr">
        <is>
          <t>10008056848</t>
        </is>
      </c>
      <c r="C4" s="4" t="inlineStr">
        <is>
          <t>右足CT平扫（薄层）＋骨三维成像
急诊 · 急诊骨科 · 已审核</t>
        </is>
      </c>
      <c r="D4" s="4" t="inlineStr">
        <is>
          <t>右足诸关节在位，组成骨结构完整，边缘见骨质增生，跟骨见骨刺影，第一跖骨头见囊状低密度影，边缘硬化。</t>
        </is>
      </c>
      <c r="E4" s="4" t="inlineStr">
        <is>
          <t>右足退行性变、跟骨骨刺
右第一跖骨头囊变</t>
        </is>
      </c>
      <c r="F4" s="4" t="inlineStr">
        <is>
          <t>否，退变/陈旧，不计入评残</t>
        </is>
      </c>
    </row>
    <row r="5" ht="48" customHeight="1">
      <c r="A5" s="3" t="inlineStr">
        <is>
          <t>2026-08-15</t>
        </is>
      </c>
      <c r="B5" s="3" t="inlineStr">
        <is>
          <t>10008059257</t>
        </is>
      </c>
      <c r="C5" s="3" t="inlineStr">
        <is>
          <t>右踝关节CT平扫（薄层）＋骨三维成像
住院 · 手足与显微重建外科 · 已审核</t>
        </is>
      </c>
      <c r="D5" s="3" t="inlineStr">
        <is>
          <t>右踝关节骨折内外固定术后复查，内外固定在位，位线可。周围软组织肿胀，密度增高。</t>
        </is>
      </c>
      <c r="E5" s="3" t="inlineStr">
        <is>
          <t>右踝关节骨折内外固定术后复查</t>
        </is>
      </c>
      <c r="F5" s="3" t="inlineStr">
        <is>
          <t>是，计入本次</t>
        </is>
      </c>
    </row>
    <row r="7">
      <c r="A7" s="5" t="inlineStr">
        <is>
          <t>患者：胡** / 男 / 64岁　　医院：山东大学齐鲁医院（青岛）</t>
        </is>
      </c>
    </row>
    <row r="8">
      <c r="A8" t="inlineStr">
        <is>
          <t>报告页注明：本报告仅供临床医生参考，不作任何证明。 这是影像诊断，不是伤残鉴定。</t>
        </is>
      </c>
    </row>
  </sheetData>
  <autoFilter ref="A1:F8"/>
  <mergeCells count="3">
    <mergeCell ref="A8:F8"/>
    <mergeCell ref="A1:F1"/>
    <mergeCell ref="A7:F7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6" customWidth="1" min="3" max="3"/>
  </cols>
  <sheetData>
    <row r="1" ht="24" customHeight="1">
      <c r="A1" s="1" t="inlineStr">
        <is>
          <t>伤残：现在不能定级。只准备材料。</t>
        </is>
      </c>
    </row>
    <row r="2" ht="22" customHeight="1">
      <c r="A2" s="2" t="inlineStr">
        <is>
          <t>问题</t>
        </is>
      </c>
      <c r="B2" s="2" t="inlineStr">
        <is>
          <t>结论</t>
        </is>
      </c>
      <c r="C2" s="2" t="inlineStr">
        <is>
          <t>家属立刻怎么做</t>
        </is>
      </c>
    </row>
    <row r="3" ht="48" customHeight="1">
      <c r="A3" s="3" t="inlineStr">
        <is>
          <t>谁可能评残</t>
        </is>
      </c>
      <c r="B3" s="3" t="inlineStr">
        <is>
          <t>仅伤者本人：64 岁男性胡某（云影像脱敏为胡**）。家属胡继刚、美团骑手均无本次伤残材料。</t>
        </is>
      </c>
      <c r="C3" s="3" t="inlineStr">
        <is>
          <t>只为伤者本人建病历档案，不要给别人做伤残材料</t>
        </is>
      </c>
    </row>
    <row r="4" ht="48" customHeight="1">
      <c r="A4" s="4" t="inlineStr">
        <is>
          <t>现在有没有残级</t>
        </is>
      </c>
      <c r="B4" s="4" t="inlineStr">
        <is>
          <t>尚未做伤残鉴定。云影像三份 CT 是影像诊断，不是伤残鉴定书，不能当残级用。</t>
        </is>
      </c>
      <c r="C4" s="4" t="inlineStr">
        <is>
          <t>对外禁止说「已经几级」</t>
        </is>
      </c>
    </row>
    <row r="5" ht="48" customHeight="1">
      <c r="A5" s="3" t="inlineStr">
        <is>
          <t>什么时候评</t>
        </is>
      </c>
      <c r="B5" s="3" t="inlineStr">
        <is>
          <t>须治疗终结、临床相对稳定后，由有资质的司法鉴定机构评定。骨折内固定常见窗口是伤后约 3 个月以上，以鉴定机构书面要求为准；是否取内固定后再评，也以鉴定机构为准。</t>
        </is>
      </c>
      <c r="C5" s="3" t="inlineStr">
        <is>
          <t>先治病，3 个月窗口前不要催鉴定</t>
        </is>
      </c>
    </row>
    <row r="6" ht="48" customHeight="1">
      <c r="A6" s="4" t="inlineStr">
        <is>
          <t>用哪套标准</t>
        </is>
      </c>
      <c r="B6" s="4" t="inlineStr">
        <is>
          <t>道路交通事故人身损害评残，实务中多用《人体损伤致残程度分级》（两院三部 2017）。不要用工伤标准去套交通事故，也不要按网上计算器先报一个级数给对方。</t>
        </is>
      </c>
      <c r="C6" s="4" t="inlineStr">
        <is>
          <t>交通事故用人体损伤致残程度分级，不要套工伤</t>
        </is>
      </c>
    </row>
    <row r="7" ht="48" customHeight="1">
      <c r="A7" s="3" t="inlineStr">
        <is>
          <t>评哪些伤</t>
        </is>
      </c>
      <c r="B7" s="3" t="inlineStr">
        <is>
          <t>与本次事故相关、日后可能构成评残基础的，是右踝骨折脱位 + 胫骨远端骨折 + 腓骨近端骨折治疗后残留的踝关节功能、行走能力、畸形或疼痛。右足退变、骨刺不计入本次。</t>
        </is>
      </c>
      <c r="C7" s="3" t="inlineStr">
        <is>
          <t>踝关节功能+行走；右足骨刺删除</t>
        </is>
      </c>
    </row>
    <row r="8" ht="48" customHeight="1">
      <c r="A8" s="4" t="inlineStr">
        <is>
          <t>现在能否报价</t>
        </is>
      </c>
      <c r="B8" s="4" t="inlineStr">
        <is>
          <t>现在不能、也不应对外报「几级伤残」。等级取决于日后功能，不取决于急诊 CT 有多吓人。</t>
        </is>
      </c>
      <c r="C8" s="4" t="inlineStr">
        <is>
          <t>面谈不谈残级、不签总包死价</t>
        </is>
      </c>
    </row>
    <row r="10">
      <c r="A10" s="6" t="inlineStr">
        <is>
          <t>评残前材料清单</t>
        </is>
      </c>
    </row>
    <row r="11">
      <c r="A11" s="3" t="n">
        <v>1</v>
      </c>
      <c r="B11" s="3" t="inlineStr">
        <is>
          <t>保存三份 CT 报告、影像、手术记录、入院出院记录、医嘱和发票原件</t>
        </is>
      </c>
      <c r="C11" s="3" t="n"/>
    </row>
    <row r="12">
      <c r="A12" s="4" t="n">
        <v>2</v>
      </c>
      <c r="B12" s="4" t="inlineStr">
        <is>
          <t>后续每次复查都留报告（是否骨愈合、是否感染、踝关节活动度）</t>
        </is>
      </c>
      <c r="C12" s="4" t="n"/>
    </row>
    <row r="13">
      <c r="A13" s="3" t="n">
        <v>3</v>
      </c>
      <c r="B13" s="3" t="inlineStr">
        <is>
          <t>伤残鉴定前不要在协商里提前锁定残级或总包死价</t>
        </is>
      </c>
      <c r="C13" s="3" t="n"/>
    </row>
    <row r="14">
      <c r="A14" s="4" t="n">
        <v>4</v>
      </c>
      <c r="B14" s="4" t="inlineStr">
        <is>
          <t>鉴定机构须合法，报告用途写清「道路交通事故」</t>
        </is>
      </c>
      <c r="C14" s="4" t="n"/>
    </row>
    <row r="15">
      <c r="A15" s="3" t="n">
        <v>5</v>
      </c>
      <c r="B15" s="3" t="inlineStr">
        <is>
          <t>不要把人社局电话咨询当成交通事故评残。人社局管工伤、残疾人证等另一套制度；本案评残走司法鉴定</t>
        </is>
      </c>
      <c r="C15" s="3" t="n"/>
    </row>
  </sheetData>
  <autoFilter ref="A1:C15"/>
  <mergeCells count="7">
    <mergeCell ref="B13:C13"/>
    <mergeCell ref="A10:C10"/>
    <mergeCell ref="B15:C15"/>
    <mergeCell ref="A1:C1"/>
    <mergeCell ref="B11:C11"/>
    <mergeCell ref="B14:C14"/>
    <mergeCell ref="B12:C12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</cols>
  <sheetData>
    <row r="1" ht="24" customHeight="1">
      <c r="A1" s="1" t="inlineStr">
        <is>
          <t>通话口述 vs 医院 CT：必须改口的清单</t>
        </is>
      </c>
    </row>
    <row r="2" ht="22" customHeight="1">
      <c r="A2" s="2" t="inlineStr">
        <is>
          <t>来源</t>
        </is>
      </c>
      <c r="B2" s="2" t="inlineStr">
        <is>
          <t>内容</t>
        </is>
      </c>
      <c r="C2" s="2" t="inlineStr">
        <is>
          <t>处理</t>
        </is>
      </c>
    </row>
    <row r="3" ht="110" customHeight="1">
      <c r="A3" s="3" t="inlineStr">
        <is>
          <t>CT：本次外伤</t>
        </is>
      </c>
      <c r="B3" s="3" t="inlineStr">
        <is>
          <t>• 右侧胫骨远端骨折（断端移位）
• 右侧腓骨近端骨折（断端移位）
• 右踝关节半脱位（对位不良，胫距关节间隙增宽）
• 右距骨内缘撕脱性骨折
• 右外踝撕脱性骨折
• 右小腿、踝关节软组织肿胀
• 2026-08-15 已行右踝关节骨折内外固定术，复查固定在位、位线可，软组织仍肿</t>
        </is>
      </c>
      <c r="C3" s="3" t="inlineStr">
        <is>
          <t>对外、对保险、对鉴定都用这套</t>
        </is>
      </c>
    </row>
    <row r="4" ht="70" customHeight="1">
      <c r="A4" s="4" t="inlineStr">
        <is>
          <t>CT：非本次外伤</t>
        </is>
      </c>
      <c r="B4" s="4" t="inlineStr">
        <is>
          <t>• 右足组成骨结构完整，诸关节在位，未见本次外伤性骨折
• 右足退行性变、跟骨骨刺、第一跖骨头囊变：属退变/陈旧改变，一般不计入本次交通事故伤残</t>
        </is>
      </c>
      <c r="C4" s="4" t="inlineStr">
        <is>
          <t>不要写成跟骨粉碎骨折</t>
        </is>
      </c>
    </row>
    <row r="5" ht="40" customHeight="1">
      <c r="A5" s="3" t="inlineStr">
        <is>
          <t>通话须改口</t>
        </is>
      </c>
      <c r="B5" s="3" t="inlineStr">
        <is>
          <t>通话里说「右脚后跟粉碎性骨折」</t>
        </is>
      </c>
      <c r="C5" s="3" t="inlineStr">
        <is>
          <t>右足 CT 未见跟骨粉碎骨折，跟骨仅为骨刺；粉碎/移位主要在胫骨远端和踝关节。</t>
        </is>
      </c>
    </row>
    <row r="6" ht="40" customHeight="1">
      <c r="A6" s="4" t="inlineStr">
        <is>
          <t>通话须改口</t>
        </is>
      </c>
      <c r="B6" s="4" t="inlineStr">
        <is>
          <t>通话里说「腓骨下段/小腿外侧骨折」</t>
        </is>
      </c>
      <c r="C6" s="4" t="inlineStr">
        <is>
          <t>急诊小腿 CT 写的是「腓骨近端」骨折，另有「外踝撕脱性骨折」（外踝属腓骨远端）。两处都要记，不要只记一处。</t>
        </is>
      </c>
    </row>
    <row r="7" ht="40" customHeight="1">
      <c r="A7" s="3" t="inlineStr">
        <is>
          <t>通话须改口</t>
        </is>
      </c>
      <c r="B7" s="3" t="inlineStr">
        <is>
          <t>通话里钢钉数量 2 根或 4 根说法不一</t>
        </is>
      </c>
      <c r="C7" s="3" t="inlineStr">
        <is>
          <t>术后 CT 结论是「内外固定术后，内外固定在位」，以手术记录和术后 CT 为准，不以口述根数为准。</t>
        </is>
      </c>
    </row>
    <row r="8" ht="40" customHeight="1">
      <c r="A8" s="4" t="inlineStr">
        <is>
          <t>通话须改口</t>
        </is>
      </c>
      <c r="B8" s="4" t="inlineStr">
        <is>
          <t>8 月 15 日部分通话说已出院回家</t>
        </is>
      </c>
      <c r="C8" s="4" t="inlineStr">
        <is>
          <t>同日住院 CT 在手足与显微重建外科，证明当时仍在齐鲁医院住院术后复查，并未结束治疗。</t>
        </is>
      </c>
    </row>
    <row r="9" ht="40" customHeight="1">
      <c r="A9" s="3" t="inlineStr">
        <is>
          <t>通话须改口</t>
        </is>
      </c>
      <c r="B9" s="3" t="inlineStr">
        <is>
          <t>录音把车说成「叉车」</t>
        </is>
      </c>
      <c r="C9" s="3" t="inlineStr">
        <is>
          <t>涉事是货运三轮，交警口头认定为机动车。不要对外说叉车。</t>
        </is>
      </c>
    </row>
    <row r="10" ht="40" customHeight="1">
      <c r="A10" s="4" t="inlineStr">
        <is>
          <t>通话须改口</t>
        </is>
      </c>
      <c r="B10" s="4" t="inlineStr">
        <is>
          <t>地点有红枫路、哈尔滨路、福生批发市场、服装批发市场斜坡红绿灯等说法</t>
        </is>
      </c>
      <c r="C10" s="4" t="inlineStr">
        <is>
          <t>可能指同一片批发市场外道路。对外写：批发市场外市政道路护栏开口附近，地址以交警文书为准。</t>
        </is>
      </c>
    </row>
    <row r="11" ht="40" customHeight="1">
      <c r="A11" s="3" t="inlineStr">
        <is>
          <t>通话须改口</t>
        </is>
      </c>
      <c r="B11" s="3" t="inlineStr">
        <is>
          <t>录音写成「刘小春」</t>
        </is>
      </c>
      <c r="C11" s="3" t="inlineStr">
        <is>
          <t>家属口述用工老板为刘孝春。转写可能同音错字，以身份证、微信实名为准。</t>
        </is>
      </c>
    </row>
    <row r="12" ht="40" customHeight="1">
      <c r="A12" s="4" t="inlineStr">
        <is>
          <t>通话须改口</t>
        </is>
      </c>
      <c r="B12" s="4" t="inlineStr">
        <is>
          <t>录音写成「胡志远」</t>
        </is>
      </c>
      <c r="C12" s="4" t="inlineStr">
        <is>
          <t>家属对接人是儿子胡继刚。伤者写胡某。姓名以身份证、病历首页为准。</t>
        </is>
      </c>
    </row>
    <row r="13" ht="40" customHeight="1">
      <c r="A13" s="3" t="inlineStr">
        <is>
          <t>通话须改口</t>
        </is>
      </c>
      <c r="B13" s="3" t="inlineStr">
        <is>
          <t>律师沟通里出现九级伤残、赔偿 25 万至 30 万</t>
        </is>
      </c>
      <c r="C13" s="3" t="inlineStr">
        <is>
          <t>那是记录 16 的远洋工伤另一案（已评残、拖了近五年），不能当本案结论。</t>
        </is>
      </c>
    </row>
    <row r="14" ht="40" customHeight="1">
      <c r="A14" s="4" t="inlineStr">
        <is>
          <t>通话须改口</t>
        </is>
      </c>
      <c r="B14" s="4" t="inlineStr">
        <is>
          <t>合集目录把 17 份拆成多起车祸/叉车/行人</t>
        </is>
      </c>
      <c r="C14" s="4" t="inlineStr">
        <is>
          <t>记录 1、3–15、17 是同一起三轮×美团女骑手事故。记录 2 轻弦无关。记录 16 是另一案。</t>
        </is>
      </c>
    </row>
    <row r="15" ht="40" customHeight="1">
      <c r="A15" s="3" t="inlineStr">
        <is>
          <t>通话须改口</t>
        </is>
      </c>
      <c r="B15" s="3" t="inlineStr">
        <is>
          <t>有人问是不是给孙总卸货</t>
        </is>
      </c>
      <c r="C15" s="3" t="inlineStr">
        <is>
          <t>伤者当场否认，说是给刘孝春干活。不要写成孙总。</t>
        </is>
      </c>
    </row>
    <row r="16" ht="40" customHeight="1">
      <c r="A16" s="4" t="inlineStr">
        <is>
          <t>通话须改口</t>
        </is>
      </c>
      <c r="B16" s="4" t="inlineStr">
        <is>
          <t>记录 13 出现蒋玉年、陈先建、26 床、8000 元</t>
        </is>
      </c>
      <c r="C16" s="4" t="inlineStr">
        <is>
          <t>病区串台。本案只取 33 床补打出院记录、一楼原路退费。其他人和其他钱不要进台账。</t>
        </is>
      </c>
    </row>
    <row r="17" ht="40" customHeight="1">
      <c r="A17" s="3" t="inlineStr">
        <is>
          <t>通话须改口</t>
        </is>
      </c>
      <c r="B17" s="3" t="inlineStr">
        <is>
          <t>8 月 15 日说交警已经定全责</t>
        </is>
      </c>
      <c r="C17" s="3" t="inlineStr">
        <is>
          <t>8 月 17 日交警看监控排除任何一方全责。早期口述作废。</t>
        </is>
      </c>
    </row>
    <row r="18" ht="40" customHeight="1">
      <c r="A18" s="4" t="inlineStr">
        <is>
          <t>通话须改口</t>
        </is>
      </c>
      <c r="B18" s="4" t="inlineStr">
        <is>
          <t>记录 17 说驾驶人 0 责、刘孝春把 30% 全包</t>
        </is>
      </c>
      <c r="C18" s="4" t="inlineStr">
        <is>
          <t>内部设想。交警仍可能把无牌、灯坏、掉头记在三轮使用人胡某这一方。</t>
        </is>
      </c>
    </row>
  </sheetData>
  <autoFilter ref="A1:C18"/>
  <mergeCells count="1">
    <mergeCell ref="A1:C1"/>
  </mergeCell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40" customWidth="1" min="3" max="3"/>
  </cols>
  <sheetData>
    <row r="1" ht="24" customHeight="1">
      <c r="A1" s="1" t="inlineStr">
        <is>
          <t>人已到人民医院，齐鲁出院未办。医保能报 ≠ 美团险能报。</t>
        </is>
      </c>
    </row>
    <row r="2" ht="22" customHeight="1">
      <c r="A2" s="2" t="inlineStr">
        <is>
          <t>事项</t>
        </is>
      </c>
      <c r="B2" s="2" t="inlineStr">
        <is>
          <t>目前事实</t>
        </is>
      </c>
      <c r="C2" s="2" t="inlineStr">
        <is>
          <t>怎么处理</t>
        </is>
      </c>
    </row>
    <row r="3" ht="48" customHeight="1">
      <c r="A3" s="3" t="inlineStr">
        <is>
          <t>当前卡住</t>
        </is>
      </c>
      <c r="B3" s="3" t="inlineStr">
        <is>
          <t>2026-08-17 下午：人已到市北区人民医院。齐鲁 33 床出院记录由戴老师补打，不用单独盖章，交给人民医院办入院。结余去齐鲁一楼收费窗口原路退。骑手称已打保险客服、尚未回信，约定加 1866 开头微信。二甲认不认仍以保险书面/通话为准，医院对接王主任：报不了就回齐鲁。</t>
        </is>
      </c>
      <c r="C3" s="3" t="inlineStr">
        <is>
          <t>当天办齐鲁出院结算，再办人民医院入院</t>
        </is>
      </c>
    </row>
    <row r="4" ht="48" customHeight="1">
      <c r="A4" s="4" t="inlineStr">
        <is>
          <t>怎么转出来的</t>
        </is>
      </c>
      <c r="B4" s="4" t="inlineStr">
        <is>
          <t>院方口径是联合体、同一家医院、不影响质量。昨天沟通过两次没转成，父亲好说话才同意，今天上午才搬走。主治态度强硬，青岛这边没有上海那种关系。</t>
        </is>
      </c>
      <c r="C4" s="4" t="inlineStr">
        <is>
          <t>父亲好说话才同意；主治强硬，不指望找关系留床</t>
        </is>
      </c>
    </row>
    <row r="5" ht="48" customHeight="1">
      <c r="A5" s="3" t="inlineStr">
        <is>
          <t>不是康复期</t>
        </is>
      </c>
      <c r="B5" s="3" t="inlineStr">
        <is>
          <t>不要把现在当成康复期。8 月 15 日术后 CT 仍写软组织肿胀、内外固定刚做完，到 17 日只过了两天。朋友说「已经康复期就别折腾」与影像时间轴不符。</t>
        </is>
      </c>
      <c r="C5" s="3" t="inlineStr">
        <is>
          <t>术后两天，软组织仍肿，不能按康复期处理</t>
        </is>
      </c>
    </row>
    <row r="6" ht="48" customHeight="1">
      <c r="A6" s="4" t="inlineStr">
        <is>
          <t>两条报销</t>
        </is>
      </c>
      <c r="B6" s="4" t="inlineStr">
        <is>
          <t>报销要分两条，不能混：① 医保：公立二甲通常能走医保结算；② 美团平台险/交通事故赔偿：认不认这家医院，必须问美团保险，朋友一句「公立二甲都报」覆盖不了这一条。</t>
        </is>
      </c>
      <c r="C6" s="4" t="inlineStr">
        <is>
          <t>医保和美团险分开问</t>
        </is>
      </c>
    </row>
    <row r="7" ht="48" customHeight="1">
      <c r="A7" s="3" t="inlineStr">
        <is>
          <t>找哪家保险</t>
        </is>
      </c>
      <c r="B7" s="3" t="inlineStr">
        <is>
          <t>咨询人说「认定单上一定有保险公司电话」。本案对方是外卖电动车，没有交强险、商业三者险。认定书上未必印着人保/平安。要找的是美团平台险，问交警、骑手、站点，不要只在认定单上找传统车险公司。</t>
        </is>
      </c>
      <c r="C7" s="3" t="inlineStr">
        <is>
          <t>问交警/骑手/站点要美团平台险，不在认定单上找交强险</t>
        </is>
      </c>
    </row>
    <row r="8" ht="48" customHeight="1">
      <c r="A8" s="4" t="inlineStr">
        <is>
          <t>结算规则</t>
        </is>
      </c>
      <c r="B8" s="4" t="inlineStr">
        <is>
          <t>跨院必须先在上一院结算，才能办下一院入院。出院部和科室权责分离，只找出院部催科室留床没有用。证件、押金票据带到齐鲁办理窗口（通话提到 11 楼）。</t>
        </is>
      </c>
      <c r="C8" s="4" t="inlineStr">
        <is>
          <t>带齐证件和押金票</t>
        </is>
      </c>
    </row>
    <row r="9" ht="48" customHeight="1">
      <c r="A9" s="3" t="inlineStr">
        <is>
          <t>朋友怎么说</t>
        </is>
      </c>
      <c r="B9" s="3" t="inlineStr">
        <is>
          <t>8 月 17 日 12:57 咨询：对方称公立二甲及以上一般在保险报销范围内，民营和一级社区医院通常不认；还让把医院全称发给他核对。对方自己只是骨裂、没住院，不能当美团保单条款。</t>
        </is>
      </c>
      <c r="C9" s="3" t="inlineStr">
        <is>
          <t>仅参考，不能当保单</t>
        </is>
      </c>
    </row>
    <row r="10" ht="48" customHeight="1">
      <c r="A10" s="4" t="inlineStr">
        <is>
          <t>家属口径</t>
        </is>
      </c>
      <c r="B10" s="4" t="inlineStr">
        <is>
          <t>家属会后口径正确：二甲能不能报，由保险公司确定。保险说二甲不行就不能继续住；保险说可以，再安心住；保险要求回三甲，由保险医务部门对接医院。向保险报医院全称：市北区人民医院（抚顺路院区）。</t>
        </is>
      </c>
      <c r="C10" s="4" t="inlineStr">
        <is>
          <t>采用；向保险报医院全称</t>
        </is>
      </c>
    </row>
    <row r="11" ht="48" customHeight="1">
      <c r="A11" s="3" t="inlineStr">
        <is>
          <t>别的三甲</t>
        </is>
      </c>
      <c r="B11" s="3" t="inlineStr">
        <is>
          <t>不要另找别的三甲碰运气。齐鲁是山大直属附属医院，床位本就紧；全国三甲都考床位周转，病情未到「必须三甲抢救」时，别人也难收长期占床。</t>
        </is>
      </c>
      <c r="C11" s="3" t="inlineStr">
        <is>
          <t>不另找山大体系外三甲碰运气</t>
        </is>
      </c>
    </row>
    <row r="12" ht="48" customHeight="1">
      <c r="A12" s="4" t="inlineStr">
        <is>
          <t>今天目标</t>
        </is>
      </c>
      <c r="B12" s="4" t="inlineStr">
        <is>
          <t>今天先把出院/入院手续打通，避免治疗空窗。住哪一级以美团保险公司书面或通话确认为准，不以朋友一句「公立二甲都报」为准。</t>
        </is>
      </c>
      <c r="C12" s="4" t="inlineStr">
        <is>
          <t>手续打通 + 美团险确认二甲</t>
        </is>
      </c>
    </row>
    <row r="13" ht="48" customHeight="1">
      <c r="A13" s="3" t="inlineStr">
        <is>
          <t>医院怎么选</t>
        </is>
      </c>
      <c r="B13" s="3" t="inlineStr">
        <is>
          <t>不建议去转其他三甲。也不建议在入院未办成、美团险未确认前，把留在市北区人民医院当成既定方案。首选能回齐鲁就回齐鲁。</t>
        </is>
      </c>
      <c r="C13" s="3" t="inlineStr">
        <is>
          <t>不另找三甲；不默认留二甲</t>
        </is>
      </c>
    </row>
    <row r="14" ht="48" customHeight="1">
      <c r="A14" s="4" t="inlineStr">
        <is>
          <t>首选齐鲁</t>
        </is>
      </c>
      <c r="B14" s="4" t="inlineStr">
        <is>
          <t>手术在齐鲁手足与显微重建外科做的，内外固定还在，术后只有两天，软组织仍肿。齐鲁是三甲，交警默认三甲，病历连续，出现伤口或外固定问题能找原手术组。这是医疗和理赔都最稳的选择。</t>
        </is>
      </c>
      <c r="C14" s="4" t="inlineStr">
        <is>
          <t>赛主任态度强硬，床位周转考核，明确不愿让交通事故患者长期占床。昨天谈了两次才转出，父亲已经同意搬走。没有关系硬闯，成功率不高。所以是合法问一次能不能收回，不是闹回去。</t>
        </is>
      </c>
    </row>
    <row r="15" ht="48" customHeight="1">
      <c r="A15" s="3" t="inlineStr">
        <is>
          <t>不另找三甲</t>
        </is>
      </c>
      <c r="B15" s="3" t="inlineStr">
        <is>
          <t>其他三甲同样考床位周转，不收刚做完手术、还要住一个月的占床。新医院不掌握术中情况，外固定再搬一次有风险，又要重新结算入院。只有齐鲁拒收且美团险不认人民医院时，才由保险协调下一家三甲。</t>
        </is>
      </c>
      <c r="C15" s="3" t="inlineStr">
        <is>
          <t>只有保险书面指定才动</t>
        </is>
      </c>
    </row>
    <row r="16" ht="48" customHeight="1">
      <c r="A16" s="4" t="inlineStr">
        <is>
          <t>不默认留二甲</t>
        </is>
      </c>
      <c r="B16" s="4" t="inlineStr">
        <is>
          <t>市北区人民医院是公立二甲、联合体，环境清静，赛主任称可每周查房。但现在入院手续都没办成；美团险还没确认认不认；术后两天不是康复期。医保能报不能代替美团险确认。</t>
        </is>
      </c>
      <c r="C16" s="4" t="inlineStr">
        <is>
          <t>先问美团险，先办入院号</t>
        </is>
      </c>
    </row>
    <row r="17" ht="48" customHeight="1">
      <c r="A17" s="3" t="inlineStr">
        <is>
          <t>今天先做</t>
        </is>
      </c>
      <c r="B17" s="3" t="inlineStr">
        <is>
          <t>办齐鲁出院结算，结束没有住院号的空窗。同时问赛主任：术后两天、外固定在、交警要求三甲、二甲还办不了入院，能否收回本院。同时问美团险：市北区人民医院（抚顺路院区）后续费用认不认。</t>
        </is>
      </c>
      <c r="C17" s="3" t="inlineStr"/>
    </row>
    <row r="18" ht="48" customHeight="1">
      <c r="A18" s="4" t="inlineStr">
        <is>
          <t>齐鲁能收回</t>
        </is>
      </c>
      <c r="B18" s="4" t="inlineStr">
        <is>
          <t>回齐鲁。这是首选。不要再转第三次。</t>
        </is>
      </c>
      <c r="C18" s="4" t="inlineStr"/>
    </row>
    <row r="19" ht="48" customHeight="1">
      <c r="A19" s="3" t="inlineStr">
        <is>
          <t>齐鲁明确收不回，美团险确认人民医院可赔</t>
        </is>
      </c>
      <c r="B19" s="3" t="inlineStr">
        <is>
          <t>暂留市北区人民医院。留痕：保险认这家医院；赛主任每周查房谁来、哪天来。发热、伤口渗液、外固定松动、剧痛、脚趾发绀，立刻回三甲急诊。</t>
        </is>
      </c>
      <c r="C19" s="3" t="inlineStr"/>
    </row>
    <row r="20" ht="48" customHeight="1">
      <c r="A20" s="4" t="inlineStr">
        <is>
          <t>美团险不认人民医院</t>
        </is>
      </c>
      <c r="B20" s="4" t="inlineStr">
        <is>
          <t>不要继续住。请保险医务部门对接齐鲁或指定三甲。家属不自己满城找床。</t>
        </is>
      </c>
      <c r="C20" s="4" t="inlineStr"/>
    </row>
    <row r="21" ht="48" customHeight="1">
      <c r="A21" s="3" t="inlineStr">
        <is>
          <t>齐鲁拒收且保险也不认二甲、保险又协调不出三甲</t>
        </is>
      </c>
      <c r="B21" s="3" t="inlineStr">
        <is>
          <t>这才考虑其他三甲，而且要保险书面指定，不要自己去碰。</t>
        </is>
      </c>
      <c r="C21" s="3" t="inlineStr"/>
    </row>
    <row r="22" ht="48" customHeight="1">
      <c r="A22" s="4" t="inlineStr">
        <is>
          <t>对赛主任原话</t>
        </is>
      </c>
      <c r="B22" s="4" t="inlineStr">
        <is>
          <t>赛主任，患者8月15日刚做完右踝内外固定，今天二甲入院手续还办不成。交警口径是交通事故尽量三甲。术后只有两天，不是康复期。请协助：要么尽快办完出院让二甲能入院，要么收回齐鲁本院连续治疗。我们按医院规则走，不闹、不装病。</t>
        </is>
      </c>
      <c r="C22" s="4" t="inlineStr">
        <is>
          <t>不闹、不装病</t>
        </is>
      </c>
    </row>
  </sheetData>
  <autoFilter ref="A1:C22"/>
  <mergeCells count="1">
    <mergeCell ref="A1:C1"/>
  </mergeCells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  <col width="36" customWidth="1" min="8" max="8"/>
  </cols>
  <sheetData>
    <row r="1" ht="24" customHeight="1">
      <c r="A1" s="1" t="inlineStr">
        <is>
          <t>用发票重做台账。8月15日「约7万」和8月16日「不到3.5万」冲突，对外前必须核死。</t>
        </is>
      </c>
    </row>
    <row r="2" ht="22" customHeight="1">
      <c r="A2" s="2" t="inlineStr">
        <is>
          <t>日期</t>
        </is>
      </c>
      <c r="B2" s="2" t="inlineStr">
        <is>
          <t>项目</t>
        </is>
      </c>
      <c r="C2" s="2" t="inlineStr">
        <is>
          <t>金额（元）</t>
        </is>
      </c>
      <c r="D2" s="2" t="inlineStr">
        <is>
          <t>已付/未付</t>
        </is>
      </c>
      <c r="E2" s="2" t="inlineStr">
        <is>
          <t>付款人</t>
        </is>
      </c>
      <c r="F2" s="2" t="inlineStr">
        <is>
          <t>有无发票</t>
        </is>
      </c>
      <c r="G2" s="2" t="inlineStr">
        <is>
          <t>票据号</t>
        </is>
      </c>
      <c r="H2" s="2" t="inlineStr">
        <is>
          <t>备注</t>
        </is>
      </c>
    </row>
    <row r="3">
      <c r="A3" s="3" t="inlineStr">
        <is>
          <t>2026-08-14</t>
        </is>
      </c>
      <c r="B3" s="3" t="inlineStr">
        <is>
          <t>急诊右小腿CT（10008056847）</t>
        </is>
      </c>
      <c r="C3" s="7" t="inlineStr"/>
      <c r="D3" s="3" t="inlineStr">
        <is>
          <t>已付待核</t>
        </is>
      </c>
      <c r="E3" s="3" t="inlineStr">
        <is>
          <t>家属</t>
        </is>
      </c>
      <c r="F3" s="3" t="inlineStr">
        <is>
          <t>待贴</t>
        </is>
      </c>
      <c r="G3" s="3" t="inlineStr"/>
      <c r="H3" s="3" t="inlineStr">
        <is>
          <t>齐鲁医院</t>
        </is>
      </c>
    </row>
    <row r="4">
      <c r="A4" s="4" t="inlineStr">
        <is>
          <t>2026-08-14</t>
        </is>
      </c>
      <c r="B4" s="4" t="inlineStr">
        <is>
          <t>急诊右足CT（10008056848）</t>
        </is>
      </c>
      <c r="C4" s="8" t="inlineStr"/>
      <c r="D4" s="4" t="inlineStr">
        <is>
          <t>已付待核</t>
        </is>
      </c>
      <c r="E4" s="4" t="inlineStr">
        <is>
          <t>家属</t>
        </is>
      </c>
      <c r="F4" s="4" t="inlineStr">
        <is>
          <t>待贴</t>
        </is>
      </c>
      <c r="G4" s="4" t="inlineStr"/>
      <c r="H4" s="4" t="inlineStr">
        <is>
          <t>齐鲁医院</t>
        </is>
      </c>
    </row>
    <row r="5">
      <c r="A5" s="3" t="inlineStr">
        <is>
          <t>2026-08-15</t>
        </is>
      </c>
      <c r="B5" s="3" t="inlineStr">
        <is>
          <t>住院右踝CT术后复查（10008059257）</t>
        </is>
      </c>
      <c r="C5" s="7" t="inlineStr"/>
      <c r="D5" s="3" t="inlineStr">
        <is>
          <t>已付待核</t>
        </is>
      </c>
      <c r="E5" s="3" t="inlineStr">
        <is>
          <t>家属</t>
        </is>
      </c>
      <c r="F5" s="3" t="inlineStr">
        <is>
          <t>待贴</t>
        </is>
      </c>
      <c r="G5" s="3" t="inlineStr"/>
      <c r="H5" s="3" t="inlineStr">
        <is>
          <t>手足与显微重建外科</t>
        </is>
      </c>
    </row>
    <row r="6">
      <c r="A6" s="4" t="inlineStr">
        <is>
          <t>2026-08-15</t>
        </is>
      </c>
      <c r="B6" s="4" t="inlineStr">
        <is>
          <t>右踝骨折内外固定手术</t>
        </is>
      </c>
      <c r="C6" s="8" t="inlineStr"/>
      <c r="D6" s="4" t="inlineStr">
        <is>
          <t>已付待核</t>
        </is>
      </c>
      <c r="E6" s="4" t="inlineStr">
        <is>
          <t>家属</t>
        </is>
      </c>
      <c r="F6" s="4" t="inlineStr">
        <is>
          <t>待贴</t>
        </is>
      </c>
      <c r="G6" s="4" t="inlineStr"/>
      <c r="H6" s="4" t="inlineStr">
        <is>
          <t>以手术记录为准</t>
        </is>
      </c>
    </row>
    <row r="7">
      <c r="A7" s="3" t="inlineStr"/>
      <c r="B7" s="3" t="inlineStr">
        <is>
          <t>住院押金/预缴</t>
        </is>
      </c>
      <c r="C7" s="7" t="inlineStr"/>
      <c r="D7" s="3" t="inlineStr">
        <is>
          <t>已付待核</t>
        </is>
      </c>
      <c r="E7" s="3" t="inlineStr">
        <is>
          <t>家属</t>
        </is>
      </c>
      <c r="F7" s="3" t="inlineStr">
        <is>
          <t>待贴</t>
        </is>
      </c>
      <c r="G7" s="3" t="inlineStr"/>
      <c r="H7" s="3" t="inlineStr">
        <is>
          <t>8/16口径累计不到35000，须对账单</t>
        </is>
      </c>
    </row>
    <row r="8">
      <c r="A8" s="4" t="inlineStr"/>
      <c r="B8" s="4" t="inlineStr">
        <is>
          <t>药品（院内）</t>
        </is>
      </c>
      <c r="C8" s="8" t="inlineStr"/>
      <c r="D8" s="4" t="inlineStr">
        <is>
          <t>已付待核</t>
        </is>
      </c>
      <c r="E8" s="4" t="inlineStr">
        <is>
          <t>家属</t>
        </is>
      </c>
      <c r="F8" s="4" t="inlineStr">
        <is>
          <t>待贴</t>
        </is>
      </c>
      <c r="G8" s="4" t="inlineStr"/>
      <c r="H8" s="4" t="inlineStr"/>
    </row>
    <row r="9">
      <c r="A9" s="3" t="inlineStr"/>
      <c r="B9" s="3" t="inlineStr">
        <is>
          <t>护工费</t>
        </is>
      </c>
      <c r="C9" s="7" t="inlineStr"/>
      <c r="D9" s="3" t="inlineStr">
        <is>
          <t>已付待核</t>
        </is>
      </c>
      <c r="E9" s="3" t="inlineStr">
        <is>
          <t>家属</t>
        </is>
      </c>
      <c r="F9" s="3" t="inlineStr">
        <is>
          <t>待贴</t>
        </is>
      </c>
      <c r="G9" s="3" t="inlineStr"/>
      <c r="H9" s="3" t="inlineStr">
        <is>
          <t>24小时一对一，合同+发票；按责比例报，不是全额。家属自己陪护无票</t>
        </is>
      </c>
    </row>
    <row r="10">
      <c r="A10" s="4" t="inlineStr"/>
      <c r="B10" s="4" t="inlineStr">
        <is>
          <t>护理耗材（垫、便盆等）</t>
        </is>
      </c>
      <c r="C10" s="8" t="inlineStr"/>
      <c r="D10" s="4" t="inlineStr">
        <is>
          <t>已付待核</t>
        </is>
      </c>
      <c r="E10" s="4" t="inlineStr">
        <is>
          <t>家属</t>
        </is>
      </c>
      <c r="F10" s="4" t="inlineStr">
        <is>
          <t>待贴</t>
        </is>
      </c>
      <c r="G10" s="4" t="inlineStr"/>
      <c r="H10" s="4" t="inlineStr"/>
    </row>
    <row r="11">
      <c r="A11" s="3" t="inlineStr">
        <is>
          <t>2026-08-17</t>
        </is>
      </c>
      <c r="B11" s="3" t="inlineStr">
        <is>
          <t>转院救护车</t>
        </is>
      </c>
      <c r="C11" s="7" t="n">
        <v>160</v>
      </c>
      <c r="D11" s="3" t="inlineStr">
        <is>
          <t>已付待核</t>
        </is>
      </c>
      <c r="E11" s="3" t="inlineStr">
        <is>
          <t>家属</t>
        </is>
      </c>
      <c r="F11" s="3" t="inlineStr">
        <is>
          <t>待贴</t>
        </is>
      </c>
      <c r="G11" s="3" t="inlineStr"/>
      <c r="H11" s="3" t="inlineStr">
        <is>
          <t>预估150，实收160，必须发票</t>
        </is>
      </c>
    </row>
    <row r="12">
      <c r="A12" s="4" t="inlineStr"/>
      <c r="B12" s="4" t="inlineStr">
        <is>
          <t>雇主垫付（通话口径）</t>
        </is>
      </c>
      <c r="C12" s="8" t="n">
        <v>20000</v>
      </c>
      <c r="D12" s="4" t="inlineStr">
        <is>
          <t>待核是否属实</t>
        </is>
      </c>
      <c r="E12" s="4" t="inlineStr">
        <is>
          <t>货主?</t>
        </is>
      </c>
      <c r="F12" s="4" t="inlineStr">
        <is>
          <t>待核</t>
        </is>
      </c>
      <c r="G12" s="4" t="inlineStr"/>
      <c r="H12" s="4" t="inlineStr">
        <is>
          <t>8/15口述，未与3.5万口径对上</t>
        </is>
      </c>
    </row>
    <row r="13">
      <c r="A13" s="3" t="inlineStr"/>
      <c r="B13" s="3" t="inlineStr">
        <is>
          <t>未结工钱（通话口径）</t>
        </is>
      </c>
      <c r="C13" s="7" t="n">
        <v>5000</v>
      </c>
      <c r="D13" s="3" t="inlineStr">
        <is>
          <t>未付</t>
        </is>
      </c>
      <c r="E13" s="3" t="inlineStr">
        <is>
          <t>货主</t>
        </is>
      </c>
      <c r="F13" s="3" t="inlineStr">
        <is>
          <t>无</t>
        </is>
      </c>
      <c r="G13" s="3" t="inlineStr"/>
      <c r="H13" s="3" t="inlineStr">
        <is>
          <t>不要直接冲抵事故赔偿</t>
        </is>
      </c>
    </row>
    <row r="14">
      <c r="A14" s="4" t="inlineStr"/>
      <c r="B14" s="4" t="inlineStr">
        <is>
          <t>责任方已付</t>
        </is>
      </c>
      <c r="C14" s="8" t="n">
        <v>0</v>
      </c>
      <c r="D14" s="4" t="inlineStr">
        <is>
          <t>未付</t>
        </is>
      </c>
      <c r="E14" s="4" t="inlineStr">
        <is>
          <t>骑手/美团</t>
        </is>
      </c>
      <c r="F14" s="4" t="inlineStr">
        <is>
          <t>无</t>
        </is>
      </c>
      <c r="G14" s="4" t="inlineStr"/>
      <c r="H14" s="4" t="inlineStr">
        <is>
          <t>截至8/16通话称一分未付</t>
        </is>
      </c>
    </row>
    <row r="16">
      <c r="A16" s="5" t="inlineStr">
        <is>
          <t>合计（仅填写了数字的行）</t>
        </is>
      </c>
      <c r="C16" s="9">
        <f>SUM(C3:C14)</f>
        <v/>
      </c>
    </row>
  </sheetData>
  <autoFilter ref="A2:H30"/>
  <mergeCells count="1">
    <mergeCell ref="A1:H1"/>
  </mergeCells>
  <dataValidations count="2">
    <dataValidation sqref="D3:D30" showDropDown="0" showInputMessage="0" showErrorMessage="0" allowBlank="1" type="list">
      <formula1>"已付,未付,已付待核,未发生或待核"</formula1>
    </dataValidation>
    <dataValidation sqref="F3:F30" showDropDown="0" showInputMessage="0" showErrorMessage="0" allowBlank="1" type="list">
      <formula1>"有,无,待贴,待核"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36" customWidth="1" min="4" max="4"/>
    <col width="14" customWidth="1" min="5" max="5"/>
  </cols>
  <sheetData>
    <row r="1" ht="24" customHeight="1">
      <c r="A1" s="1" t="inlineStr">
        <is>
          <t>今天先打通出院入院，并向保险公司确认二甲。不谈残级。</t>
        </is>
      </c>
    </row>
    <row r="2" ht="22" customHeight="1">
      <c r="A2" s="2" t="inlineStr">
        <is>
          <t>序号</t>
        </is>
      </c>
      <c r="B2" s="2" t="inlineStr">
        <is>
          <t>谁</t>
        </is>
      </c>
      <c r="C2" s="2" t="inlineStr">
        <is>
          <t>做什么</t>
        </is>
      </c>
      <c r="D2" s="2" t="inlineStr">
        <is>
          <t>为什么</t>
        </is>
      </c>
      <c r="E2" s="2" t="inlineStr">
        <is>
          <t>状态</t>
        </is>
      </c>
    </row>
    <row r="3" ht="36" customHeight="1">
      <c r="A3" s="3" t="n">
        <v>1</v>
      </c>
      <c r="B3" s="3" t="inlineStr">
        <is>
          <t>家属</t>
        </is>
      </c>
      <c r="C3" s="3" t="inlineStr">
        <is>
          <t>取齐鲁 33 床补打出院记录交人民医院办住院号；同时去一楼收费窗口办结余原路退；问王主任：保险不认二甲能否收回齐鲁</t>
        </is>
      </c>
      <c r="D3" s="3" t="inlineStr">
        <is>
          <t>空窗最危险；补打件不用单独盖章；能回齐鲁就回</t>
        </is>
      </c>
      <c r="E3" s="3" t="inlineStr">
        <is>
          <t>未完成</t>
        </is>
      </c>
    </row>
    <row r="4" ht="36" customHeight="1">
      <c r="A4" s="4" t="n">
        <v>2</v>
      </c>
      <c r="B4" s="4" t="inlineStr">
        <is>
          <t>家属+骑手</t>
        </is>
      </c>
      <c r="C4" s="4" t="inlineStr">
        <is>
          <t>加 1866 开头微信，催保险客服书面答复：市北区人民医院（抚顺路院区）认不认、赔付比例、要不要认定书才能垫</t>
        </is>
      </c>
      <c r="D4" s="4" t="inlineStr">
        <is>
          <t>骑手 8/17 下午只说打了客服还没回信，不能当成已经确认</t>
        </is>
      </c>
      <c r="E4" s="4" t="inlineStr">
        <is>
          <t>未完成</t>
        </is>
      </c>
    </row>
    <row r="5" ht="36" customHeight="1">
      <c r="A5" s="3" t="n">
        <v>3</v>
      </c>
      <c r="B5" s="3" t="inlineStr">
        <is>
          <t>家属</t>
        </is>
      </c>
      <c r="C5" s="3" t="inlineStr">
        <is>
          <t>下载并保存三份 CT 报告、齐鲁手术记录、费用明细和发票</t>
        </is>
      </c>
      <c r="D5" s="3" t="inlineStr">
        <is>
          <t>这是目前最硬的伤情和花费证据</t>
        </is>
      </c>
      <c r="E5" s="3" t="inlineStr">
        <is>
          <t>未完成</t>
        </is>
      </c>
    </row>
    <row r="6" ht="36" customHeight="1">
      <c r="A6" s="4" t="n">
        <v>4</v>
      </c>
      <c r="B6" s="4" t="inlineStr">
        <is>
          <t>家属+赛主任+交警</t>
        </is>
      </c>
      <c r="C6" s="4" t="inlineStr">
        <is>
          <t>医院资质公对公留痕：交警电话可给赛主任，口径必须是交警原话</t>
        </is>
      </c>
      <c r="D6" s="4" t="inlineStr">
        <is>
          <t>不代扮交警，不换号</t>
        </is>
      </c>
      <c r="E6" s="4" t="inlineStr">
        <is>
          <t>未完成</t>
        </is>
      </c>
    </row>
    <row r="7" ht="36" customHeight="1">
      <c r="A7" s="3" t="n">
        <v>5</v>
      </c>
      <c r="B7" s="3" t="inlineStr">
        <is>
          <t>交警</t>
        </is>
      </c>
      <c r="C7" s="3" t="inlineStr">
        <is>
          <t>本周约骑手面谈；要平台保险名称、保单/工号、理赔窗口和是否须认定书</t>
        </is>
      </c>
      <c r="D7" s="3" t="inlineStr">
        <is>
          <t>钱主要来自平台险，不是骑手现金</t>
        </is>
      </c>
      <c r="E7" s="3" t="inlineStr">
        <is>
          <t>未完成</t>
        </is>
      </c>
    </row>
    <row r="8" ht="36" customHeight="1">
      <c r="A8" s="4" t="n">
        <v>6</v>
      </c>
      <c r="B8" s="4" t="inlineStr">
        <is>
          <t>家属</t>
        </is>
      </c>
      <c r="C8" s="4" t="inlineStr">
        <is>
          <t>面谈只谈已发生费用和后续流程，不谈残级、不签总包死价</t>
        </is>
      </c>
      <c r="D8" s="4" t="inlineStr">
        <is>
          <t>残还评不了，现在锁死会吃亏</t>
        </is>
      </c>
      <c r="E8" s="4" t="inlineStr">
        <is>
          <t>未完成</t>
        </is>
      </c>
    </row>
    <row r="9" ht="36" customHeight="1">
      <c r="A9" s="3" t="n">
        <v>7</v>
      </c>
      <c r="B9" s="3" t="inlineStr">
        <is>
          <t>家属</t>
        </is>
      </c>
      <c r="C9" s="3" t="inlineStr">
        <is>
          <t>护士站请本院合作一对一 24 小时护工（合同+发票）；胡继刚办完住院号、拉群、约交警后回上海上班</t>
        </is>
      </c>
      <c r="D9" s="3" t="inlineStr">
        <is>
          <t>现在不能自理，12 小时夜里没人；家属自己陪护的工资报不了，护工发票才能按责报护理费</t>
        </is>
      </c>
      <c r="E9" s="3" t="inlineStr">
        <is>
          <t>未完成</t>
        </is>
      </c>
    </row>
    <row r="10" ht="36" customHeight="1">
      <c r="A10" s="4" t="n">
        <v>8</v>
      </c>
      <c r="B10" s="4" t="inlineStr">
        <is>
          <t>家属+岳父</t>
        </is>
      </c>
      <c r="C10" s="4" t="inlineStr">
        <is>
          <t>内部固定刘孝春角色：车是他的、活是他的、无劳动合同；先收微信转账、现场证人，不发律师函，不签与刘了结</t>
        </is>
      </c>
      <c r="D10" s="4" t="inlineStr">
        <is>
          <t>他可能分担己方份额和车主过错，但不能替美团骑手补差额，两笔账不能混</t>
        </is>
      </c>
      <c r="E10" s="4" t="inlineStr">
        <is>
          <t>未完成</t>
        </is>
      </c>
    </row>
  </sheetData>
  <autoFilter ref="A1:E10"/>
  <mergeCells count="1">
    <mergeCell ref="A1:E1"/>
  </mergeCells>
  <dataValidations count="1">
    <dataValidation sqref="E3:E20" showDropDown="0" showInputMessage="0" showErrorMessage="0" allowBlank="0" type="list">
      <formula1>"未完成,进行中,已完成,律师跟进"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4" customHeight="1">
      <c r="A1" s="1" t="inlineStr">
        <is>
          <t>面谈只说这些。全责、残级、跟骨粉碎骨折，全部停用。</t>
        </is>
      </c>
    </row>
    <row r="2" ht="22" customHeight="1">
      <c r="A2" s="2" t="inlineStr">
        <is>
          <t>场合</t>
        </is>
      </c>
      <c r="B2" s="2" t="inlineStr">
        <is>
          <t>原话/要点</t>
        </is>
      </c>
    </row>
    <row r="3">
      <c r="A3" s="3" t="inlineStr">
        <is>
          <t>对交警</t>
        </is>
      </c>
      <c r="B3" s="3" t="inlineStr">
        <is>
          <t>我们接受「看视频、任何一方都不是全责」这一事实前提。</t>
        </is>
      </c>
    </row>
    <row r="4">
      <c r="A4" s="4" t="inlineStr">
        <is>
          <t>对交警</t>
        </is>
      </c>
      <c r="B4" s="4" t="inlineStr">
        <is>
          <t>掉头先右再左，是因为哈尔滨路水果市场 1 号门斜坡护栏开口借道，不是随意变道。双方口述都往上走。请结合监控和现场勘查写进认定书。我们仍不争全责。</t>
        </is>
      </c>
    </row>
    <row r="5">
      <c r="A5" s="3" t="inlineStr">
        <is>
          <t>对交警</t>
        </is>
      </c>
      <c r="B5" s="3" t="inlineStr">
        <is>
          <t>请协助本周见到骑手，并请对方当场确认美团/保险公司联系人。</t>
        </is>
      </c>
    </row>
    <row r="6">
      <c r="A6" s="4" t="inlineStr">
        <is>
          <t>对交警</t>
        </is>
      </c>
      <c r="B6" s="4" t="inlineStr">
        <is>
          <t>就医医院请书面或通话留痕：默认三甲；若暂留二甲，是否影响保险审核。</t>
        </is>
      </c>
    </row>
    <row r="7">
      <c r="A7" s="3" t="inlineStr">
        <is>
          <t>对交警</t>
        </is>
      </c>
      <c r="B7" s="3" t="inlineStr">
        <is>
          <t>简易程序可以谈，但要先问清保险能否在该责任比例下正常赔。</t>
        </is>
      </c>
    </row>
    <row r="8">
      <c r="A8" s="4" t="inlineStr">
        <is>
          <t>对骑手/平台</t>
        </is>
      </c>
      <c r="B8" s="4" t="inlineStr">
        <is>
          <t>先看病、先垫付已发生医疗费，态度摆正，拉群不打游击电话。</t>
        </is>
      </c>
    </row>
    <row r="9">
      <c r="A9" s="3" t="inlineStr">
        <is>
          <t>对骑手/平台</t>
        </is>
      </c>
      <c r="B9" s="3" t="inlineStr">
        <is>
          <t>请平台和保险进群。8 月 17 日你说已打客服、加 1866 微信，现在要书面结果：人民医院认不认、赔付比例。</t>
        </is>
      </c>
    </row>
    <row r="10">
      <c r="A10" s="4" t="inlineStr">
        <is>
          <t>对骑手/平台</t>
        </is>
      </c>
      <c r="B10" s="4" t="inlineStr">
        <is>
          <t>不接受「等认定书之前什么都不做」。认定书管责任，不管伤者今天能不能住院。</t>
        </is>
      </c>
    </row>
    <row r="11">
      <c r="A11" s="3" t="inlineStr">
        <is>
          <t>对骑手/平台</t>
        </is>
      </c>
      <c r="B11" s="3" t="inlineStr">
        <is>
          <t>不谈残级，不签一次性了结，除非律师看过保险条款。</t>
        </is>
      </c>
    </row>
    <row r="12">
      <c r="A12" s="4" t="inlineStr">
        <is>
          <t>对医院</t>
        </is>
      </c>
      <c r="B12" s="4" t="inlineStr">
        <is>
          <t>请先协助：补打的 33 床出院记录交给人民医院办住院号；结余去一楼收费窗口原路退。若美团险不认二甲，请王主任协助退回齐鲁连续治疗。</t>
        </is>
      </c>
    </row>
    <row r="13">
      <c r="A13" s="3" t="inlineStr">
        <is>
          <t>对医院</t>
        </is>
      </c>
      <c r="B13" s="3" t="inlineStr">
        <is>
          <t>需要转院请书面告知原因、是否联合体、结算规则，并协助专业转运、开具发票。</t>
        </is>
      </c>
    </row>
    <row r="14">
      <c r="A14" s="4" t="inlineStr">
        <is>
          <t>对医院</t>
        </is>
      </c>
      <c r="B14" s="4" t="inlineStr">
        <is>
          <t>请出具诊断证明、手术名称、预计住院和康复周期。</t>
        </is>
      </c>
    </row>
    <row r="15">
      <c r="A15" s="3" t="inlineStr">
        <is>
          <t>对保险公司</t>
        </is>
      </c>
      <c r="B15" s="3" t="inlineStr">
        <is>
          <t>请确认：山东大学齐鲁医院（青岛）已发生费用、市北区人民医院（抚顺路院区）后续费用，是否都属于可赔医院。请用医院全称核对。</t>
        </is>
      </c>
    </row>
    <row r="16">
      <c r="A16" s="4" t="inlineStr">
        <is>
          <t>对保险公司</t>
        </is>
      </c>
      <c r="B16" s="4" t="inlineStr">
        <is>
          <t>如果二甲不认，请贵司医务部门对接医院，协调转回三甲连续治疗。</t>
        </is>
      </c>
    </row>
    <row r="17">
      <c r="A17" s="3" t="inlineStr">
        <is>
          <t>对保险公司</t>
        </is>
      </c>
      <c r="B17" s="3" t="inlineStr">
        <is>
          <t>请告知理赔需要的材料清单、是否必须先有责任认定书才能垫付医疗费。</t>
        </is>
      </c>
    </row>
    <row r="18">
      <c r="A18" s="4" t="inlineStr">
        <is>
          <t>对保险公司</t>
        </is>
      </c>
      <c r="B18" s="4" t="inlineStr">
        <is>
          <t>护理费：伤者目前不能下地、不能独自如厕，已请医院合作一对一 24 小时护工。请确认按发票、按责任比例核赔；家属误工不在伤者误工项里。</t>
        </is>
      </c>
    </row>
    <row r="19">
      <c r="A19" s="3" t="inlineStr">
        <is>
          <t>绝对不要说</t>
        </is>
      </c>
      <c r="B19" s="3" t="inlineStr">
        <is>
          <t>不要再说「对方全责」——交警视频已经排除。</t>
        </is>
      </c>
    </row>
    <row r="20">
      <c r="A20" s="4" t="inlineStr">
        <is>
          <t>绝对不要说</t>
        </is>
      </c>
      <c r="B20" s="4" t="inlineStr">
        <is>
          <t>不要对外说「已经几级伤残」。</t>
        </is>
      </c>
    </row>
    <row r="21">
      <c r="A21" s="3" t="inlineStr">
        <is>
          <t>绝对不要说</t>
        </is>
      </c>
      <c r="B21" s="3" t="inlineStr">
        <is>
          <t>不要把右足骨刺、退变说成这次撞出来的跟骨粉碎骨折。</t>
        </is>
      </c>
    </row>
    <row r="22">
      <c r="A22" s="4" t="inlineStr">
        <is>
          <t>绝对不要说</t>
        </is>
      </c>
      <c r="B22" s="4" t="inlineStr">
        <is>
          <t>不要为了走一般程序去赌全责，那会把无牌/无证风险砸在己方。</t>
        </is>
      </c>
    </row>
    <row r="23">
      <c r="A23" s="3" t="inlineStr">
        <is>
          <t>绝对不要说</t>
        </is>
      </c>
      <c r="B23" s="3" t="inlineStr">
        <is>
          <t>不要无发票的现金开支事后补口。</t>
        </is>
      </c>
    </row>
    <row r="24">
      <c r="A24" s="4" t="inlineStr">
        <is>
          <t>绝对不要说</t>
        </is>
      </c>
      <c r="B24" s="4" t="inlineStr">
        <is>
          <t>不要对保险公司说「朋友说公立二甲一定能报」。</t>
        </is>
      </c>
    </row>
    <row r="25">
      <c r="A25" s="3" t="inlineStr">
        <is>
          <t>绝对不要说</t>
        </is>
      </c>
      <c r="B25" s="3" t="inlineStr">
        <is>
          <t>不要把医保结算说成美团险已经确认。</t>
        </is>
      </c>
    </row>
    <row r="26">
      <c r="A26" s="4" t="inlineStr">
        <is>
          <t>绝对不要说</t>
        </is>
      </c>
      <c r="B26" s="4" t="inlineStr">
        <is>
          <t>不要说伤者已经进入康复期。</t>
        </is>
      </c>
    </row>
    <row r="27">
      <c r="A27" s="3" t="inlineStr">
        <is>
          <t>绝对不要说</t>
        </is>
      </c>
      <c r="B27" s="3" t="inlineStr">
        <is>
          <t>不要装病、不要出院再入院绕考核、不要代扮交警。</t>
        </is>
      </c>
    </row>
    <row r="28">
      <c r="A28" s="4" t="inlineStr">
        <is>
          <t>绝对不要说</t>
        </is>
      </c>
      <c r="B28" s="4" t="inlineStr">
        <is>
          <t>不要对美团说「我们老板刘孝春会把小姑娘赔不起的都补上」——等于放她走。</t>
        </is>
      </c>
    </row>
    <row r="29">
      <c r="A29" s="3" t="inlineStr">
        <is>
          <t>绝对不要说</t>
        </is>
      </c>
      <c r="B29" s="3" t="inlineStr">
        <is>
          <t>不要把刘孝春写成工伤单位去人社局；退休未签合同，工伤这条很窄。</t>
        </is>
      </c>
    </row>
    <row r="30">
      <c r="A30" s="4" t="inlineStr">
        <is>
          <t>绝对不要说</t>
        </is>
      </c>
      <c r="B30" s="4" t="inlineStr">
        <is>
          <t>不要对外说叉车。涉事是货运三轮。</t>
        </is>
      </c>
    </row>
    <row r="31">
      <c r="A31" s="3" t="inlineStr">
        <is>
          <t>绝对不要说</t>
        </is>
      </c>
      <c r="B31" s="3" t="inlineStr">
        <is>
          <t>不要把律师举例里的九级、25–30 万当成本案结论。</t>
        </is>
      </c>
    </row>
    <row r="32">
      <c r="A32" s="4" t="inlineStr">
        <is>
          <t>绝对不要说</t>
        </is>
      </c>
      <c r="B32" s="4" t="inlineStr">
        <is>
          <t>不要把「骑手 70%、用工方 30%、驾驶人 0 责」说成交警认定——那是内部讨论。</t>
        </is>
      </c>
    </row>
    <row r="33">
      <c r="A33" s="3" t="inlineStr">
        <is>
          <t>绝对不要说</t>
        </is>
      </c>
      <c r="B33" s="3" t="inlineStr">
        <is>
          <t>不要把记录 16 远洋工伤九级、25–30 万当成本案。</t>
        </is>
      </c>
    </row>
    <row r="34">
      <c r="A34" s="4" t="inlineStr">
        <is>
          <t>绝对不要说</t>
        </is>
      </c>
      <c r="B34" s="4" t="inlineStr">
        <is>
          <t>不要把记录 13 里蒋玉年、26 床、8000 元写进本案费用。</t>
        </is>
      </c>
    </row>
    <row r="35">
      <c r="A35" s="3" t="inlineStr">
        <is>
          <t>绝对不要说</t>
        </is>
      </c>
      <c r="B35" s="3" t="inlineStr">
        <is>
          <t>不要写成给孙总干活。</t>
        </is>
      </c>
    </row>
  </sheetData>
  <autoFilter ref="A1:B35"/>
  <mergeCells count="1">
    <mergeCell ref="A1:B1"/>
  </mergeCells>
  <pageMargins left="0.4" right="0.4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40" customWidth="1" min="3" max="3"/>
  </cols>
  <sheetData>
    <row r="1" ht="24" customHeight="1">
      <c r="A1" s="1" t="inlineStr">
        <is>
          <t>交警视频已排除全责。程序选择不要赌全责。</t>
        </is>
      </c>
    </row>
    <row r="2" ht="22" customHeight="1">
      <c r="A2" s="2" t="inlineStr">
        <is>
          <t>事项</t>
        </is>
      </c>
      <c r="B2" s="2" t="inlineStr">
        <is>
          <t>交警口径</t>
        </is>
      </c>
      <c r="C2" s="2" t="inlineStr">
        <is>
          <t>家属对策</t>
        </is>
      </c>
    </row>
    <row r="3" ht="48" customHeight="1">
      <c r="A3" s="3" t="inlineStr">
        <is>
          <t>地点</t>
        </is>
      </c>
      <c r="B3" s="3" t="inlineStr">
        <is>
          <t>干活在青岛市市北区批发市场一带。8 月 18 日口述更细：哈尔滨路水果市场门口、1 号门出口斜坡、护栏开口处，还没到红绿灯大路口。录音里还有红枫路汽车市场、福生批发市场、服装批发市场斜坡红绿灯等叫法，可能指同一片，地址以交警文书为准。不要写成纯市场内部事故，也不要写成叉车事故。</t>
        </is>
      </c>
      <c r="C3" s="3" t="inlineStr">
        <is>
          <t>材料里写抚顺路市政道路，不要写成市场内部</t>
        </is>
      </c>
    </row>
    <row r="4" ht="48" customHeight="1">
      <c r="A4" s="4" t="inlineStr">
        <is>
          <t>过程</t>
        </is>
      </c>
      <c r="B4" s="4" t="inlineStr">
        <is>
          <t>胡某当时在为刘孝春家卸货搬运，驾驶/使用刘家三轮车。卸完第一趟，回装第二趟：贴护栏上坡，准备左拐去下方装货再往楼上拉。因护栏开口，须先向上借道调整，再掉头。8 月 18 日口述双方都往上走。后方黄色美团二轮碰撞，三轮侧翻，脚踏板压伤右脚。交警称视频能看清过程；家属称监控可能看不清护栏。护栏开口可以解释动作来源，但不能据此争全责。</t>
        </is>
      </c>
      <c r="C4" s="4" t="inlineStr">
        <is>
          <t>以监控为准，不补充猜测</t>
        </is>
      </c>
    </row>
    <row r="5" ht="48" customHeight="1">
      <c r="A5" s="3" t="inlineStr">
        <is>
          <t>三轮过错</t>
        </is>
      </c>
      <c r="B5" s="3" t="inlineStr">
        <is>
          <t>三轮车交警认定为机动车，未悬挂正规机动车号牌（只有抚顺路批发市场内部牌，无青岛市摩托车/机动车号牌；家属记得 2588，交警不认可）；车况旧：转向灯失灵，8 月 18 日口述大灯也坏，掉头未有效提示后方；掉头动作：先向上/向右借道再大弧度左拐。8 月 18 日家属解释是 1 号门斜坡护栏开口需要先借道；交警仍可能把该动作写成未有效提示后方</t>
        </is>
      </c>
      <c r="C5" s="3" t="inlineStr">
        <is>
          <t>承认监控里看得到的问题，不争口头全责</t>
        </is>
      </c>
    </row>
    <row r="6" ht="48" customHeight="1">
      <c r="A6" s="4" t="inlineStr">
        <is>
          <t>骑手过错</t>
        </is>
      </c>
      <c r="B6" s="4" t="inlineStr">
        <is>
          <t>未与前车保持足够安全距离；处于后方、视野更清楚，有条件提前规避</t>
        </is>
      </c>
      <c r="C6" s="4" t="inlineStr">
        <is>
          <t>要求主责，保底同等</t>
        </is>
      </c>
    </row>
    <row r="7" ht="48" customHeight="1">
      <c r="A7" s="3" t="inlineStr">
        <is>
          <t>责任范围</t>
        </is>
      </c>
      <c r="B7" s="3" t="inlineStr">
        <is>
          <t>监控可排除任何一方全责。可能结果只有两种：双方同等责任；或三轮次责、外卖主责。交警称无论简易、一般程序还是法院，看了视频都不会超出该范围。8 月 18 日内部说的「骑手 70%、刘孝春 30%、驾驶人 0 责」是讨论意见，不是认定书。</t>
        </is>
      </c>
      <c r="C7" s="3" t="inlineStr">
        <is>
          <t>停止使用「对方全责」</t>
        </is>
      </c>
    </row>
    <row r="8" ht="48" customHeight="1">
      <c r="A8" s="4" t="inlineStr">
        <is>
          <t>简易程序</t>
        </is>
      </c>
      <c r="B8" s="4" t="inlineStr">
        <is>
          <t>不审资质，快出认定书</t>
        </is>
      </c>
      <c r="C8" s="4" t="inlineStr">
        <is>
          <t>可谈，但先确认平台保险能赔</t>
        </is>
      </c>
    </row>
    <row r="9" ht="48" customHeight="1">
      <c r="A9" s="3" t="inlineStr">
        <is>
          <t>一般程序</t>
        </is>
      </c>
      <c r="B9" s="3" t="inlineStr">
        <is>
          <t>鉴定约一个多月；无牌/可能无证要处罚</t>
        </is>
      </c>
      <c r="C9" s="3" t="inlineStr">
        <is>
          <t>除非保险拒赔或对方不谈，否则不主动升级</t>
        </is>
      </c>
    </row>
    <row r="10" ht="48" customHeight="1">
      <c r="A10" s="4" t="inlineStr">
        <is>
          <t>交警赔钱</t>
        </is>
      </c>
      <c r="B10" s="4" t="inlineStr">
        <is>
          <t>只出认定书，不参与金额</t>
        </is>
      </c>
      <c r="C10" s="4" t="inlineStr">
        <is>
          <t>金额找保险和法院，别逼交警</t>
        </is>
      </c>
    </row>
    <row r="11" ht="48" customHeight="1">
      <c r="A11" s="3" t="inlineStr">
        <is>
          <t>刘孝春身份</t>
        </is>
      </c>
      <c r="B11" s="3" t="inlineStr">
        <is>
          <t>伤者当时的雇佣老板，三轮车实际所有人或管理人。64 岁胡某已退休，当时没有签劳动合同。</t>
        </is>
      </c>
      <c r="C11" s="3" t="inlineStr">
        <is>
          <t>车主/接受劳务方，不是工伤单位</t>
        </is>
      </c>
    </row>
    <row r="12" ht="48" customHeight="1">
      <c r="A12" s="4" t="inlineStr">
        <is>
          <t>不替美团补</t>
        </is>
      </c>
      <c r="B12" s="4" t="inlineStr">
        <is>
          <t>刘孝春没有法定义务承担「美团小姑娘责任范围内赔不够、她本人又没钱」的那一块。那是骑手和美团平台险的债，不能让老板去替她补。</t>
        </is>
      </c>
      <c r="C12" s="4" t="inlineStr">
        <is>
          <t>骑手责任范围内的缺口仍找平台险和骑手</t>
        </is>
      </c>
    </row>
    <row r="13" ht="48" customHeight="1">
      <c r="A13" s="3" t="inlineStr">
        <is>
          <t>可主张己方份</t>
        </is>
      </c>
      <c r="B13" s="3" t="inlineStr">
        <is>
          <t>认定书扣掉的己方份额（同等大约 50%，次责大约 30%）以及因车主过错、提供不合格车辆产生的相应责任，可以向刘孝春主张分担。这是「三轮这一方内部怎么分」，不是「替美团赔剩余」。</t>
        </is>
      </c>
      <c r="C13" s="3" t="inlineStr">
        <is>
          <t>无牌+灯坏交人使用，车主有过错线索；先留证据不发函</t>
        </is>
      </c>
    </row>
  </sheetData>
  <autoFilter ref="A1:C13"/>
  <mergeCells count="1">
    <mergeCell ref="A1:C1"/>
  </mergeCells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42" customWidth="1" min="4" max="4"/>
    <col width="36" customWidth="1" min="5" max="5"/>
  </cols>
  <sheetData>
    <row r="1" ht="24" customHeight="1">
      <c r="A1" s="1" t="inlineStr">
        <is>
          <t>30%是己方缺口不是刘的固定比例。未结工钱100%由刘付，其余进总损失后再切。</t>
        </is>
      </c>
    </row>
    <row r="2" ht="22" customHeight="1">
      <c r="A2" s="2" t="inlineStr">
        <is>
          <t>项目</t>
        </is>
      </c>
      <c r="B2" s="2" t="inlineStr">
        <is>
          <t>现在能否主张</t>
        </is>
      </c>
      <c r="C2" s="2" t="inlineStr">
        <is>
          <t>计算口径</t>
        </is>
      </c>
      <c r="D2" s="2" t="inlineStr">
        <is>
          <t>刘孝春怎么担</t>
        </is>
      </c>
      <c r="E2" s="2" t="inlineStr">
        <is>
          <t>不要搞错</t>
        </is>
      </c>
    </row>
    <row r="3" ht="56" customHeight="1">
      <c r="A3" s="3" t="inlineStr">
        <is>
          <t>未结工钱（欠薪）</t>
        </is>
      </c>
      <c r="B3" s="3" t="inlineStr">
        <is>
          <t>可以现在就要</t>
        </is>
      </c>
      <c r="C3" s="3" t="inlineStr">
        <is>
          <t>按实际未付工钱，8/15 口述约 5000 元，须微信或证人核。</t>
        </is>
      </c>
      <c r="D3" s="3" t="inlineStr">
        <is>
          <t>100% 由刘孝春付。这是欠薪，不乘 30%，不和事故赔偿冲抵。</t>
        </is>
      </c>
      <c r="E3" s="3" t="inlineStr">
        <is>
          <t>不要拿欠薪去抵医疗费后说事故两清。</t>
        </is>
      </c>
    </row>
    <row r="4" ht="56" customHeight="1">
      <c r="A4" s="4" t="inlineStr">
        <is>
          <t>医疗费</t>
        </is>
      </c>
      <c r="B4" s="4" t="inlineStr">
        <is>
          <t>有票就进台账</t>
        </is>
      </c>
      <c r="C4" s="4" t="inlineStr">
        <is>
          <t>住院、手术、检查、药品、后续门诊，发票减医保已报（按保险和法院口径）。</t>
        </is>
      </c>
      <c r="D4" s="4" t="inlineStr">
        <is>
          <t>进入 L，刘分担缺口 G 中与其过错相当的部分。</t>
        </is>
      </c>
      <c r="E4" s="4" t="inlineStr">
        <is>
          <t>美团 70% 仍找平台险，不让刘替骑手出。</t>
        </is>
      </c>
    </row>
    <row r="5" ht="56" customHeight="1">
      <c r="A5" s="3" t="inlineStr">
        <is>
          <t>后续治疗费</t>
        </is>
      </c>
      <c r="B5" s="3" t="inlineStr">
        <is>
          <t>评残前先记账，取内固定后再结</t>
        </is>
      </c>
      <c r="C5" s="3" t="inlineStr">
        <is>
          <t>医嘱或鉴定意见载明的二次手术、拆外固定、康复必要费用。</t>
        </is>
      </c>
      <c r="D5" s="3" t="inlineStr">
        <is>
          <t>同上，进 L 后切缺口。</t>
        </is>
      </c>
      <c r="E5" s="3" t="inlineStr">
        <is>
          <t>不要现在把尚未发生的二次手术一次性包死。</t>
        </is>
      </c>
    </row>
    <row r="6" ht="56" customHeight="1">
      <c r="A6" s="4" t="inlineStr">
        <is>
          <t>护理费（陪护费）</t>
        </is>
      </c>
      <c r="B6" s="4" t="inlineStr">
        <is>
          <t>应当主张</t>
        </is>
      </c>
      <c r="C6" s="4" t="inlineStr">
        <is>
          <t>医院合作一对一 24 小时合同+发票；出院后仍不能自理的，按医嘱天数和当地护工价。青岛约 300–350 元/天。</t>
        </is>
      </c>
      <c r="D6" s="4" t="inlineStr">
        <is>
          <t>应当分担缺口里的护理费，不是把全部护工费甩给刘。家属自己陪护无票的，很难按上海工资认。</t>
        </is>
      </c>
      <c r="E6" s="4" t="inlineStr">
        <is>
          <t>一对多、微信私拉、无发票，刘和保险都可以不认。</t>
        </is>
      </c>
    </row>
    <row r="7" ht="56" customHeight="1">
      <c r="A7" s="3" t="inlineStr">
        <is>
          <t>住院伙食补助费</t>
        </is>
      </c>
      <c r="B7" s="3" t="inlineStr">
        <is>
          <t>应当主张</t>
        </is>
      </c>
      <c r="C7" s="3" t="inlineStr">
        <is>
          <t>住院天数 × 青岛国家机关工作人员出差伙食补助标准。</t>
        </is>
      </c>
      <c r="D7" s="3" t="inlineStr">
        <is>
          <t>进 L 后切缺口。</t>
        </is>
      </c>
      <c r="E7" s="3" t="inlineStr">
        <is>
          <t>没有住院天数就不要编。</t>
        </is>
      </c>
    </row>
    <row r="8" ht="56" customHeight="1">
      <c r="A8" s="4" t="inlineStr">
        <is>
          <t>营养费</t>
        </is>
      </c>
      <c r="B8" s="4" t="inlineStr">
        <is>
          <t>有医嘱再主张</t>
        </is>
      </c>
      <c r="C8" s="4" t="inlineStr">
        <is>
          <t>医嘱写加强营养或鉴定支持的天数 × 当地标准。</t>
        </is>
      </c>
      <c r="D8" s="4" t="inlineStr">
        <is>
          <t>进 L 后切缺口。</t>
        </is>
      </c>
      <c r="E8" s="4" t="inlineStr">
        <is>
          <t>没有医嘱不要按骨折吓人程度口头加。</t>
        </is>
      </c>
    </row>
    <row r="9" ht="56" customHeight="1">
      <c r="A9" s="3" t="inlineStr">
        <is>
          <t>交通费</t>
        </is>
      </c>
      <c r="B9" s="3" t="inlineStr">
        <is>
          <t>有票就主张</t>
        </is>
      </c>
      <c r="C9" s="3" t="inlineStr">
        <is>
          <t>救护车 160 元；家属合理往返（胡继刚上海—青岛按必要次数）。</t>
        </is>
      </c>
      <c r="D9" s="3" t="inlineStr">
        <is>
          <t>进 L 后切缺口。</t>
        </is>
      </c>
      <c r="E9" s="3" t="inlineStr">
        <is>
          <t>旅游、探亲顺便的车票不要混进去。</t>
        </is>
      </c>
    </row>
    <row r="10" ht="56" customHeight="1">
      <c r="A10" s="4" t="inlineStr">
        <is>
          <t>住宿费</t>
        </is>
      </c>
      <c r="B10" s="4" t="inlineStr">
        <is>
          <t>有票且必要才主张</t>
        </is>
      </c>
      <c r="C10" s="4" t="inlineStr">
        <is>
          <t>外地家属因处理事故、陪护产生的合理住宿。</t>
        </is>
      </c>
      <c r="D10" s="4" t="inlineStr">
        <is>
          <t>进 L 后切缺口。</t>
        </is>
      </c>
      <c r="E10" s="4" t="inlineStr">
        <is>
          <t>长期住酒店替代护工，容易被砍。</t>
        </is>
      </c>
    </row>
    <row r="11" ht="56" customHeight="1">
      <c r="A11" s="3" t="inlineStr">
        <is>
          <t>误工费（伤者本人）</t>
        </is>
      </c>
      <c r="B11" s="3" t="inlineStr">
        <is>
          <t>能证明收入才主张</t>
        </is>
      </c>
      <c r="C11" s="3" t="inlineStr">
        <is>
          <t>只算胡某。64 岁已退休，须证明实际在给刘干活有收入（微信、证人、市场行情）。误工天数看出院医嘱或鉴定休息期。</t>
        </is>
      </c>
      <c r="D11" s="3" t="inlineStr">
        <is>
          <t>误工费若成立，刘分担的是缺口里这一项，不是按儿子上海工资赔，也不是把胡某后半生工资全包。</t>
        </is>
      </c>
      <c r="E11" s="3" t="inlineStr">
        <is>
          <t>证明不了实际收入，误工费可能为 0。胡继刚的工资不是误工费。</t>
        </is>
      </c>
    </row>
    <row r="12" ht="56" customHeight="1">
      <c r="A12" s="4" t="inlineStr">
        <is>
          <t>残疾赔偿金</t>
        </is>
      </c>
      <c r="B12" s="4" t="inlineStr">
        <is>
          <t>评残后才有</t>
        </is>
      </c>
      <c r="C12" s="4" t="inlineStr">
        <is>
          <t>青岛口径内部用 71703 元/年 × 16 年 × 残级系数（十级 0.1，九级 0.2）。</t>
        </is>
      </c>
      <c r="D12" s="4" t="inlineStr">
        <is>
          <t>评残后进入 L，刘仍只切 30% 缺口里与其过错相当的部分。</t>
        </is>
      </c>
      <c r="E12" s="4" t="inlineStr">
        <is>
          <t>现在不要对外报残级，也不要让刘现在按十级锁死。</t>
        </is>
      </c>
    </row>
    <row r="13" ht="56" customHeight="1">
      <c r="A13" s="3" t="inlineStr">
        <is>
          <t>残疾辅助器具费</t>
        </is>
      </c>
      <c r="B13" s="3" t="inlineStr">
        <is>
          <t>有医嘱或鉴定再主张</t>
        </is>
      </c>
      <c r="C13" s="3" t="inlineStr">
        <is>
          <t>拐杖、轮椅等必要器具。</t>
        </is>
      </c>
      <c r="D13" s="3" t="inlineStr">
        <is>
          <t>进 L 后切缺口。</t>
        </is>
      </c>
      <c r="E13" s="3" t="inlineStr">
        <is>
          <t>高消费器材没有医嘱不要报。</t>
        </is>
      </c>
    </row>
    <row r="14" ht="56" customHeight="1">
      <c r="A14" s="4" t="inlineStr">
        <is>
          <t>被扶养人生活费</t>
        </is>
      </c>
      <c r="B14" s="4" t="inlineStr">
        <is>
          <t>评残后看有没有法定被扶养人</t>
        </is>
      </c>
      <c r="C14" s="4" t="inlineStr">
        <is>
          <t>须评残且有胡某依法扶养、无劳动能力又无生活来源的人。成年儿子胡继刚一般不算。</t>
        </is>
      </c>
      <c r="D14" s="4" t="inlineStr">
        <is>
          <t>若成立，进 L 后切缺口。</t>
        </is>
      </c>
      <c r="E14" s="4" t="inlineStr">
        <is>
          <t>不要把全家生活费写成被扶养人生活费。</t>
        </is>
      </c>
    </row>
    <row r="15" ht="56" customHeight="1">
      <c r="A15" s="3" t="inlineStr">
        <is>
          <t>精神损害抚慰金</t>
        </is>
      </c>
      <c r="B15" s="3" t="inlineStr">
        <is>
          <t>评残或起诉时主张</t>
        </is>
      </c>
      <c r="C15" s="3" t="inlineStr">
        <is>
          <t>按伤情和当地法院尺度。美团平台险常常不赔这一项。</t>
        </is>
      </c>
      <c r="D15" s="3" t="inlineStr">
        <is>
          <t>保险不赔的部分，可向有过错的侵权人主张；刘作为车主/接受劳务过错方，可能分担己方缺口里的相应部分，不是替骑手把精神抚慰金全包。</t>
        </is>
      </c>
      <c r="E15" s="3" t="inlineStr">
        <is>
          <t>不要以为刘必须把保险除外的精神抚慰金全部补上。</t>
        </is>
      </c>
    </row>
    <row r="16" ht="56" customHeight="1">
      <c r="A16" s="4" t="inlineStr">
        <is>
          <t>鉴定费</t>
        </is>
      </c>
      <c r="B16" s="4" t="inlineStr">
        <is>
          <t>评残时发生</t>
        </is>
      </c>
      <c r="C16" s="4" t="inlineStr">
        <is>
          <t>道路交通事故伤残鉴定费，发票。</t>
        </is>
      </c>
      <c r="D16" s="4" t="inlineStr">
        <is>
          <t>进 L 后切缺口；有的判决由败诉方负担，以判决为准。</t>
        </is>
      </c>
      <c r="E16" s="4" t="inlineStr">
        <is>
          <t>不要网上计算器代替鉴定。</t>
        </is>
      </c>
    </row>
    <row r="17" ht="56" customHeight="1">
      <c r="A17" s="3" t="inlineStr">
        <is>
          <t>个人物品损失</t>
        </is>
      </c>
      <c r="B17" s="3" t="inlineStr">
        <is>
          <t>有凭证再主张</t>
        </is>
      </c>
      <c r="C17" s="3" t="inlineStr">
        <is>
          <t>衣服、眼镜、手机等因事故损坏。</t>
        </is>
      </c>
      <c r="D17" s="3" t="inlineStr">
        <is>
          <t>进 L 后切缺口。</t>
        </is>
      </c>
      <c r="E17" s="3" t="inlineStr">
        <is>
          <t>三轮车是刘的，车损不是胡某向刘索赔的项目；车损由刘自行向美团侧按责主张。</t>
        </is>
      </c>
    </row>
    <row r="19">
      <c r="A19" s="10" t="inlineStr">
        <is>
          <t>不应承担</t>
        </is>
      </c>
    </row>
    <row r="20" ht="28" customHeight="1">
      <c r="A20" t="inlineStr">
        <is>
          <t>美团骑手责任范围内（约 70%）赔不够的部分——仍是骑手和平台险的债。</t>
        </is>
      </c>
    </row>
    <row r="21" ht="28" customHeight="1">
      <c r="A21" t="inlineStr">
        <is>
          <t>胡继刚回上海少拿的工资、请护工之外自己陪护的「误工」。</t>
        </is>
      </c>
    </row>
    <row r="22" ht="28" customHeight="1">
      <c r="A22" t="inlineStr">
        <is>
          <t>无合同、无发票的现金护工，以及一对多护工。</t>
        </is>
      </c>
    </row>
    <row r="23" ht="28" customHeight="1">
      <c r="A23" t="inlineStr">
        <is>
          <t>跟骨骨刺、退变等与本次事故无关的治疗。</t>
        </is>
      </c>
    </row>
    <row r="24" ht="28" customHeight="1">
      <c r="A24" t="inlineStr">
        <is>
          <t>把刘孝春的三轮车损算成胡某的损失向刘要钱。</t>
        </is>
      </c>
    </row>
    <row r="25" ht="28" customHeight="1">
      <c r="A25" t="inlineStr">
        <is>
          <t>工伤待遇、社保补缴——退休未签合同，这条基本走不通。</t>
        </is>
      </c>
    </row>
    <row r="26" ht="28" customHeight="1">
      <c r="A26" t="inlineStr">
        <is>
          <t>现在就按十级、九级向刘要残疾赔偿金。</t>
        </is>
      </c>
    </row>
    <row r="28" ht="48" customHeight="1">
      <c r="A28" t="inlineStr">
        <is>
          <t>总损失 L（下列可计入项目之和）→ 美团/平台险先赔约 70%L → 己方缺口 G≈30%L → 刘孝春赔 G×其过错系数 k，胡某自负 G×(1−k)。k 不是 100%，也不要对外报一个数；无牌+灯坏交人上路、当天派活，主张时把 k 往高处谈，但不能写成刘把 30% 全部包圆。</t>
        </is>
      </c>
    </row>
  </sheetData>
  <autoFilter ref="A1:E28"/>
  <mergeCells count="9">
    <mergeCell ref="A21:E21"/>
    <mergeCell ref="A20:E20"/>
    <mergeCell ref="A24:E24"/>
    <mergeCell ref="A26:E26"/>
    <mergeCell ref="A25:E25"/>
    <mergeCell ref="A28:E28"/>
    <mergeCell ref="A1:E1"/>
    <mergeCell ref="A23:E23"/>
    <mergeCell ref="A22:E22"/>
  </mergeCells>
  <pageMargins left="0.4" right="0.4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8" customWidth="1" min="3" max="3"/>
    <col width="28" customWidth="1" min="4" max="4"/>
    <col width="14" customWidth="1" min="5" max="5"/>
  </cols>
  <sheetData>
    <row r="1" ht="24" customHeight="1">
      <c r="A1" s="1" t="inlineStr">
        <is>
          <t>8/19 补充后仍缺的事实。没有就不要编进 3D 或对外口径。3D 视频留作待用。</t>
        </is>
      </c>
    </row>
    <row r="2" ht="22" customHeight="1">
      <c r="A2" s="2" t="inlineStr">
        <is>
          <t>类别</t>
        </is>
      </c>
      <c r="B2" s="2" t="inlineStr">
        <is>
          <t>已经掌握</t>
        </is>
      </c>
      <c r="C2" s="2" t="inlineStr">
        <is>
          <t>还缺什么</t>
        </is>
      </c>
      <c r="D2" s="2" t="inlineStr">
        <is>
          <t>找谁要</t>
        </is>
      </c>
      <c r="E2" s="2" t="inlineStr">
        <is>
          <t>缓急</t>
        </is>
      </c>
    </row>
    <row r="3" ht="48" customHeight="1">
      <c r="A3" s="3" t="inlineStr">
        <is>
          <t>事故现场</t>
        </is>
      </c>
      <c r="B3" s="3" t="inlineStr">
        <is>
          <t>周五出事；卸完第一趟回装第二趟；哈尔滨路水果市场 1 号门斜坡护栏开口（还没到红绿灯）；双方口述都往上走；先借道再掉头；灯不亮；后方碰撞；踏板压右脚</t>
        </is>
      </c>
      <c r="C3" s="3" t="inlineStr">
        <is>
          <t>具体钟点、天气、车道数、两车颜色品牌、货是否在车上、精确撞击部位、是否戴头盔；交警原视频（3D 复原待用，本次不重做）</t>
        </is>
      </c>
      <c r="D3" s="3" t="inlineStr">
        <is>
          <t>交警监控原视频 / 陈师傅</t>
        </is>
      </c>
      <c r="E3" s="3" t="inlineStr">
        <is>
          <t>中</t>
        </is>
      </c>
    </row>
    <row r="4" ht="48" customHeight="1">
      <c r="A4" s="4" t="inlineStr">
        <is>
          <t>护栏与地点</t>
        </is>
      </c>
      <c r="B4" s="4" t="inlineStr">
        <is>
          <t>1 号门斜坡护栏开口借道；地点还有红枫路、福生、服装批发市场斜坡红绿灯等叫法</t>
        </is>
      </c>
      <c r="C4" s="4" t="inlineStr">
        <is>
          <t>护栏开口照片、现场示意图；交警文书上的正式路名</t>
        </is>
      </c>
      <c r="D4" s="4" t="inlineStr">
        <is>
          <t>胡继刚现场补拍 / 认定书</t>
        </is>
      </c>
      <c r="E4" s="4" t="inlineStr">
        <is>
          <t>中</t>
        </is>
      </c>
    </row>
    <row r="5" ht="48" customHeight="1">
      <c r="A5" s="3" t="inlineStr">
        <is>
          <t>姓名核对</t>
        </is>
      </c>
      <c r="B5" s="3" t="inlineStr">
        <is>
          <t>对接人胡继刚；齐鲁转写 33 床胡志远；用工老板口述刘孝春（转写刘小春）；有人问过孙总被否认</t>
        </is>
      </c>
      <c r="C5" s="3" t="inlineStr">
        <is>
          <t>身份证、病历首页、微信实名，对外材料只用证件姓名</t>
        </is>
      </c>
      <c r="D5" s="3" t="inlineStr">
        <is>
          <t>胡继刚</t>
        </is>
      </c>
      <c r="E5" s="3" t="inlineStr">
        <is>
          <t>急</t>
        </is>
      </c>
    </row>
    <row r="6" ht="48" customHeight="1">
      <c r="A6" s="4" t="inlineStr">
        <is>
          <t>车速与距离</t>
        </is>
      </c>
      <c r="B6" s="4" t="inlineStr">
        <is>
          <t>后方车距不足、骑手视野更好</t>
        </is>
      </c>
      <c r="C6" s="4" t="inlineStr">
        <is>
          <t>两车大概时速、跟车距离（米）、有没有刹车痕迹</t>
        </is>
      </c>
      <c r="D6" s="4" t="inlineStr">
        <is>
          <t>监控逐帧 / 认定书</t>
        </is>
      </c>
      <c r="E6" s="4" t="inlineStr">
        <is>
          <t>中</t>
        </is>
      </c>
    </row>
    <row r="7" ht="48" customHeight="1">
      <c r="A7" s="3" t="inlineStr">
        <is>
          <t>刘孝春</t>
        </is>
      </c>
      <c r="B7" s="3" t="inlineStr">
        <is>
          <t>车主、派卸货、无劳动合同、市场内部牌约 2588、转向灯坏、口述大灯也坏；8/15 口述雇主在现场</t>
        </is>
      </c>
      <c r="C7" s="3" t="inlineStr">
        <is>
          <t>碰撞瞬间在不在现场的证人；微信工钱流水；未结工钱实数；他是否知道没牌和灯坏</t>
        </is>
      </c>
      <c r="D7" s="3" t="inlineStr">
        <is>
          <t>刘孝春、市场同事</t>
        </is>
      </c>
      <c r="E7" s="3" t="inlineStr">
        <is>
          <t>急</t>
        </is>
      </c>
    </row>
    <row r="8" ht="48" customHeight="1">
      <c r="A8" s="4" t="inlineStr">
        <is>
          <t>胡某驾驶资格</t>
        </is>
      </c>
      <c r="B8" s="4" t="inlineStr">
        <is>
          <t>交警认定三轮属机动车</t>
        </is>
      </c>
      <c r="C8" s="4" t="inlineStr">
        <is>
          <t>有没有对应准驾资格。只内部掌握，不要对外主动提，一般程序才可能查</t>
        </is>
      </c>
      <c r="D8" s="4" t="inlineStr">
        <is>
          <t>家属内部核对</t>
        </is>
      </c>
      <c r="E8" s="4" t="inlineStr">
        <is>
          <t>急（内部）</t>
        </is>
      </c>
    </row>
    <row r="9" ht="48" customHeight="1">
      <c r="A9" s="3" t="inlineStr">
        <is>
          <t>医院手续</t>
        </is>
      </c>
      <c r="B9" s="3" t="inlineStr">
        <is>
          <t>齐鲁手术 8/15；人已到人民医院；戴老师补打 33 床出院记录、不用单独盖章；结余一楼原路退</t>
        </is>
      </c>
      <c r="C9" s="3" t="inlineStr">
        <is>
          <t>补打件是否已交人民医院并办成住院号；王主任对「报不了就回齐鲁」的落实</t>
        </is>
      </c>
      <c r="D9" s="3" t="inlineStr">
        <is>
          <t>出院处 / 王主任 / 人民医院入院处</t>
        </is>
      </c>
      <c r="E9" s="3" t="inlineStr">
        <is>
          <t>急</t>
        </is>
      </c>
    </row>
    <row r="10" ht="48" customHeight="1">
      <c r="A10" s="4" t="inlineStr">
        <is>
          <t>护工</t>
        </is>
      </c>
      <c r="B10" s="4" t="inlineStr">
        <is>
          <t>现在按不能自理、应请 24 小时一对一</t>
        </is>
      </c>
      <c r="C10" s="4" t="inlineStr">
        <is>
          <t>合同、发票、护理记录、日单价、开始日期</t>
        </is>
      </c>
      <c r="D10" s="4" t="inlineStr">
        <is>
          <t>护士站本院合作公司</t>
        </is>
      </c>
      <c r="E10" s="4" t="inlineStr">
        <is>
          <t>急</t>
        </is>
      </c>
    </row>
    <row r="11" ht="48" customHeight="1">
      <c r="A11" s="3" t="inlineStr">
        <is>
          <t>美团保险</t>
        </is>
      </c>
      <c r="B11" s="3" t="inlineStr">
        <is>
          <t>电动车无交强险；8/17 骑手称已打客服未回信；约定加 1866 开头微信</t>
        </is>
      </c>
      <c r="C11" s="3" t="inlineStr">
        <is>
          <t>保单号/工号、限额、医疗是否另封顶、要不要认定书才能垫、人民医院抚顺路院区认不认的正式答复</t>
        </is>
      </c>
      <c r="D11" s="3" t="inlineStr">
        <is>
          <t>骑手微信 + 站点 + 平台险进群</t>
        </is>
      </c>
      <c r="E11" s="3" t="inlineStr">
        <is>
          <t>急</t>
        </is>
      </c>
    </row>
    <row r="12" ht="48" customHeight="1">
      <c r="A12" s="4" t="inlineStr">
        <is>
          <t>交警程序</t>
        </is>
      </c>
      <c r="B12" s="4" t="inlineStr">
        <is>
          <t>监控已调、排除全责、两车已扣</t>
        </is>
      </c>
      <c r="C12" s="4" t="inlineStr">
        <is>
          <t>面谈时间、简易还是一般、认定书原件复印件</t>
        </is>
      </c>
      <c r="D12" s="4" t="inlineStr">
        <is>
          <t>陈师傅</t>
        </is>
      </c>
      <c r="E12" s="4" t="inlineStr">
        <is>
          <t>急</t>
        </is>
      </c>
    </row>
    <row r="13" ht="48" customHeight="1">
      <c r="A13" s="3" t="inlineStr">
        <is>
          <t>费用发票</t>
        </is>
      </c>
      <c r="B13" s="3" t="inlineStr">
        <is>
          <t>口述 3.5 万与 7 万冲突；救护车 160；雇主垫 2 万待核</t>
        </is>
      </c>
      <c r="C13" s="3" t="inlineStr">
        <is>
          <t>齐鲁对账单、押金、手术费、药品、救护车发票；两套数用票重核。记录 13 的 8000 元不是本案</t>
        </is>
      </c>
      <c r="D13" s="3" t="inlineStr">
        <is>
          <t>医院一楼收费窗口</t>
        </is>
      </c>
      <c r="E13" s="3" t="inlineStr">
        <is>
          <t>急</t>
        </is>
      </c>
    </row>
    <row r="14" ht="48" customHeight="1">
      <c r="A14" s="4" t="inlineStr">
        <is>
          <t>美团骑手</t>
        </is>
      </c>
      <c r="B14" s="4" t="inlineStr">
        <is>
          <t>女骑手、二轮、配偶也送外卖、两子、偿付弱</t>
        </is>
      </c>
      <c r="C14" s="4" t="inlineStr">
        <is>
          <t>姓名、电话、站点名称、平台险对接人进群</t>
        </is>
      </c>
      <c r="D14" s="4" t="inlineStr">
        <is>
          <t>骑手 / 交警</t>
        </is>
      </c>
      <c r="E14" s="4" t="inlineStr">
        <is>
          <t>急</t>
        </is>
      </c>
    </row>
  </sheetData>
  <autoFilter ref="A1:E14"/>
  <mergeCells count="1">
    <mergeCell ref="A1:E1"/>
  </mergeCells>
  <pageMargins left="0.4" right="0.4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55" customWidth="1" min="4" max="4"/>
  </cols>
  <sheetData>
    <row r="1" ht="24" customHeight="1">
      <c r="A1" s="1" t="inlineStr">
        <is>
          <t>得到大脑转写 18 条索引。与 CT 冲突的以 CT 为准。录音≠认定书。3D 视频留作待用。</t>
        </is>
      </c>
    </row>
    <row r="2" ht="22" customHeight="1">
      <c r="A2" s="2" t="inlineStr">
        <is>
          <t>日期</t>
        </is>
      </c>
      <c r="B2" s="2" t="inlineStr">
        <is>
          <t>标题</t>
        </is>
      </c>
      <c r="C2" s="2" t="inlineStr">
        <is>
          <t>时长</t>
        </is>
      </c>
      <c r="D2" s="2" t="inlineStr">
        <is>
          <t>本表如何使用</t>
        </is>
      </c>
    </row>
    <row r="3">
      <c r="A3" s="3" t="inlineStr">
        <is>
          <t>2026-08-15</t>
        </is>
      </c>
      <c r="B3" s="3" t="inlineStr">
        <is>
          <t>1｜伤势与理赔情况讨论</t>
        </is>
      </c>
      <c r="C3" s="3" t="inlineStr">
        <is>
          <t>20:01</t>
        </is>
      </c>
      <c r="D3" s="3" t="inlineStr">
        <is>
          <t>第一趟卸完回装第二趟、踏板压右脚、雇主口述在场。伤情/全责/出院须用 CT 和 8/17 交警校正</t>
        </is>
      </c>
    </row>
    <row r="4">
      <c r="A4" s="4" t="inlineStr">
        <is>
          <t>2026-08-15</t>
        </is>
      </c>
      <c r="B4" s="4" t="inlineStr">
        <is>
          <t>2｜轻弦办公椅园区快闪洽谈</t>
        </is>
      </c>
      <c r="C4" s="4" t="inlineStr">
        <is>
          <t>07:59</t>
        </is>
      </c>
      <c r="D4" s="4" t="inlineStr">
        <is>
          <t>与事故无关，见附录</t>
        </is>
      </c>
    </row>
    <row r="5">
      <c r="A5" s="3" t="inlineStr">
        <is>
          <t>2026-08-16</t>
        </is>
      </c>
      <c r="B5" s="3" t="inlineStr">
        <is>
          <t>3｜美团医疗赔偿家属协商</t>
        </is>
      </c>
      <c r="C5" s="3" t="inlineStr">
        <is>
          <t>16:00</t>
        </is>
      </c>
      <c r="D5" s="3" t="inlineStr">
        <is>
          <t>催款、转院、发票、伤残鉴定流程的家属共识</t>
        </is>
      </c>
    </row>
    <row r="6">
      <c r="A6" s="4" t="inlineStr">
        <is>
          <t>2026-08-16</t>
        </is>
      </c>
      <c r="B6" s="4" t="inlineStr">
        <is>
          <t>4｜与骑手赔偿责任通话</t>
        </is>
      </c>
      <c r="C6" s="4" t="inlineStr">
        <is>
          <t>03:19</t>
        </is>
      </c>
      <c r="D6" s="4" t="inlineStr">
        <is>
          <t>骑手要等认定书；家属要求拉群、不满未探望</t>
        </is>
      </c>
    </row>
    <row r="7">
      <c r="A7" s="3" t="inlineStr">
        <is>
          <t>2026-08-17</t>
        </is>
      </c>
      <c r="B7" s="3" t="inlineStr">
        <is>
          <t>5｜医院转院结算流程</t>
        </is>
      </c>
      <c r="C7" s="3" t="inlineStr">
        <is>
          <t>05:00</t>
        </is>
      </c>
      <c r="D7" s="3" t="inlineStr">
        <is>
          <t>必须先结算再入院；三级诊疗解释</t>
        </is>
      </c>
    </row>
    <row r="8">
      <c r="A8" s="4" t="inlineStr">
        <is>
          <t>2026-08-17</t>
        </is>
      </c>
      <c r="B8" s="4" t="inlineStr">
        <is>
          <t>6｜红枫路交警沟通</t>
        </is>
      </c>
      <c r="C8" s="4" t="inlineStr">
        <is>
          <t>16:00</t>
        </is>
      </c>
      <c r="D8" s="4" t="inlineStr">
        <is>
          <t>责任范围、简易/一般、保险、医院级别</t>
        </is>
      </c>
    </row>
    <row r="9">
      <c r="A9" s="3" t="inlineStr">
        <is>
          <t>2026-08-17</t>
        </is>
      </c>
      <c r="B9" s="3" t="inlineStr">
        <is>
          <t>7｜交警补充：赔偿职权边界</t>
        </is>
      </c>
      <c r="C9" s="3" t="inlineStr">
        <is>
          <t>02:23</t>
        </is>
      </c>
      <c r="D9" s="3" t="inlineStr">
        <is>
          <t>交警不下赔偿金额；评残后再谈残</t>
        </is>
      </c>
    </row>
    <row r="10">
      <c r="A10" s="4" t="inlineStr">
        <is>
          <t>2026-08-17</t>
        </is>
      </c>
      <c r="B10" s="4" t="inlineStr">
        <is>
          <t>8｜交警：二甲入院与执行风险</t>
        </is>
      </c>
      <c r="C10" s="4" t="inlineStr">
        <is>
          <t>06:08</t>
        </is>
      </c>
      <c r="D10" s="4" t="inlineStr">
        <is>
          <t>三甲默认、二甲不确定、骑手偿付弱</t>
        </is>
      </c>
    </row>
    <row r="11">
      <c r="A11" s="3" t="inlineStr">
        <is>
          <t>2026-08-17</t>
        </is>
      </c>
      <c r="B11" s="3" t="inlineStr">
        <is>
          <t>9｜转院问题内部/律师讨论</t>
        </is>
      </c>
      <c r="C11" s="3" t="inlineStr">
        <is>
          <t>38:06</t>
        </is>
      </c>
      <c r="D11" s="3" t="inlineStr">
        <is>
          <t>必须回三甲的策略讨论；责任预判须服从交警视频</t>
        </is>
      </c>
    </row>
    <row r="12">
      <c r="A12" s="4" t="inlineStr">
        <is>
          <t>2026-08-17</t>
        </is>
      </c>
      <c r="B12" s="4" t="inlineStr">
        <is>
          <t>10｜与赛主任转院沟通</t>
        </is>
      </c>
      <c r="C12" s="4" t="inlineStr">
        <is>
          <t>03:27</t>
        </is>
      </c>
      <c r="D12" s="4" t="inlineStr">
        <is>
          <t>联合体二甲惯例；交警电话公对公</t>
        </is>
      </c>
    </row>
    <row r="13">
      <c r="A13" s="3" t="inlineStr">
        <is>
          <t>2026-08-17</t>
        </is>
      </c>
      <c r="B13" s="3" t="inlineStr">
        <is>
          <t>11｜伤者转院报销问题咨询</t>
        </is>
      </c>
      <c r="C13" s="3" t="inlineStr">
        <is>
          <t>46:00</t>
        </is>
      </c>
      <c r="D13" s="3" t="inlineStr">
        <is>
          <t>医保≠美团险；术后两天不是康复期；认定单上未必有传统车险公司</t>
        </is>
      </c>
    </row>
    <row r="14">
      <c r="A14" s="4" t="inlineStr">
        <is>
          <t>2026-08-17</t>
        </is>
      </c>
      <c r="B14" s="4" t="inlineStr">
        <is>
          <t>12｜请对方联系保险公司</t>
        </is>
      </c>
      <c r="C14" s="4" t="inlineStr">
        <is>
          <t>00:39</t>
        </is>
      </c>
      <c r="D14" s="4" t="inlineStr">
        <is>
          <t>让二轮女骑手联系保险；能赔才留人民医院</t>
        </is>
      </c>
    </row>
    <row r="15">
      <c r="A15" s="3" t="inlineStr">
        <is>
          <t>2026-08-17</t>
        </is>
      </c>
      <c r="B15" s="3" t="inlineStr">
        <is>
          <t>13｜补打出院记录（病区串台）</t>
        </is>
      </c>
      <c r="C15" s="3" t="inlineStr">
        <is>
          <t>12:00</t>
        </is>
      </c>
      <c r="D15" s="3" t="inlineStr">
        <is>
          <t>只取 33 床戴老师补打出院记录、不用盖章、一楼原路退。蒋玉年/8000 元不是本案</t>
        </is>
      </c>
    </row>
    <row r="16">
      <c r="A16" s="4" t="inlineStr">
        <is>
          <t>2026-08-17</t>
        </is>
      </c>
      <c r="B16" s="4" t="inlineStr">
        <is>
          <t>14｜骑手侧保险报销确认</t>
        </is>
      </c>
      <c r="C16" s="4" t="inlineStr">
        <is>
          <t>02:00</t>
        </is>
      </c>
      <c r="D16" s="4" t="inlineStr">
        <is>
          <t>骑手称已打客服未回信；加微信 1866；地点有人叫福生批发市场</t>
        </is>
      </c>
    </row>
    <row r="17">
      <c r="A17" s="3" t="inlineStr">
        <is>
          <t>2026-08-17</t>
        </is>
      </c>
      <c r="B17" s="3" t="inlineStr">
        <is>
          <t>15｜问医院二甲报销与王主任</t>
        </is>
      </c>
      <c r="C17" s="3" t="inlineStr">
        <is>
          <t>00:50</t>
        </is>
      </c>
      <c r="D17" s="3" t="inlineStr">
        <is>
          <t>保险说了算；报不了就回齐鲁；王主任落实</t>
        </is>
      </c>
    </row>
    <row r="18">
      <c r="A18" s="4" t="inlineStr">
        <is>
          <t>2026-08-18</t>
        </is>
      </c>
      <c r="B18" s="4" t="inlineStr">
        <is>
          <t>16｜律师选择与费用（另一案）</t>
        </is>
      </c>
      <c r="C18" s="4" t="inlineStr">
        <is>
          <t>23:00</t>
        </is>
      </c>
      <c r="D18" s="4" t="inlineStr">
        <is>
          <t>仅作收费常识。九级、25–30 万、远洋工伤是另一案，不能套本案</t>
        </is>
      </c>
    </row>
    <row r="19">
      <c r="A19" s="3" t="inlineStr">
        <is>
          <t>2026-08-18</t>
        </is>
      </c>
      <c r="B19" s="3" t="inlineStr">
        <is>
          <t>17｜护栏开口内部讨论</t>
        </is>
      </c>
      <c r="C19" s="3" t="inlineStr">
        <is>
          <t>06:39</t>
        </is>
      </c>
      <c r="D19" s="3" t="inlineStr">
        <is>
          <t>1 号门斜坡护栏开口、双方上坡、大灯也坏。标题「叉车」和「驾驶人 0 责」不要对外</t>
        </is>
      </c>
    </row>
    <row r="20">
      <c r="A20" s="4" t="inlineStr">
        <is>
          <t>2026-08-19</t>
        </is>
      </c>
      <c r="B20" s="4" t="inlineStr">
        <is>
          <t>书面｜沟通记录合集口径对照</t>
        </is>
      </c>
      <c r="C20" s="4" t="inlineStr">
        <is>
          <t>书面</t>
        </is>
      </c>
      <c r="D20" s="4" t="inlineStr">
        <is>
          <t>17 份原文怎么用、合集目录拆案纠正、新补事实清单</t>
        </is>
      </c>
    </row>
  </sheetData>
  <autoFilter ref="A1:D20"/>
  <mergeCells count="1">
    <mergeCell ref="A1:D1"/>
  </mergeCells>
  <pageMargins left="0.4" right="0.4" top="0.5" bottom="0.5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 ht="24" customHeight="1">
      <c r="A1" s="1" t="inlineStr">
        <is>
          <t>附录：轻弦办公椅上海园区快闪（同批 8 月 15 日录音，与事故无关）</t>
        </is>
      </c>
    </row>
    <row r="2" ht="22" customHeight="1">
      <c r="A2" s="2" t="inlineStr">
        <is>
          <t>序号</t>
        </is>
      </c>
      <c r="B2" s="2" t="inlineStr">
        <is>
          <t>要点</t>
        </is>
      </c>
    </row>
    <row r="3">
      <c r="A3" s="3" t="n">
        <v>1</v>
      </c>
      <c r="B3" s="3" t="inlineStr">
        <is>
          <t>产品：轻弦人体工学椅；供方称字节、大疆、小米等有总部集采。</t>
        </is>
      </c>
    </row>
    <row r="4">
      <c r="A4" s="4" t="n">
        <v>2</v>
      </c>
      <c r="B4" s="4" t="inlineStr">
        <is>
          <t>合作：物业大堂快闪 + 企业内购；单椅成交返佣 100–200 元；可用椅子抵场地费。</t>
        </is>
      </c>
    </row>
    <row r="5">
      <c r="A5" s="3" t="n">
        <v>3</v>
      </c>
      <c r="B5" s="3" t="inlineStr">
        <is>
          <t>渠道：杨浦滨江、徐汇滨江；合作方有闵行森马、杨浦科创等园区资源。</t>
        </is>
      </c>
    </row>
    <row r="6">
      <c r="A6" s="4" t="n">
        <v>4</v>
      </c>
      <c r="B6" s="4" t="inlineStr">
        <is>
          <t>下一步：供方发资料；合作方下下周回沪后选 1–2 个园区试点。</t>
        </is>
      </c>
    </row>
  </sheetData>
  <autoFilter ref="A1:B6"/>
  <mergeCells count="1">
    <mergeCell ref="A1:B1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2026-08-19T04:55:55Z</dcterms:created>
  <dcterms:modified xmlns:dcterms="http://purl.org/dc/terms/" xmlns:xsi="http://www.w3.org/2001/XMLSchema-instance" xsi:type="dcterms:W3CDTF">2026-08-19T04:55:55Z</dcterms:modified>
</cp:coreProperties>
</file>