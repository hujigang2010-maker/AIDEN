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总览Dashboard" sheetId="1" state="visible" r:id="rId1"/>
    <sheet xmlns:r="http://schemas.openxmlformats.org/officeDocument/2006/relationships" name="01 项目时间倒排" sheetId="2" state="visible" r:id="rId2"/>
    <sheet xmlns:r="http://schemas.openxmlformats.org/officeDocument/2006/relationships" name="02 邀约名单与跟踪" sheetId="3" state="visible" r:id="rId3"/>
    <sheet xmlns:r="http://schemas.openxmlformats.org/officeDocument/2006/relationships" name="03 嘉宾与议程" sheetId="4" state="visible" r:id="rId4"/>
    <sheet xmlns:r="http://schemas.openxmlformats.org/officeDocument/2006/relationships" name="04 现场物资与分工" sheetId="5" state="visible" r:id="rId5"/>
    <sheet xmlns:r="http://schemas.openxmlformats.org/officeDocument/2006/relationships" name="05 预算明细" sheetId="6" state="visible" r:id="rId6"/>
    <sheet xmlns:r="http://schemas.openxmlformats.org/officeDocument/2006/relationships" name="06 会前转化动作" sheetId="7" state="visible" r:id="rId7"/>
    <sheet xmlns:r="http://schemas.openxmlformats.org/officeDocument/2006/relationships" name="07 会中转化抓手" sheetId="8" state="visible" r:id="rId8"/>
    <sheet xmlns:r="http://schemas.openxmlformats.org/officeDocument/2006/relationships" name="08 会后跟进SOP" sheetId="9" state="visible" r:id="rId9"/>
    <sheet xmlns:r="http://schemas.openxmlformats.org/officeDocument/2006/relationships" name="09 转化漏斗" sheetId="10" state="visible" r:id="rId10"/>
    <sheet xmlns:r="http://schemas.openxmlformats.org/officeDocument/2006/relationships" name="10 KPI与考核" sheetId="11" state="visible" r:id="rId11"/>
    <sheet xmlns:r="http://schemas.openxmlformats.org/officeDocument/2006/relationships" name="11 行业方案矩阵" sheetId="12" state="visible" r:id="rId12"/>
    <sheet xmlns:r="http://schemas.openxmlformats.org/officeDocument/2006/relationships" name="12 风险预案" sheetId="13" state="visible" r:id="rId13"/>
    <sheet xmlns:r="http://schemas.openxmlformats.org/officeDocument/2006/relationships" name="13 复盘记录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7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i val="1"/>
      <color rgb="00777777"/>
      <sz val="10"/>
    </font>
    <font>
      <name val="微软雅黑"/>
      <b val="1"/>
      <color rgb="00FFFFFF"/>
      <sz val="12"/>
    </font>
    <font>
      <name val="微软雅黑"/>
      <b val="1"/>
      <color rgb="00222222"/>
    </font>
    <font>
      <name val="微软雅黑"/>
      <color rgb="00222222"/>
    </font>
    <font>
      <name val="微软雅黑"/>
      <b val="1"/>
      <color rgb="00FFFFFF"/>
      <sz val="11"/>
    </font>
    <font>
      <name val="微软雅黑"/>
      <color rgb="00222222"/>
      <sz val="10"/>
    </font>
    <font>
      <name val="微软雅黑"/>
      <sz val="10"/>
    </font>
    <font>
      <name val="微软雅黑"/>
      <i val="1"/>
      <color rgb="00777777"/>
      <sz val="9"/>
    </font>
    <font>
      <name val="微软雅黑"/>
      <b val="1"/>
      <color rgb="00222222"/>
      <sz val="10"/>
    </font>
    <font>
      <name val="微软雅黑"/>
      <b val="1"/>
      <sz val="10"/>
    </font>
    <font>
      <name val="微软雅黑"/>
      <sz val="11"/>
    </font>
    <font>
      <name val="微软雅黑"/>
      <b val="1"/>
      <sz val="11"/>
    </font>
    <font>
      <name val="微软雅黑"/>
      <b val="1"/>
    </font>
    <font>
      <name val="微软雅黑"/>
      <b val="1"/>
      <color rgb="00FFFFFF"/>
    </font>
    <font>
      <name val="微软雅黑"/>
      <b val="1"/>
      <color rgb="00C0392B"/>
    </font>
  </fonts>
  <fills count="6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4F6FB"/>
      </patternFill>
    </fill>
    <fill>
      <patternFill patternType="solid">
        <fgColor rgb="00C0392B"/>
      </patternFill>
    </fill>
    <fill>
      <patternFill patternType="solid">
        <fgColor rgb="00D4A04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right" vertical="center" wrapText="1"/>
    </xf>
    <xf numFmtId="3" fontId="8" fillId="3" borderId="1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0" fontId="15" fillId="5" borderId="1" pivotButton="0" quotePrefix="0" xfId="0"/>
    <xf numFmtId="0" fontId="0" fillId="0" borderId="0" applyAlignment="1" pivotButton="0" quotePrefix="0" xfId="0">
      <alignment horizontal="center" vertical="center"/>
    </xf>
    <xf numFmtId="164" fontId="1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9" fontId="6" fillId="2" borderId="1" applyAlignment="1" pivotButton="0" quotePrefix="0" xfId="0">
      <alignment horizontal="left" vertical="center" wrapText="1"/>
    </xf>
    <xf numFmtId="165" fontId="6" fillId="2" borderId="1" applyAlignment="1" pivotButton="0" quotePrefix="0" xfId="0">
      <alignment horizontal="left" vertical="center" wrapText="1"/>
    </xf>
    <xf numFmtId="1" fontId="7" fillId="0" borderId="1" applyAlignment="1" pivotButton="0" quotePrefix="0" xfId="0">
      <alignment horizontal="left" vertical="center" wrapText="1"/>
    </xf>
    <xf numFmtId="1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8">
    <dxf>
      <font>
        <b val="1"/>
        <color rgb="00155724"/>
      </font>
      <fill>
        <patternFill patternType="solid">
          <fgColor rgb="00D4EDDA"/>
        </patternFill>
      </fill>
    </dxf>
    <dxf>
      <font>
        <b val="1"/>
        <color rgb="00856404"/>
      </font>
      <fill>
        <patternFill patternType="solid">
          <fgColor rgb="00FFF3CD"/>
        </patternFill>
      </fill>
    </dxf>
    <dxf>
      <font>
        <b val="1"/>
        <color rgb="00721C24"/>
      </font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D4EDDA"/>
        </patternFill>
      </fill>
    </dxf>
    <dxf>
      <font>
        <b val="1"/>
        <color rgb="007E5109"/>
      </font>
      <fill>
        <patternFill patternType="solid">
          <fgColor rgb="00FAD7A0"/>
        </patternFill>
      </fill>
    </dxf>
    <dxf>
      <font>
        <color rgb="00721C24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6" customHeight="1">
      <c r="A1" s="1" t="inlineStr">
        <is>
          <t>临港 × WeTest 中日数字经济跨国发展闭门会 · 总览 Dashboard</t>
        </is>
      </c>
    </row>
    <row r="2" ht="20" customHeight="1">
      <c r="A2" s="2" t="inlineStr">
        <is>
          <t>政策护航 × 质量守护 ｜ 会后转化是本表的灵魂</t>
        </is>
      </c>
    </row>
    <row r="4" ht="24" customHeight="1">
      <c r="A4" s="3" t="inlineStr">
        <is>
          <t>一、项目基本信息</t>
        </is>
      </c>
    </row>
    <row r="5">
      <c r="A5" s="4" t="inlineStr">
        <is>
          <t>主题</t>
        </is>
      </c>
      <c r="B5" s="5" t="inlineStr">
        <is>
          <t>中日数字经济跨国发展与高质量交付闭门会</t>
        </is>
      </c>
    </row>
    <row r="6">
      <c r="A6" s="4" t="inlineStr">
        <is>
          <t>主办</t>
        </is>
      </c>
      <c r="B6" s="5" t="inlineStr">
        <is>
          <t>上海科技企业协会</t>
        </is>
      </c>
    </row>
    <row r="7">
      <c r="A7" s="4" t="inlineStr">
        <is>
          <t>联合主办</t>
        </is>
      </c>
      <c r="B7" s="5" t="inlineStr">
        <is>
          <t>临港科技城 × WeTest</t>
        </is>
      </c>
    </row>
    <row r="8">
      <c r="A8" s="4" t="inlineStr">
        <is>
          <t>活动日期</t>
        </is>
      </c>
      <c r="B8" s="5" t="inlineStr">
        <is>
          <t>（待定，建议 4-6 周筹备期）</t>
        </is>
      </c>
    </row>
    <row r="9">
      <c r="A9" s="4" t="inlineStr">
        <is>
          <t>活动地点</t>
        </is>
      </c>
      <c r="B9" s="5" t="inlineStr">
        <is>
          <t>临港科技城</t>
        </is>
      </c>
    </row>
    <row r="10">
      <c r="A10" s="4" t="inlineStr">
        <is>
          <t>活动规模</t>
        </is>
      </c>
      <c r="B10" s="5" t="inlineStr">
        <is>
          <t>20-30 人闭门</t>
        </is>
      </c>
    </row>
    <row r="11">
      <c r="A11" s="4" t="inlineStr">
        <is>
          <t>目标客户</t>
        </is>
      </c>
      <c r="B11" s="5" t="inlineStr">
        <is>
          <t>金融 / 游戏 / 电商零售 / 泛互联网 — C 级/业务 VP</t>
        </is>
      </c>
    </row>
    <row r="12">
      <c r="A12" s="4" t="inlineStr">
        <is>
          <t>核心目标</t>
        </is>
      </c>
      <c r="B12" s="5" t="inlineStr">
        <is>
          <t>T+90 内首单 ≥ 3 单 · GMV ≥ 300 万元 · ROI ≥ 5×</t>
        </is>
      </c>
    </row>
    <row r="14" ht="24" customHeight="1">
      <c r="A14" s="6" t="inlineStr">
        <is>
          <t>二、核心 KPI（自动联动 · 仅填实际值）</t>
        </is>
      </c>
    </row>
    <row r="15" ht="26" customHeight="1">
      <c r="A15" s="7" t="inlineStr">
        <is>
          <t>维度</t>
        </is>
      </c>
      <c r="B15" s="7" t="inlineStr">
        <is>
          <t>指标</t>
        </is>
      </c>
      <c r="C15" s="7" t="inlineStr">
        <is>
          <t>目标值</t>
        </is>
      </c>
      <c r="D15" s="7" t="inlineStr">
        <is>
          <t>实际值</t>
        </is>
      </c>
      <c r="E15" s="7" t="inlineStr">
        <is>
          <t>完成率</t>
        </is>
      </c>
      <c r="F15" s="7" t="inlineStr">
        <is>
          <t>状态</t>
        </is>
      </c>
    </row>
    <row r="16">
      <c r="A16" s="8" t="inlineStr">
        <is>
          <t>邀约</t>
        </is>
      </c>
      <c r="B16" s="9" t="inlineStr">
        <is>
          <t>邀请池规模</t>
        </is>
      </c>
      <c r="C16" s="9" t="n">
        <v>75</v>
      </c>
      <c r="D16" s="9" t="n">
        <v>0</v>
      </c>
      <c r="E16" s="10">
        <f>IFERROR(D16/C16,0)</f>
        <v/>
      </c>
      <c r="F16" s="9">
        <f>IF(D16=0,"未开始",IF(E16&gt;=1,"达成",IF(E16&gt;=0.7,"进行中","风险")))</f>
        <v/>
      </c>
    </row>
    <row r="17">
      <c r="A17" s="8" t="inlineStr">
        <is>
          <t>邀约</t>
        </is>
      </c>
      <c r="B17" s="9" t="inlineStr">
        <is>
          <t>C 级/VP 占比 (%)</t>
        </is>
      </c>
      <c r="C17" s="9" t="n">
        <v>70</v>
      </c>
      <c r="D17" s="9" t="n">
        <v>0</v>
      </c>
      <c r="E17" s="10">
        <f>IFERROR(D17/C17,0)</f>
        <v/>
      </c>
      <c r="F17" s="9">
        <f>IF(D17=0,"未开始",IF(E17&gt;=1,"达成",IF(E17&gt;=0.7,"进行中","风险")))</f>
        <v/>
      </c>
    </row>
    <row r="18">
      <c r="A18" s="8" t="inlineStr">
        <is>
          <t>到场</t>
        </is>
      </c>
      <c r="B18" s="9" t="inlineStr">
        <is>
          <t>实际到场人数</t>
        </is>
      </c>
      <c r="C18" s="9" t="n">
        <v>25</v>
      </c>
      <c r="D18" s="9" t="n">
        <v>0</v>
      </c>
      <c r="E18" s="10">
        <f>IFERROR(D18/C18,0)</f>
        <v/>
      </c>
      <c r="F18" s="9">
        <f>IF(D18=0,"未开始",IF(E18&gt;=1,"达成",IF(E18&gt;=0.7,"进行中","风险")))</f>
        <v/>
      </c>
    </row>
    <row r="19">
      <c r="A19" s="8" t="inlineStr">
        <is>
          <t>到场</t>
        </is>
      </c>
      <c r="B19" s="9" t="inlineStr">
        <is>
          <t>到场率 (%)</t>
        </is>
      </c>
      <c r="C19" s="9" t="n">
        <v>33</v>
      </c>
      <c r="D19" s="9" t="n">
        <v>0</v>
      </c>
      <c r="E19" s="10">
        <f>IFERROR(D19/C19,0)</f>
        <v/>
      </c>
      <c r="F19" s="9">
        <f>IF(D19=0,"未开始",IF(E19&gt;=1,"达成",IF(E19&gt;=0.7,"进行中","风险")))</f>
        <v/>
      </c>
    </row>
    <row r="20">
      <c r="A20" s="8" t="inlineStr">
        <is>
          <t>现场</t>
        </is>
      </c>
      <c r="B20" s="9" t="inlineStr">
        <is>
          <t>圆桌发言客户数</t>
        </is>
      </c>
      <c r="C20" s="9" t="n">
        <v>8</v>
      </c>
      <c r="D20" s="9" t="n">
        <v>0</v>
      </c>
      <c r="E20" s="10">
        <f>IFERROR(D20/C20,0)</f>
        <v/>
      </c>
      <c r="F20" s="9">
        <f>IF(D20=0,"未开始",IF(E20&gt;=1,"达成",IF(E20&gt;=0.7,"进行中","风险")))</f>
        <v/>
      </c>
    </row>
    <row r="21">
      <c r="A21" s="8" t="inlineStr">
        <is>
          <t>现场</t>
        </is>
      </c>
      <c r="B21" s="9" t="inlineStr">
        <is>
          <t>1V1 深聊预约数</t>
        </is>
      </c>
      <c r="C21" s="9" t="n">
        <v>12</v>
      </c>
      <c r="D21" s="9" t="n">
        <v>0</v>
      </c>
      <c r="E21" s="10">
        <f>IFERROR(D21/C21,0)</f>
        <v/>
      </c>
      <c r="F21" s="9">
        <f>IF(D21=0,"未开始",IF(E21&gt;=1,"达成",IF(E21&gt;=0.7,"进行中","风险")))</f>
        <v/>
      </c>
    </row>
    <row r="22">
      <c r="A22" s="8" t="inlineStr">
        <is>
          <t>转化</t>
        </is>
      </c>
      <c r="B22" s="9" t="inlineStr">
        <is>
          <t>T+7 需求澄清会</t>
        </is>
      </c>
      <c r="C22" s="9" t="n">
        <v>9</v>
      </c>
      <c r="D22" s="9" t="n">
        <v>0</v>
      </c>
      <c r="E22" s="10">
        <f>IFERROR(D22/C22,0)</f>
        <v/>
      </c>
      <c r="F22" s="9">
        <f>IF(D22=0,"未开始",IF(E22&gt;=1,"达成",IF(E22&gt;=0.7,"进行中","风险")))</f>
        <v/>
      </c>
    </row>
    <row r="23">
      <c r="A23" s="8" t="inlineStr">
        <is>
          <t>转化</t>
        </is>
      </c>
      <c r="B23" s="9" t="inlineStr">
        <is>
          <t>T+30 POC 立项</t>
        </is>
      </c>
      <c r="C23" s="9" t="n">
        <v>5</v>
      </c>
      <c r="D23" s="9" t="n">
        <v>0</v>
      </c>
      <c r="E23" s="10">
        <f>IFERROR(D23/C23,0)</f>
        <v/>
      </c>
      <c r="F23" s="9">
        <f>IF(D23=0,"未开始",IF(E23&gt;=1,"达成",IF(E23&gt;=0.7,"进行中","风险")))</f>
        <v/>
      </c>
    </row>
    <row r="24">
      <c r="A24" s="8" t="inlineStr">
        <is>
          <t>转化</t>
        </is>
      </c>
      <c r="B24" s="9" t="inlineStr">
        <is>
          <t>T+90 首单数</t>
        </is>
      </c>
      <c r="C24" s="9" t="n">
        <v>3</v>
      </c>
      <c r="D24" s="9" t="n">
        <v>0</v>
      </c>
      <c r="E24" s="10">
        <f>IFERROR(D24/C24,0)</f>
        <v/>
      </c>
      <c r="F24" s="9">
        <f>IF(D24=0,"未开始",IF(E24&gt;=1,"达成",IF(E24&gt;=0.7,"进行中","风险")))</f>
        <v/>
      </c>
    </row>
    <row r="25">
      <c r="A25" s="8" t="inlineStr">
        <is>
          <t>收入</t>
        </is>
      </c>
      <c r="B25" s="9" t="inlineStr">
        <is>
          <t>首单 GMV (元)</t>
        </is>
      </c>
      <c r="C25" s="9" t="n">
        <v>3000000</v>
      </c>
      <c r="D25" s="9" t="n">
        <v>0</v>
      </c>
      <c r="E25" s="10">
        <f>IFERROR(D25/C25,0)</f>
        <v/>
      </c>
      <c r="F25" s="9">
        <f>IF(D25=0,"未开始",IF(E25&gt;=1,"达成",IF(E25&gt;=0.7,"进行中","风险")))</f>
        <v/>
      </c>
    </row>
    <row r="26">
      <c r="A26" s="8" t="inlineStr">
        <is>
          <t>ROI</t>
        </is>
      </c>
      <c r="B26" s="9" t="inlineStr">
        <is>
          <t>ROI 倍数</t>
        </is>
      </c>
      <c r="C26" s="9" t="n">
        <v>5</v>
      </c>
      <c r="D26" s="9" t="n">
        <v>0</v>
      </c>
      <c r="E26" s="10">
        <f>IFERROR(D26/C26,0)</f>
        <v/>
      </c>
      <c r="F26" s="9">
        <f>IF(D26=0,"未开始",IF(E26&gt;=1,"达成",IF(E26&gt;=0.7,"进行中","风险")))</f>
        <v/>
      </c>
    </row>
    <row r="27">
      <c r="A27" s="8" t="inlineStr">
        <is>
          <t>品牌</t>
        </is>
      </c>
      <c r="B27" s="9" t="inlineStr">
        <is>
          <t>媒体露出次数</t>
        </is>
      </c>
      <c r="C27" s="9" t="n">
        <v>10</v>
      </c>
      <c r="D27" s="9" t="n">
        <v>0</v>
      </c>
      <c r="E27" s="10">
        <f>IFERROR(D27/C27,0)</f>
        <v/>
      </c>
      <c r="F27" s="9">
        <f>IF(D27=0,"未开始",IF(E27&gt;=1,"达成",IF(E27&gt;=0.7,"进行中","风险")))</f>
        <v/>
      </c>
    </row>
    <row r="30" ht="24" customHeight="1">
      <c r="A30" s="11" t="inlineStr">
        <is>
          <t>三、转化漏斗（公式联动 · 调整目标自动更新）</t>
        </is>
      </c>
    </row>
    <row r="31" ht="26" customHeight="1">
      <c r="A31" s="7" t="inlineStr">
        <is>
          <t>阶段</t>
        </is>
      </c>
      <c r="B31" s="7" t="inlineStr">
        <is>
          <t>动作</t>
        </is>
      </c>
      <c r="C31" s="7" t="inlineStr">
        <is>
          <t>目标人数</t>
        </is>
      </c>
      <c r="D31" s="7" t="inlineStr">
        <is>
          <t>实际人数</t>
        </is>
      </c>
      <c r="E31" s="7" t="inlineStr">
        <is>
          <t>目标转化率</t>
        </is>
      </c>
      <c r="F31" s="7" t="inlineStr">
        <is>
          <t>实际转化率</t>
        </is>
      </c>
      <c r="G31" s="7" t="inlineStr">
        <is>
          <t>状态</t>
        </is>
      </c>
    </row>
    <row r="32">
      <c r="A32" s="8" t="inlineStr">
        <is>
          <t>L0 邀请池</t>
        </is>
      </c>
      <c r="B32" s="9" t="inlineStr">
        <is>
          <t>定向邀约</t>
        </is>
      </c>
      <c r="C32" s="9" t="n">
        <v>75</v>
      </c>
      <c r="D32" s="9" t="n">
        <v>0</v>
      </c>
      <c r="E32" s="9" t="inlineStr"/>
      <c r="F32" s="9" t="inlineStr">
        <is>
          <t>—</t>
        </is>
      </c>
      <c r="G32" s="9">
        <f>IF(D32&gt;=C32,"达成",IF(D32&gt;=C32*0.7,"进行中","风险"))</f>
        <v/>
      </c>
    </row>
    <row r="33">
      <c r="A33" s="8" t="inlineStr">
        <is>
          <t>L1 到场（认知）</t>
        </is>
      </c>
      <c r="B33" s="9" t="inlineStr">
        <is>
          <t>签到 + 名片</t>
        </is>
      </c>
      <c r="C33" s="9" t="n">
        <v>25</v>
      </c>
      <c r="D33" s="9" t="n">
        <v>0</v>
      </c>
      <c r="E33" s="9" t="inlineStr">
        <is>
          <t>33%</t>
        </is>
      </c>
      <c r="F33" s="10">
        <f>IFERROR(D33/D32,0)</f>
        <v/>
      </c>
      <c r="G33" s="9">
        <f>IF(D33&gt;=C33,"达成",IF(D33&gt;=C33*0.7,"进行中","风险"))</f>
        <v/>
      </c>
    </row>
    <row r="34">
      <c r="A34" s="8" t="inlineStr">
        <is>
          <t>L2 强意向</t>
        </is>
      </c>
      <c r="B34" s="9" t="inlineStr">
        <is>
          <t>圆桌发言 / 1V1 预约</t>
        </is>
      </c>
      <c r="C34" s="9" t="n">
        <v>15</v>
      </c>
      <c r="D34" s="9" t="n">
        <v>0</v>
      </c>
      <c r="E34" s="9" t="inlineStr">
        <is>
          <t>60%</t>
        </is>
      </c>
      <c r="F34" s="10">
        <f>IFERROR(D34/D33,0)</f>
        <v/>
      </c>
      <c r="G34" s="9">
        <f>IF(D34&gt;=C34,"达成",IF(D34&gt;=C34*0.7,"进行中","风险"))</f>
        <v/>
      </c>
    </row>
    <row r="35">
      <c r="A35" s="8" t="inlineStr">
        <is>
          <t>L3 商机 (T+7)</t>
        </is>
      </c>
      <c r="B35" s="9" t="inlineStr">
        <is>
          <t>需求澄清会</t>
        </is>
      </c>
      <c r="C35" s="9" t="n">
        <v>9</v>
      </c>
      <c r="D35" s="9" t="n">
        <v>0</v>
      </c>
      <c r="E35" s="9" t="inlineStr">
        <is>
          <t>60%</t>
        </is>
      </c>
      <c r="F35" s="10">
        <f>IFERROR(D35/D34,0)</f>
        <v/>
      </c>
      <c r="G35" s="9">
        <f>IF(D35&gt;=C35,"达成",IF(D35&gt;=C35*0.7,"进行中","风险"))</f>
        <v/>
      </c>
    </row>
    <row r="36">
      <c r="A36" s="8" t="inlineStr">
        <is>
          <t>L4 POC (T+30)</t>
        </is>
      </c>
      <c r="B36" s="9" t="inlineStr">
        <is>
          <t>POC 立项</t>
        </is>
      </c>
      <c r="C36" s="9" t="n">
        <v>5</v>
      </c>
      <c r="D36" s="9" t="n">
        <v>0</v>
      </c>
      <c r="E36" s="9" t="inlineStr">
        <is>
          <t>55%</t>
        </is>
      </c>
      <c r="F36" s="10">
        <f>IFERROR(D36/D35,0)</f>
        <v/>
      </c>
      <c r="G36" s="9">
        <f>IF(D36&gt;=C36,"达成",IF(D36&gt;=C36*0.7,"进行中","风险"))</f>
        <v/>
      </c>
    </row>
    <row r="37">
      <c r="A37" s="8" t="inlineStr">
        <is>
          <t>L5 签单 (T+90)</t>
        </is>
      </c>
      <c r="B37" s="9" t="inlineStr">
        <is>
          <t>首单签订</t>
        </is>
      </c>
      <c r="C37" s="9" t="n">
        <v>3</v>
      </c>
      <c r="D37" s="9" t="n">
        <v>0</v>
      </c>
      <c r="E37" s="9" t="inlineStr">
        <is>
          <t>60%</t>
        </is>
      </c>
      <c r="F37" s="10">
        <f>IFERROR(D37/D36,0)</f>
        <v/>
      </c>
      <c r="G37" s="9">
        <f>IF(D37&gt;=C37,"达成",IF(D37&gt;=C37*0.7,"进行中","风险"))</f>
        <v/>
      </c>
    </row>
    <row r="40" ht="24" customHeight="1">
      <c r="A40" s="3" t="inlineStr">
        <is>
          <t>四、使用说明</t>
        </is>
      </c>
    </row>
    <row r="41" ht="22" customHeight="1">
      <c r="A41" s="12" t="inlineStr">
        <is>
          <t>1. 本工作簿为「闭门沙龙 → 转化签单」的运营底盘，每张表都对应1 个关键运营动作。</t>
        </is>
      </c>
    </row>
    <row r="42" ht="22" customHeight="1">
      <c r="A42" s="12" t="inlineStr">
        <is>
          <t>2. 「02 邀约名单与跟踪」是会前的主战场，确保 75 人邀请池 / 25 人到场。</t>
        </is>
      </c>
    </row>
    <row r="43" ht="22" customHeight="1">
      <c r="A43" s="12" t="inlineStr">
        <is>
          <t>3. 「08 会后跟进 SOP」是 ★ 核心 —— 活动结束 48h 启动，每条 A/B 线索必须有 Owner、动作、截止日。</t>
        </is>
      </c>
    </row>
    <row r="44" ht="22" customHeight="1">
      <c r="A44" s="12" t="inlineStr">
        <is>
          <t>4. 「09 销售/转化漏斗」每日更新，A 级线索每周三同步进度。</t>
        </is>
      </c>
    </row>
    <row r="45" ht="22" customHeight="1">
      <c r="A45" s="12" t="inlineStr">
        <is>
          <t>5. 「10 KPI 与考核」与销售 OKR 挂钩；本表数据每周汇总至本 Dashboard。</t>
        </is>
      </c>
    </row>
    <row r="46" ht="22" customHeight="1">
      <c r="A46" s="12" t="inlineStr">
        <is>
          <t>6. 任何字段以蓝色填充列表头的均为「填写区」，其他为「自动计算区」。</t>
        </is>
      </c>
    </row>
  </sheetData>
  <mergeCells count="20">
    <mergeCell ref="A41:L41"/>
    <mergeCell ref="B7:L7"/>
    <mergeCell ref="A46:L46"/>
    <mergeCell ref="A2:L2"/>
    <mergeCell ref="B12:L12"/>
    <mergeCell ref="A42:L42"/>
    <mergeCell ref="B11:L11"/>
    <mergeCell ref="A14:L14"/>
    <mergeCell ref="A4:L4"/>
    <mergeCell ref="B8:L8"/>
    <mergeCell ref="A43:L43"/>
    <mergeCell ref="A44:L44"/>
    <mergeCell ref="B10:L10"/>
    <mergeCell ref="A40:L40"/>
    <mergeCell ref="B9:L9"/>
    <mergeCell ref="A30:L30"/>
    <mergeCell ref="B6:L6"/>
    <mergeCell ref="A1:L1"/>
    <mergeCell ref="A45:L45"/>
    <mergeCell ref="B5:L5"/>
  </mergeCells>
  <conditionalFormatting sqref="F16:F27">
    <cfRule type="cellIs" priority="1" operator="equal" dxfId="0">
      <formula>"达成"</formula>
    </cfRule>
    <cfRule type="cellIs" priority="2" operator="equal" dxfId="1">
      <formula>"进行中"</formula>
    </cfRule>
    <cfRule type="cellIs" priority="3" operator="equal" dxfId="2">
      <formula>"风险"</formula>
    </cfRule>
  </conditionalFormatting>
  <conditionalFormatting sqref="G32:G37">
    <cfRule type="cellIs" priority="4" operator="equal" dxfId="0">
      <formula>"达成"</formula>
    </cfRule>
    <cfRule type="cellIs" priority="5" operator="equal" dxfId="3">
      <formula>"进行中"</formula>
    </cfRule>
    <cfRule type="cellIs" priority="6" operator="equal" dxfId="4">
      <formula>"风险"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38" customWidth="1" min="4" max="4"/>
    <col width="26" customWidth="1" min="5" max="5"/>
    <col width="22" customWidth="1" min="6" max="6"/>
    <col width="22" customWidth="1" min="7" max="7"/>
    <col width="12" customWidth="1" min="8" max="8"/>
    <col width="24" customWidth="1" min="9" max="9"/>
  </cols>
  <sheetData>
    <row r="1" ht="36" customHeight="1">
      <c r="A1" s="1" t="inlineStr">
        <is>
          <t>项目时间倒排（T-30 → T+90）</t>
        </is>
      </c>
    </row>
    <row r="2" ht="20" customHeight="1">
      <c r="A2" s="2" t="inlineStr">
        <is>
          <t>Owner 必须明确到人，截止日不可空</t>
        </is>
      </c>
    </row>
    <row r="4" ht="26" customHeight="1">
      <c r="A4" s="7" t="inlineStr">
        <is>
          <t>阶段</t>
        </is>
      </c>
      <c r="B4" s="7" t="inlineStr">
        <is>
          <t>T-日</t>
        </is>
      </c>
      <c r="C4" s="7" t="inlineStr">
        <is>
          <t>建议日期</t>
        </is>
      </c>
      <c r="D4" s="7" t="inlineStr">
        <is>
          <t>关键动作</t>
        </is>
      </c>
      <c r="E4" s="7" t="inlineStr">
        <is>
          <t>可交付物</t>
        </is>
      </c>
      <c r="F4" s="7" t="inlineStr">
        <is>
          <t>Owner</t>
        </is>
      </c>
      <c r="G4" s="7" t="inlineStr">
        <is>
          <t>协作方</t>
        </is>
      </c>
      <c r="H4" s="7" t="inlineStr">
        <is>
          <t>状态</t>
        </is>
      </c>
      <c r="I4" s="7" t="inlineStr">
        <is>
          <t>备注</t>
        </is>
      </c>
    </row>
    <row r="5">
      <c r="A5" s="13" t="inlineStr">
        <is>
          <t>T-30</t>
        </is>
      </c>
      <c r="B5" s="13" t="inlineStr">
        <is>
          <t>T-30</t>
        </is>
      </c>
      <c r="C5" s="13" t="inlineStr"/>
      <c r="D5" s="13" t="inlineStr">
        <is>
          <t>三方 Kick-off：主题/嘉宾/预算</t>
        </is>
      </c>
      <c r="E5" s="13" t="inlineStr">
        <is>
          <t>Kick-off 会议纪要</t>
        </is>
      </c>
      <c r="F5" s="13" t="inlineStr">
        <is>
          <t>协会项目总</t>
        </is>
      </c>
      <c r="G5" s="13" t="inlineStr">
        <is>
          <t>临港 + WeTest</t>
        </is>
      </c>
      <c r="H5" s="13" t="inlineStr">
        <is>
          <t>未开始</t>
        </is>
      </c>
      <c r="I5" s="13" t="inlineStr"/>
    </row>
    <row r="6">
      <c r="A6" s="14" t="inlineStr">
        <is>
          <t>T-25</t>
        </is>
      </c>
      <c r="B6" s="14" t="inlineStr">
        <is>
          <t>T-25</t>
        </is>
      </c>
      <c r="C6" s="14" t="inlineStr"/>
      <c r="D6" s="14" t="inlineStr">
        <is>
          <t>三方提交邀请池</t>
        </is>
      </c>
      <c r="E6" s="14" t="inlineStr">
        <is>
          <t>75 人初稿名单</t>
        </is>
      </c>
      <c r="F6" s="14" t="inlineStr">
        <is>
          <t>协会会员部 + 临港招商 + WeTest 销售</t>
        </is>
      </c>
      <c r="G6" s="14" t="inlineStr">
        <is>
          <t>—</t>
        </is>
      </c>
      <c r="H6" s="14" t="inlineStr">
        <is>
          <t>未开始</t>
        </is>
      </c>
      <c r="I6" s="14" t="inlineStr"/>
    </row>
    <row r="7">
      <c r="A7" s="13" t="inlineStr">
        <is>
          <t>T-21</t>
        </is>
      </c>
      <c r="B7" s="13" t="inlineStr">
        <is>
          <t>T-21</t>
        </is>
      </c>
      <c r="C7" s="13" t="inlineStr"/>
      <c r="D7" s="13" t="inlineStr">
        <is>
          <t>锁定邀请名单 + NDA</t>
        </is>
      </c>
      <c r="E7" s="13" t="inlineStr">
        <is>
          <t>终版名单 + NDA</t>
        </is>
      </c>
      <c r="F7" s="13" t="inlineStr">
        <is>
          <t>协会项目总</t>
        </is>
      </c>
      <c r="G7" s="13" t="inlineStr">
        <is>
          <t>三方</t>
        </is>
      </c>
      <c r="H7" s="13" t="inlineStr">
        <is>
          <t>未开始</t>
        </is>
      </c>
      <c r="I7" s="13" t="inlineStr"/>
    </row>
    <row r="8">
      <c r="A8" s="14" t="inlineStr">
        <is>
          <t>T-15</t>
        </is>
      </c>
      <c r="B8" s="14" t="inlineStr">
        <is>
          <t>T-15</t>
        </is>
      </c>
      <c r="C8" s="14" t="inlineStr"/>
      <c r="D8" s="14" t="inlineStr">
        <is>
          <t>首轮邀约（电话/微信）+ 邀请函</t>
        </is>
      </c>
      <c r="E8" s="14" t="inlineStr">
        <is>
          <t>首轮触达记录 / 邀请函</t>
        </is>
      </c>
      <c r="F8" s="14" t="inlineStr">
        <is>
          <t>三方销售</t>
        </is>
      </c>
      <c r="G8" s="14" t="inlineStr">
        <is>
          <t>—</t>
        </is>
      </c>
      <c r="H8" s="14" t="inlineStr">
        <is>
          <t>未开始</t>
        </is>
      </c>
      <c r="I8" s="14" t="inlineStr">
        <is>
          <t>嵌入「圆桌议题征集表」</t>
        </is>
      </c>
    </row>
    <row r="9">
      <c r="A9" s="13" t="inlineStr">
        <is>
          <t>T-10</t>
        </is>
      </c>
      <c r="B9" s="13" t="inlineStr">
        <is>
          <t>T-10</t>
        </is>
      </c>
      <c r="C9" s="13" t="inlineStr"/>
      <c r="D9" s="13" t="inlineStr">
        <is>
          <t>实体邀请函 + 二轮确认</t>
        </is>
      </c>
      <c r="E9" s="13" t="inlineStr">
        <is>
          <t>确认到场名单 V1</t>
        </is>
      </c>
      <c r="F9" s="13" t="inlineStr">
        <is>
          <t>协会会员部</t>
        </is>
      </c>
      <c r="G9" s="13" t="inlineStr">
        <is>
          <t>—</t>
        </is>
      </c>
      <c r="H9" s="13" t="inlineStr">
        <is>
          <t>未开始</t>
        </is>
      </c>
      <c r="I9" s="13" t="inlineStr">
        <is>
          <t>C 级寄送伴手礼</t>
        </is>
      </c>
    </row>
    <row r="10">
      <c r="A10" s="14" t="inlineStr">
        <is>
          <t>T-7</t>
        </is>
      </c>
      <c r="B10" s="14" t="inlineStr">
        <is>
          <t>T-7</t>
        </is>
      </c>
      <c r="C10" s="14" t="inlineStr"/>
      <c r="D10" s="14" t="inlineStr">
        <is>
          <t>嘉宾 PPT 定稿 + 圆桌议题确认</t>
        </is>
      </c>
      <c r="E10" s="14" t="inlineStr">
        <is>
          <t>议程终版 / PPT</t>
        </is>
      </c>
      <c r="F10" s="14" t="inlineStr">
        <is>
          <t>WeTest 技术总监</t>
        </is>
      </c>
      <c r="G10" s="14" t="inlineStr">
        <is>
          <t>临港政策代表</t>
        </is>
      </c>
      <c r="H10" s="14" t="inlineStr">
        <is>
          <t>未开始</t>
        </is>
      </c>
      <c r="I10" s="14" t="inlineStr"/>
    </row>
    <row r="11">
      <c r="A11" s="13" t="inlineStr">
        <is>
          <t>T-5</t>
        </is>
      </c>
      <c r="B11" s="13" t="inlineStr">
        <is>
          <t>T-5</t>
        </is>
      </c>
      <c r="C11" s="13" t="inlineStr"/>
      <c r="D11" s="13" t="inlineStr">
        <is>
          <t>推送中日专项方案白皮书</t>
        </is>
      </c>
      <c r="E11" s="13" t="inlineStr">
        <is>
          <t>白皮书 PDF + 推送记录</t>
        </is>
      </c>
      <c r="F11" s="13" t="inlineStr">
        <is>
          <t>WeTest 市场</t>
        </is>
      </c>
      <c r="G11" s="13" t="inlineStr">
        <is>
          <t>—</t>
        </is>
      </c>
      <c r="H11" s="13" t="inlineStr">
        <is>
          <t>未开始</t>
        </is>
      </c>
      <c r="I11" s="13" t="inlineStr">
        <is>
          <t>建立技术认知</t>
        </is>
      </c>
    </row>
    <row r="12">
      <c r="A12" s="14" t="inlineStr">
        <is>
          <t>T-3</t>
        </is>
      </c>
      <c r="B12" s="14" t="inlineStr">
        <is>
          <t>T-3</t>
        </is>
      </c>
      <c r="C12" s="14" t="inlineStr"/>
      <c r="D12" s="14" t="inlineStr">
        <is>
          <t>TOP10 高优 1V1 预热电话</t>
        </is>
      </c>
      <c r="E12" s="14" t="inlineStr">
        <is>
          <t>预热脚本 + 接通记录</t>
        </is>
      </c>
      <c r="F12" s="14" t="inlineStr">
        <is>
          <t>WeTest 大客户经理</t>
        </is>
      </c>
      <c r="G12" s="14" t="inlineStr">
        <is>
          <t>—</t>
        </is>
      </c>
      <c r="H12" s="14" t="inlineStr">
        <is>
          <t>未开始</t>
        </is>
      </c>
      <c r="I12" s="14" t="inlineStr">
        <is>
          <t>预约会后 30 分钟深聊</t>
        </is>
      </c>
    </row>
    <row r="13">
      <c r="A13" s="13" t="inlineStr">
        <is>
          <t>T-2</t>
        </is>
      </c>
      <c r="B13" s="13" t="inlineStr">
        <is>
          <t>T-2</t>
        </is>
      </c>
      <c r="C13" s="13" t="inlineStr"/>
      <c r="D13" s="13" t="inlineStr">
        <is>
          <t>交通接待 / 嘉宾介绍卡 / 动线图推送</t>
        </is>
      </c>
      <c r="E13" s="13" t="inlineStr">
        <is>
          <t>推送记录</t>
        </is>
      </c>
      <c r="F13" s="13" t="inlineStr">
        <is>
          <t>协会会务</t>
        </is>
      </c>
      <c r="G13" s="13" t="inlineStr">
        <is>
          <t>—</t>
        </is>
      </c>
      <c r="H13" s="13" t="inlineStr">
        <is>
          <t>未开始</t>
        </is>
      </c>
      <c r="I13" s="13" t="inlineStr"/>
    </row>
    <row r="14">
      <c r="A14" s="14" t="inlineStr">
        <is>
          <t>T-1</t>
        </is>
      </c>
      <c r="B14" s="14" t="inlineStr">
        <is>
          <t>T-1</t>
        </is>
      </c>
      <c r="C14" s="14" t="inlineStr"/>
      <c r="D14" s="14" t="inlineStr">
        <is>
          <t>现场彩排（设备、动线、主持稿）</t>
        </is>
      </c>
      <c r="E14" s="14" t="inlineStr">
        <is>
          <t>彩排清单</t>
        </is>
      </c>
      <c r="F14" s="14" t="inlineStr">
        <is>
          <t>三方</t>
        </is>
      </c>
      <c r="G14" s="14" t="inlineStr">
        <is>
          <t>—</t>
        </is>
      </c>
      <c r="H14" s="14" t="inlineStr">
        <is>
          <t>未开始</t>
        </is>
      </c>
      <c r="I14" s="14" t="inlineStr"/>
    </row>
    <row r="15">
      <c r="A15" s="13" t="inlineStr">
        <is>
          <t>T0</t>
        </is>
      </c>
      <c r="B15" s="13" t="inlineStr">
        <is>
          <t>T0</t>
        </is>
      </c>
      <c r="C15" s="13" t="inlineStr"/>
      <c r="D15" s="13" t="inlineStr">
        <is>
          <t>活动执行 + 现场转化抓手全部触发</t>
        </is>
      </c>
      <c r="E15" s="13" t="inlineStr">
        <is>
          <t>签到表 / 圆桌纪要 / 现场视频</t>
        </is>
      </c>
      <c r="F15" s="13" t="inlineStr">
        <is>
          <t>三方</t>
        </is>
      </c>
      <c r="G15" s="13" t="inlineStr">
        <is>
          <t>—</t>
        </is>
      </c>
      <c r="H15" s="13" t="inlineStr">
        <is>
          <t>未开始</t>
        </is>
      </c>
      <c r="I15" s="13" t="inlineStr">
        <is>
          <t>★ 关键日</t>
        </is>
      </c>
    </row>
    <row r="16">
      <c r="A16" s="14" t="inlineStr">
        <is>
          <t>T+1</t>
        </is>
      </c>
      <c r="B16" s="14" t="inlineStr">
        <is>
          <t>T+1</t>
        </is>
      </c>
      <c r="C16" s="14" t="inlineStr"/>
      <c r="D16" s="14" t="inlineStr">
        <is>
          <t>感谢信群发 + 1V1 销售触达 + 资料包</t>
        </is>
      </c>
      <c r="E16" s="14" t="inlineStr">
        <is>
          <t>触达记录 / 资料包</t>
        </is>
      </c>
      <c r="F16" s="14" t="inlineStr">
        <is>
          <t>WeTest 销售</t>
        </is>
      </c>
      <c r="G16" s="14" t="inlineStr">
        <is>
          <t>市场</t>
        </is>
      </c>
      <c r="H16" s="14" t="inlineStr">
        <is>
          <t>未开始</t>
        </is>
      </c>
      <c r="I16" s="14" t="inlineStr">
        <is>
          <t>★ 黄金 48h</t>
        </is>
      </c>
    </row>
    <row r="17">
      <c r="A17" s="13" t="inlineStr">
        <is>
          <t>T+3</t>
        </is>
      </c>
      <c r="B17" s="13" t="inlineStr">
        <is>
          <t>T+3</t>
        </is>
      </c>
      <c r="C17" s="13" t="inlineStr"/>
      <c r="D17" s="13" t="inlineStr">
        <is>
          <t>CRM 录入完成 + ABC 分级</t>
        </is>
      </c>
      <c r="E17" s="13" t="inlineStr">
        <is>
          <t>CRM 截图 / 分级表</t>
        </is>
      </c>
      <c r="F17" s="13" t="inlineStr">
        <is>
          <t>WeTest 销售运营</t>
        </is>
      </c>
      <c r="G17" s="13" t="inlineStr">
        <is>
          <t>—</t>
        </is>
      </c>
      <c r="H17" s="13" t="inlineStr">
        <is>
          <t>未开始</t>
        </is>
      </c>
      <c r="I17" s="13" t="inlineStr"/>
    </row>
    <row r="18">
      <c r="A18" s="14" t="inlineStr">
        <is>
          <t>T+3</t>
        </is>
      </c>
      <c r="B18" s="14" t="inlineStr">
        <is>
          <t>T+3</t>
        </is>
      </c>
      <c r="C18" s="14" t="inlineStr"/>
      <c r="D18" s="14" t="inlineStr">
        <is>
          <t>三方内部快速复盘</t>
        </is>
      </c>
      <c r="E18" s="14" t="inlineStr">
        <is>
          <t>复盘纪要</t>
        </is>
      </c>
      <c r="F18" s="14" t="inlineStr">
        <is>
          <t>协会项目总</t>
        </is>
      </c>
      <c r="G18" s="14" t="inlineStr">
        <is>
          <t>三方</t>
        </is>
      </c>
      <c r="H18" s="14" t="inlineStr">
        <is>
          <t>未开始</t>
        </is>
      </c>
      <c r="I18" s="14" t="inlineStr"/>
    </row>
    <row r="19">
      <c r="A19" s="13" t="inlineStr">
        <is>
          <t>T+7</t>
        </is>
      </c>
      <c r="B19" s="13" t="inlineStr">
        <is>
          <t>T+7</t>
        </is>
      </c>
      <c r="C19" s="13" t="inlineStr"/>
      <c r="D19" s="13" t="inlineStr">
        <is>
          <t>A 级客户完成需求澄清会</t>
        </is>
      </c>
      <c r="E19" s="13" t="inlineStr">
        <is>
          <t>需求澄清纪要</t>
        </is>
      </c>
      <c r="F19" s="13" t="inlineStr">
        <is>
          <t>WeTest 大客户经理</t>
        </is>
      </c>
      <c r="G19" s="13" t="inlineStr">
        <is>
          <t>—</t>
        </is>
      </c>
      <c r="H19" s="13" t="inlineStr">
        <is>
          <t>未开始</t>
        </is>
      </c>
      <c r="I19" s="13" t="inlineStr">
        <is>
          <t>每位 A 级独立 Owner</t>
        </is>
      </c>
    </row>
    <row r="20">
      <c r="A20" s="14" t="inlineStr">
        <is>
          <t>T+15</t>
        </is>
      </c>
      <c r="B20" s="14" t="inlineStr">
        <is>
          <t>T+15</t>
        </is>
      </c>
      <c r="C20" s="14" t="inlineStr"/>
      <c r="D20" s="14" t="inlineStr">
        <is>
          <t>B 级方案 PPT 定向推送 + 二次深聊</t>
        </is>
      </c>
      <c r="E20" s="14" t="inlineStr">
        <is>
          <t>方案 PPT / 二深聊纪要</t>
        </is>
      </c>
      <c r="F20" s="14" t="inlineStr">
        <is>
          <t>WeTest 大客户经理</t>
        </is>
      </c>
      <c r="G20" s="14" t="inlineStr">
        <is>
          <t>—</t>
        </is>
      </c>
      <c r="H20" s="14" t="inlineStr">
        <is>
          <t>未开始</t>
        </is>
      </c>
      <c r="I20" s="14" t="inlineStr"/>
    </row>
    <row r="21">
      <c r="A21" s="13" t="inlineStr">
        <is>
          <t>T+15</t>
        </is>
      </c>
      <c r="B21" s="13" t="inlineStr">
        <is>
          <t>T+15</t>
        </is>
      </c>
      <c r="C21" s="13" t="inlineStr"/>
      <c r="D21" s="13" t="inlineStr">
        <is>
          <t>客户视角复盘（抽样回访）</t>
        </is>
      </c>
      <c r="E21" s="13" t="inlineStr">
        <is>
          <t>回访录音 / 改进点</t>
        </is>
      </c>
      <c r="F21" s="13" t="inlineStr">
        <is>
          <t>协会项目总</t>
        </is>
      </c>
      <c r="G21" s="13" t="inlineStr">
        <is>
          <t>—</t>
        </is>
      </c>
      <c r="H21" s="13" t="inlineStr">
        <is>
          <t>未开始</t>
        </is>
      </c>
      <c r="I21" s="13" t="inlineStr"/>
    </row>
    <row r="22">
      <c r="A22" s="14" t="inlineStr">
        <is>
          <t>T+30</t>
        </is>
      </c>
      <c r="B22" s="14" t="inlineStr">
        <is>
          <t>T+30</t>
        </is>
      </c>
      <c r="C22" s="14" t="inlineStr"/>
      <c r="D22" s="14" t="inlineStr">
        <is>
          <t>A 级 POC 立项 + B 级二次深聊</t>
        </is>
      </c>
      <c r="E22" s="14" t="inlineStr">
        <is>
          <t>POC SOW / 二深聊纪要</t>
        </is>
      </c>
      <c r="F22" s="14" t="inlineStr">
        <is>
          <t>WeTest 行业总监</t>
        </is>
      </c>
      <c r="G22" s="14" t="inlineStr">
        <is>
          <t>—</t>
        </is>
      </c>
      <c r="H22" s="14" t="inlineStr">
        <is>
          <t>未开始</t>
        </is>
      </c>
      <c r="I22" s="14" t="inlineStr"/>
    </row>
    <row r="23">
      <c r="A23" s="13" t="inlineStr">
        <is>
          <t>T+30</t>
        </is>
      </c>
      <c r="B23" s="13" t="inlineStr">
        <is>
          <t>T+30</t>
        </is>
      </c>
      <c r="C23" s="13" t="inlineStr"/>
      <c r="D23" s="13" t="inlineStr">
        <is>
          <t>转化中期复盘</t>
        </is>
      </c>
      <c r="E23" s="13" t="inlineStr">
        <is>
          <t>中期复盘报告</t>
        </is>
      </c>
      <c r="F23" s="13" t="inlineStr">
        <is>
          <t>协会 + WeTest</t>
        </is>
      </c>
      <c r="G23" s="13" t="inlineStr">
        <is>
          <t>—</t>
        </is>
      </c>
      <c r="H23" s="13" t="inlineStr">
        <is>
          <t>未开始</t>
        </is>
      </c>
      <c r="I23" s="13" t="inlineStr"/>
    </row>
    <row r="24">
      <c r="A24" s="14" t="inlineStr">
        <is>
          <t>T+60</t>
        </is>
      </c>
      <c r="B24" s="14" t="inlineStr">
        <is>
          <t>T+60</t>
        </is>
      </c>
      <c r="C24" s="14" t="inlineStr"/>
      <c r="D24" s="14" t="inlineStr">
        <is>
          <t>POC 中间汇报 + 商务洽谈</t>
        </is>
      </c>
      <c r="E24" s="14" t="inlineStr">
        <is>
          <t>POC 报告 / 商务草案</t>
        </is>
      </c>
      <c r="F24" s="14" t="inlineStr">
        <is>
          <t>WeTest 大客户经理</t>
        </is>
      </c>
      <c r="G24" s="14" t="inlineStr">
        <is>
          <t>—</t>
        </is>
      </c>
      <c r="H24" s="14" t="inlineStr">
        <is>
          <t>未开始</t>
        </is>
      </c>
      <c r="I24" s="14" t="inlineStr"/>
    </row>
    <row r="25">
      <c r="A25" s="13" t="inlineStr">
        <is>
          <t>T+90</t>
        </is>
      </c>
      <c r="B25" s="13" t="inlineStr">
        <is>
          <t>T+90</t>
        </is>
      </c>
      <c r="C25" s="13" t="inlineStr"/>
      <c r="D25" s="13" t="inlineStr">
        <is>
          <t>首单签订 + 复盘 + 下一场迭代</t>
        </is>
      </c>
      <c r="E25" s="13" t="inlineStr">
        <is>
          <t>合同 / 收单复盘报告</t>
        </is>
      </c>
      <c r="F25" s="13" t="inlineStr">
        <is>
          <t>WeTest 行业总监</t>
        </is>
      </c>
      <c r="G25" s="13" t="inlineStr">
        <is>
          <t>三方</t>
        </is>
      </c>
      <c r="H25" s="13" t="inlineStr">
        <is>
          <t>未开始</t>
        </is>
      </c>
      <c r="I25" s="13" t="inlineStr">
        <is>
          <t>★ 收单截止</t>
        </is>
      </c>
    </row>
  </sheetData>
  <mergeCells count="2">
    <mergeCell ref="A1:I1"/>
    <mergeCell ref="A2:I2"/>
  </mergeCells>
  <dataValidations count="1">
    <dataValidation sqref="H5:H25" showDropDown="0" showInputMessage="0" showErrorMessage="0" allowBlank="1" type="list">
      <formula1>"未开始,进行中,已完成,延期,风险"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22" customWidth="1" min="9" max="9"/>
    <col width="14" customWidth="1" min="10" max="10"/>
    <col width="28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  <col width="14" customWidth="1" min="18" max="18"/>
    <col width="22" customWidth="1" min="19" max="19"/>
  </cols>
  <sheetData>
    <row r="1" ht="36" customHeight="1">
      <c r="A1" s="1" t="inlineStr">
        <is>
          <t>邀约名单与到场跟踪（75 人邀请池 → 25 人到场）</t>
        </is>
      </c>
    </row>
    <row r="2" ht="20" customHeight="1">
      <c r="A2" s="2" t="inlineStr">
        <is>
          <t>每人均需有 Owner、首轮触达日、确认状态、行业标签</t>
        </is>
      </c>
    </row>
    <row r="3">
      <c r="A3" s="15" t="inlineStr">
        <is>
          <t>实时统计： 邀请数 =COUNTA(B5:B84)   |   已确认 =COUNTIF(O5:O84,"已确认")   |   到场 =COUNTIF(P5:P84,"到场")   |   A 级 =COUNTIF(R5:R84,"A · 高优")</t>
        </is>
      </c>
    </row>
    <row r="4" ht="26" customHeight="1">
      <c r="A4" s="7" t="inlineStr">
        <is>
          <t>#</t>
        </is>
      </c>
      <c r="B4" s="7" t="inlineStr">
        <is>
          <t>公司名称</t>
        </is>
      </c>
      <c r="C4" s="7" t="inlineStr">
        <is>
          <t>行业</t>
        </is>
      </c>
      <c r="D4" s="7" t="inlineStr">
        <is>
          <t>公司类型</t>
        </is>
      </c>
      <c r="E4" s="7" t="inlineStr">
        <is>
          <t>客户来源</t>
        </is>
      </c>
      <c r="F4" s="7" t="inlineStr">
        <is>
          <t>客户姓名</t>
        </is>
      </c>
      <c r="G4" s="7" t="inlineStr">
        <is>
          <t>职位/层级</t>
        </is>
      </c>
      <c r="H4" s="7" t="inlineStr">
        <is>
          <t>决策权</t>
        </is>
      </c>
      <c r="I4" s="7" t="inlineStr">
        <is>
          <t>联系方式</t>
        </is>
      </c>
      <c r="J4" s="7" t="inlineStr">
        <is>
          <t>诉求标签（出海/入华）</t>
        </is>
      </c>
      <c r="K4" s="7" t="inlineStr">
        <is>
          <t>诉求摘要</t>
        </is>
      </c>
      <c r="L4" s="7" t="inlineStr">
        <is>
          <t>Owner（邀请人）</t>
        </is>
      </c>
      <c r="M4" s="7" t="inlineStr">
        <is>
          <t>首轮触达日</t>
        </is>
      </c>
      <c r="N4" s="7" t="inlineStr">
        <is>
          <t>二轮确认日</t>
        </is>
      </c>
      <c r="O4" s="7" t="inlineStr">
        <is>
          <t>确认状态</t>
        </is>
      </c>
      <c r="P4" s="7" t="inlineStr">
        <is>
          <t>实际到场</t>
        </is>
      </c>
      <c r="Q4" s="7" t="inlineStr">
        <is>
          <t>现场行为标签</t>
        </is>
      </c>
      <c r="R4" s="7" t="inlineStr">
        <is>
          <t>ABC 分级（会后）</t>
        </is>
      </c>
      <c r="S4" s="7" t="inlineStr">
        <is>
          <t>备注</t>
        </is>
      </c>
    </row>
    <row r="5">
      <c r="A5" s="13" t="n">
        <v>1</v>
      </c>
      <c r="B5" s="13" t="inlineStr">
        <is>
          <t>示例 · A 出海游戏公司</t>
        </is>
      </c>
      <c r="C5" s="13" t="inlineStr">
        <is>
          <t>游戏</t>
        </is>
      </c>
      <c r="D5" s="13" t="inlineStr">
        <is>
          <t>中资出海</t>
        </is>
      </c>
      <c r="E5" s="13" t="inlineStr">
        <is>
          <t>WeTest 销售</t>
        </is>
      </c>
      <c r="F5" s="13" t="inlineStr">
        <is>
          <t>张总</t>
        </is>
      </c>
      <c r="G5" s="13" t="inlineStr">
        <is>
          <t>CTO</t>
        </is>
      </c>
      <c r="H5" s="13" t="inlineStr">
        <is>
          <t>拍板</t>
        </is>
      </c>
      <c r="I5" s="13" t="inlineStr">
        <is>
          <t>13800000000 / zhang@a.com</t>
        </is>
      </c>
      <c r="J5" s="13" t="inlineStr">
        <is>
          <t>出海日本</t>
        </is>
      </c>
      <c r="K5" s="13" t="inlineStr">
        <is>
          <t>日本市场首发 / 弱网 / 真金支付</t>
        </is>
      </c>
      <c r="L5" s="13" t="inlineStr">
        <is>
          <t>WeTest-王经理</t>
        </is>
      </c>
      <c r="M5" s="13" t="inlineStr"/>
      <c r="N5" s="13" t="inlineStr"/>
      <c r="O5" s="13" t="inlineStr">
        <is>
          <t>未确认</t>
        </is>
      </c>
      <c r="P5" s="13" t="inlineStr">
        <is>
          <t>未确认</t>
        </is>
      </c>
      <c r="Q5" s="13" t="inlineStr"/>
      <c r="R5" s="13" t="inlineStr"/>
      <c r="S5" s="13" t="inlineStr">
        <is>
          <t>提前 1 周锁定</t>
        </is>
      </c>
    </row>
    <row r="6">
      <c r="A6" s="14" t="n">
        <v>2</v>
      </c>
      <c r="B6" s="14" t="inlineStr">
        <is>
          <t>示例 · B 跨境支付</t>
        </is>
      </c>
      <c r="C6" s="14" t="inlineStr">
        <is>
          <t>金融</t>
        </is>
      </c>
      <c r="D6" s="14" t="inlineStr">
        <is>
          <t>中资出海</t>
        </is>
      </c>
      <c r="E6" s="14" t="inlineStr">
        <is>
          <t>协会会员</t>
        </is>
      </c>
      <c r="F6" s="14" t="inlineStr">
        <is>
          <t>李总</t>
        </is>
      </c>
      <c r="G6" s="14" t="inlineStr">
        <is>
          <t>CIO</t>
        </is>
      </c>
      <c r="H6" s="14" t="inlineStr">
        <is>
          <t>强影响</t>
        </is>
      </c>
      <c r="I6" s="14" t="inlineStr">
        <is>
          <t>13900000000</t>
        </is>
      </c>
      <c r="J6" s="14" t="inlineStr">
        <is>
          <t>出海日本</t>
        </is>
      </c>
      <c r="K6" s="14" t="inlineStr">
        <is>
          <t>数据跨境合规 + 风控</t>
        </is>
      </c>
      <c r="L6" s="14" t="inlineStr">
        <is>
          <t>协会-赵秘书</t>
        </is>
      </c>
      <c r="M6" s="14" t="inlineStr"/>
      <c r="N6" s="14" t="inlineStr"/>
      <c r="O6" s="14" t="inlineStr">
        <is>
          <t>未确认</t>
        </is>
      </c>
      <c r="P6" s="14" t="inlineStr">
        <is>
          <t>未确认</t>
        </is>
      </c>
      <c r="Q6" s="14" t="inlineStr"/>
      <c r="R6" s="14" t="inlineStr"/>
      <c r="S6" s="14" t="inlineStr"/>
    </row>
    <row r="7">
      <c r="A7" s="13" t="n">
        <v>3</v>
      </c>
      <c r="B7" s="13" t="inlineStr">
        <is>
          <t>示例 · 日本 C 零售</t>
        </is>
      </c>
      <c r="C7" s="13" t="inlineStr">
        <is>
          <t>电商/零售</t>
        </is>
      </c>
      <c r="D7" s="13" t="inlineStr">
        <is>
          <t>日资入华</t>
        </is>
      </c>
      <c r="E7" s="13" t="inlineStr">
        <is>
          <t>临港招商</t>
        </is>
      </c>
      <c r="F7" s="13" t="inlineStr">
        <is>
          <t>Tanaka</t>
        </is>
      </c>
      <c r="G7" s="13" t="inlineStr">
        <is>
          <t>中国区总经理</t>
        </is>
      </c>
      <c r="H7" s="13" t="inlineStr">
        <is>
          <t>拍板</t>
        </is>
      </c>
      <c r="I7" s="13" t="inlineStr">
        <is>
          <t>tanaka@c.jp</t>
        </is>
      </c>
      <c r="J7" s="13" t="inlineStr">
        <is>
          <t>入华</t>
        </is>
      </c>
      <c r="K7" s="13" t="inlineStr">
        <is>
          <t>小程序生态 / 微信支付合规</t>
        </is>
      </c>
      <c r="L7" s="13" t="inlineStr">
        <is>
          <t>临港-陈顾问</t>
        </is>
      </c>
      <c r="M7" s="13" t="inlineStr"/>
      <c r="N7" s="13" t="inlineStr"/>
      <c r="O7" s="13" t="inlineStr">
        <is>
          <t>未确认</t>
        </is>
      </c>
      <c r="P7" s="13" t="inlineStr">
        <is>
          <t>未确认</t>
        </is>
      </c>
      <c r="Q7" s="13" t="inlineStr"/>
      <c r="R7" s="13" t="inlineStr"/>
      <c r="S7" s="13" t="inlineStr">
        <is>
          <t>日语对接</t>
        </is>
      </c>
    </row>
    <row r="8">
      <c r="A8" s="16" t="n">
        <v>4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</row>
    <row r="9">
      <c r="A9" s="18" t="n">
        <v>5</v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</row>
    <row r="10">
      <c r="A10" s="16" t="n">
        <v>6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</row>
    <row r="11">
      <c r="A11" s="18" t="n">
        <v>7</v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</row>
    <row r="12">
      <c r="A12" s="16" t="n">
        <v>8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</row>
    <row r="13">
      <c r="A13" s="18" t="n">
        <v>9</v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</row>
    <row r="14">
      <c r="A14" s="16" t="n">
        <v>10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</row>
    <row r="15">
      <c r="A15" s="18" t="n">
        <v>11</v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</row>
    <row r="16">
      <c r="A16" s="16" t="n">
        <v>12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</row>
    <row r="17">
      <c r="A17" s="18" t="n">
        <v>13</v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</row>
    <row r="18">
      <c r="A18" s="16" t="n">
        <v>14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</row>
    <row r="19">
      <c r="A19" s="18" t="n">
        <v>15</v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</row>
    <row r="20">
      <c r="A20" s="16" t="n">
        <v>16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</row>
    <row r="21">
      <c r="A21" s="18" t="n">
        <v>17</v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</row>
    <row r="22">
      <c r="A22" s="16" t="n">
        <v>18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</row>
    <row r="23">
      <c r="A23" s="18" t="n">
        <v>19</v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</row>
    <row r="24">
      <c r="A24" s="16" t="n">
        <v>20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</row>
    <row r="25">
      <c r="A25" s="18" t="n">
        <v>21</v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</row>
    <row r="26">
      <c r="A26" s="16" t="n">
        <v>22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</row>
    <row r="27">
      <c r="A27" s="18" t="n">
        <v>23</v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</row>
    <row r="28">
      <c r="A28" s="16" t="n">
        <v>24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</row>
    <row r="29">
      <c r="A29" s="18" t="n">
        <v>25</v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</row>
    <row r="30">
      <c r="A30" s="16" t="n">
        <v>26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</row>
    <row r="31">
      <c r="A31" s="18" t="n">
        <v>27</v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</row>
    <row r="32">
      <c r="A32" s="16" t="n">
        <v>28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</row>
    <row r="33">
      <c r="A33" s="18" t="n">
        <v>29</v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</row>
    <row r="34">
      <c r="A34" s="16" t="n">
        <v>30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</row>
    <row r="35">
      <c r="A35" s="18" t="n">
        <v>31</v>
      </c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</row>
    <row r="36">
      <c r="A36" s="16" t="n">
        <v>32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</row>
    <row r="37">
      <c r="A37" s="18" t="n">
        <v>33</v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</row>
    <row r="38">
      <c r="A38" s="16" t="n">
        <v>34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</row>
    <row r="39">
      <c r="A39" s="18" t="n">
        <v>35</v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</row>
    <row r="40">
      <c r="A40" s="16" t="n">
        <v>36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</row>
    <row r="41">
      <c r="A41" s="18" t="n">
        <v>37</v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</row>
    <row r="42">
      <c r="A42" s="16" t="n">
        <v>38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</row>
    <row r="43">
      <c r="A43" s="18" t="n">
        <v>39</v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</row>
    <row r="44">
      <c r="A44" s="16" t="n">
        <v>40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</row>
    <row r="45">
      <c r="A45" s="18" t="n">
        <v>41</v>
      </c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</row>
    <row r="46">
      <c r="A46" s="16" t="n">
        <v>42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</row>
    <row r="47">
      <c r="A47" s="18" t="n">
        <v>43</v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</row>
    <row r="48">
      <c r="A48" s="16" t="n">
        <v>44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</row>
    <row r="49">
      <c r="A49" s="18" t="n">
        <v>45</v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</row>
    <row r="50">
      <c r="A50" s="16" t="n">
        <v>46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</row>
    <row r="51">
      <c r="A51" s="18" t="n">
        <v>47</v>
      </c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</row>
    <row r="52">
      <c r="A52" s="16" t="n">
        <v>48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</row>
    <row r="53">
      <c r="A53" s="18" t="n">
        <v>49</v>
      </c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</row>
    <row r="54">
      <c r="A54" s="16" t="n">
        <v>50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</row>
    <row r="55">
      <c r="A55" s="18" t="n">
        <v>51</v>
      </c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</row>
    <row r="56">
      <c r="A56" s="16" t="n">
        <v>52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</row>
    <row r="57">
      <c r="A57" s="18" t="n">
        <v>53</v>
      </c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</row>
    <row r="58">
      <c r="A58" s="16" t="n">
        <v>54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</row>
    <row r="59">
      <c r="A59" s="18" t="n">
        <v>55</v>
      </c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</row>
    <row r="60">
      <c r="A60" s="16" t="n">
        <v>56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</row>
    <row r="61">
      <c r="A61" s="18" t="n">
        <v>57</v>
      </c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</row>
    <row r="62">
      <c r="A62" s="16" t="n">
        <v>58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</row>
    <row r="63">
      <c r="A63" s="18" t="n">
        <v>59</v>
      </c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</row>
    <row r="64">
      <c r="A64" s="16" t="n">
        <v>60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</row>
    <row r="65">
      <c r="A65" s="18" t="n">
        <v>61</v>
      </c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</row>
    <row r="66">
      <c r="A66" s="16" t="n">
        <v>62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</row>
    <row r="67">
      <c r="A67" s="18" t="n">
        <v>63</v>
      </c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</row>
    <row r="68">
      <c r="A68" s="16" t="n">
        <v>64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</row>
    <row r="69">
      <c r="A69" s="18" t="n">
        <v>65</v>
      </c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</row>
    <row r="70">
      <c r="A70" s="16" t="n">
        <v>66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</row>
    <row r="71">
      <c r="A71" s="18" t="n">
        <v>67</v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</row>
    <row r="72">
      <c r="A72" s="16" t="n">
        <v>68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</row>
    <row r="73">
      <c r="A73" s="18" t="n">
        <v>69</v>
      </c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</row>
    <row r="74">
      <c r="A74" s="16" t="n">
        <v>70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</row>
    <row r="75">
      <c r="A75" s="18" t="n">
        <v>71</v>
      </c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</row>
    <row r="76">
      <c r="A76" s="16" t="n">
        <v>72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</row>
    <row r="77">
      <c r="A77" s="18" t="n">
        <v>73</v>
      </c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</row>
    <row r="78">
      <c r="A78" s="16" t="n">
        <v>74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</row>
    <row r="79">
      <c r="A79" s="18" t="n">
        <v>75</v>
      </c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</row>
    <row r="80">
      <c r="A80" s="16" t="n">
        <v>76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</row>
    <row r="81">
      <c r="A81" s="18" t="n">
        <v>77</v>
      </c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</row>
    <row r="82">
      <c r="A82" s="16" t="n">
        <v>78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</row>
    <row r="83">
      <c r="A83" s="18" t="n">
        <v>79</v>
      </c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</row>
    <row r="84">
      <c r="A84" s="16" t="n">
        <v>80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</row>
  </sheetData>
  <mergeCells count="3">
    <mergeCell ref="A3:S3"/>
    <mergeCell ref="A2:S2"/>
    <mergeCell ref="A1:S1"/>
  </mergeCells>
  <conditionalFormatting sqref="O5:O84">
    <cfRule type="cellIs" priority="1" operator="equal" dxfId="5">
      <formula>"已确认"</formula>
    </cfRule>
    <cfRule type="cellIs" priority="2" operator="equal" dxfId="4">
      <formula>"婉拒"</formula>
    </cfRule>
  </conditionalFormatting>
  <conditionalFormatting sqref="P5:P84">
    <cfRule type="cellIs" priority="3" operator="equal" dxfId="5">
      <formula>"到场"</formula>
    </cfRule>
  </conditionalFormatting>
  <conditionalFormatting sqref="R5:R84">
    <cfRule type="cellIs" priority="4" operator="equal" dxfId="6">
      <formula>"A · 高优"</formula>
    </cfRule>
  </conditionalFormatting>
  <dataValidations count="7">
    <dataValidation sqref="C5:C84" showDropDown="0" showInputMessage="0" showErrorMessage="0" allowBlank="1" type="list">
      <formula1>"金融,游戏,电商/零售,泛互联网,其他"</formula1>
    </dataValidation>
    <dataValidation sqref="D5:D84" showDropDown="0" showInputMessage="0" showErrorMessage="0" allowBlank="1" type="list">
      <formula1>"中资出海,日资入华,在华日资,其他"</formula1>
    </dataValidation>
    <dataValidation sqref="E5:E84" showDropDown="0" showInputMessage="0" showErrorMessage="0" allowBlank="1" type="list">
      <formula1>"协会会员,临港招商,WeTest 销售,合作伙伴,媒体推荐"</formula1>
    </dataValidation>
    <dataValidation sqref="H5:H84" showDropDown="0" showInputMessage="0" showErrorMessage="0" allowBlank="1" type="list">
      <formula1>"拍板,强影响,弱影响,信息收集"</formula1>
    </dataValidation>
    <dataValidation sqref="O5:O84" showDropDown="0" showInputMessage="0" showErrorMessage="0" allowBlank="1" type="list">
      <formula1>"未确认,已确认,婉拒,改派,缺席"</formula1>
    </dataValidation>
    <dataValidation sqref="P5:P84" showDropDown="0" showInputMessage="0" showErrorMessage="0" allowBlank="1" type="list">
      <formula1>"未到,到场,迟到,提前离场"</formula1>
    </dataValidation>
    <dataValidation sqref="R5:R84" showDropDown="0" showInputMessage="0" showErrorMessage="0" allowBlank="1" type="list">
      <formula1>"A · 高优,B · 中优,C · 培育,未分级"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2" customWidth="1" min="4" max="4"/>
    <col width="14" customWidth="1" min="5" max="5"/>
    <col width="14" customWidth="1" min="6" max="6"/>
    <col width="22" customWidth="1" min="7" max="7"/>
    <col width="12" customWidth="1" min="8" max="8"/>
  </cols>
  <sheetData>
    <row r="1" ht="36" customHeight="1">
      <c r="A1" s="1" t="inlineStr">
        <is>
          <t>嘉宾阵容 &amp; 半日议程</t>
        </is>
      </c>
    </row>
    <row r="2" ht="20" customHeight="1">
      <c r="A2" s="2" t="inlineStr">
        <is>
          <t>对应 Word/PPT，进一步细化执行</t>
        </is>
      </c>
    </row>
    <row r="4" ht="24" customHeight="1">
      <c r="A4" s="3" t="inlineStr">
        <is>
          <t>A. 半日议程</t>
        </is>
      </c>
    </row>
    <row r="5" ht="26" customHeight="1">
      <c r="A5" s="7" t="inlineStr">
        <is>
          <t>时间</t>
        </is>
      </c>
      <c r="B5" s="7" t="inlineStr">
        <is>
          <t>环节</t>
        </is>
      </c>
      <c r="C5" s="7" t="inlineStr">
        <is>
          <t>内容</t>
        </is>
      </c>
      <c r="D5" s="7" t="inlineStr">
        <is>
          <t>主讲/主持</t>
        </is>
      </c>
      <c r="E5" s="7" t="inlineStr">
        <is>
          <t>时长(分钟)</t>
        </is>
      </c>
      <c r="F5" s="7" t="inlineStr">
        <is>
          <t>物料</t>
        </is>
      </c>
      <c r="G5" s="7" t="inlineStr">
        <is>
          <t>转化触点</t>
        </is>
      </c>
      <c r="H5" s="7" t="inlineStr">
        <is>
          <t>Owner</t>
        </is>
      </c>
    </row>
    <row r="6">
      <c r="A6" s="13" t="inlineStr">
        <is>
          <t>13:00-13:30</t>
        </is>
      </c>
      <c r="B6" s="13" t="inlineStr">
        <is>
          <t>签到 &amp; 茶歇</t>
        </is>
      </c>
      <c r="C6" s="13" t="inlineStr">
        <is>
          <t>扫码进群 + 行业标签 + 1V1 破冰</t>
        </is>
      </c>
      <c r="D6" s="13" t="inlineStr">
        <is>
          <t>礼仪 + 协会会务</t>
        </is>
      </c>
      <c r="E6" s="13" t="n">
        <v>30</v>
      </c>
      <c r="F6" s="13" t="inlineStr">
        <is>
          <t>二维码 / 签到表 / 名片夹</t>
        </is>
      </c>
      <c r="G6" s="13" t="inlineStr">
        <is>
          <t>采集联系方式 + 行业标签</t>
        </is>
      </c>
      <c r="H6" s="13" t="inlineStr">
        <is>
          <t>协会</t>
        </is>
      </c>
    </row>
    <row r="7">
      <c r="A7" s="14" t="inlineStr">
        <is>
          <t>13:30-14:30</t>
        </is>
      </c>
      <c r="B7" s="14" t="inlineStr">
        <is>
          <t>产业探访</t>
        </is>
      </c>
      <c r="C7" s="14" t="inlineStr">
        <is>
          <t>临港集团 + 科技城展厅参观 + 政策初探</t>
        </is>
      </c>
      <c r="D7" s="14" t="inlineStr">
        <is>
          <t>临港招商</t>
        </is>
      </c>
      <c r="E7" s="14" t="n">
        <v>60</v>
      </c>
      <c r="F7" s="14" t="inlineStr">
        <is>
          <t>讲解器 / 政策手册</t>
        </is>
      </c>
      <c r="G7" s="14" t="inlineStr">
        <is>
          <t>建立政策势能</t>
        </is>
      </c>
      <c r="H7" s="14" t="inlineStr">
        <is>
          <t>临港</t>
        </is>
      </c>
    </row>
    <row r="8">
      <c r="A8" s="13" t="inlineStr">
        <is>
          <t>14:30-15:10</t>
        </is>
      </c>
      <c r="B8" s="13" t="inlineStr">
        <is>
          <t>宏观指引</t>
        </is>
      </c>
      <c r="C8" s="13" t="inlineStr">
        <is>
          <t>中日数字贸易趋势 + 临港自贸区跨国壁垒</t>
        </is>
      </c>
      <c r="D8" s="13" t="inlineStr">
        <is>
          <t>姚志勇教授（拟邀）</t>
        </is>
      </c>
      <c r="E8" s="13" t="n">
        <v>40</v>
      </c>
      <c r="F8" s="13" t="inlineStr">
        <is>
          <t>PPT / 笔记本</t>
        </is>
      </c>
      <c r="G8" s="13" t="inlineStr">
        <is>
          <t>权威认知背书</t>
        </is>
      </c>
      <c r="H8" s="13" t="inlineStr">
        <is>
          <t>协会</t>
        </is>
      </c>
    </row>
    <row r="9">
      <c r="A9" s="14" t="inlineStr">
        <is>
          <t>15:10-15:50</t>
        </is>
      </c>
      <c r="B9" s="14" t="inlineStr">
        <is>
          <t>技术落地</t>
        </is>
      </c>
      <c r="C9" s="14" t="inlineStr">
        <is>
          <t>WeTest 中日跨国高质量交付与安全合规</t>
        </is>
      </c>
      <c r="D9" s="14" t="inlineStr">
        <is>
          <t>WeTest 业务线代表</t>
        </is>
      </c>
      <c r="E9" s="14" t="n">
        <v>40</v>
      </c>
      <c r="F9" s="14" t="inlineStr">
        <is>
          <t>PPT / Demo 设备 / 案例 / 限时权益券</t>
        </is>
      </c>
      <c r="G9" s="14" t="inlineStr">
        <is>
          <t>★ Demo + 案例 + 转化</t>
        </is>
      </c>
      <c r="H9" s="14" t="inlineStr">
        <is>
          <t>WeTest</t>
        </is>
      </c>
    </row>
    <row r="10">
      <c r="A10" s="13" t="inlineStr">
        <is>
          <t>15:50-16:30</t>
        </is>
      </c>
      <c r="B10" s="13" t="inlineStr">
        <is>
          <t>闭门圆桌</t>
        </is>
      </c>
      <c r="C10" s="13" t="inlineStr">
        <is>
          <t>议题：双向拓展最大的本地化阻碍是什么？</t>
        </is>
      </c>
      <c r="D10" s="13" t="inlineStr">
        <is>
          <t>WeTest 行业总监 主持</t>
        </is>
      </c>
      <c r="E10" s="13" t="n">
        <v>40</v>
      </c>
      <c r="F10" s="13" t="inlineStr">
        <is>
          <t>议题卡 / 议程纪要本</t>
        </is>
      </c>
      <c r="G10" s="13" t="inlineStr">
        <is>
          <t>★ 1V1 资源对接 + 合作意向</t>
        </is>
      </c>
      <c r="H10" s="13" t="inlineStr">
        <is>
          <t>WeTest</t>
        </is>
      </c>
    </row>
    <row r="11">
      <c r="A11" s="14" t="inlineStr">
        <is>
          <t>16:30-18:00</t>
        </is>
      </c>
      <c r="B11" s="14" t="inlineStr">
        <is>
          <t>晚间深聊</t>
        </is>
      </c>
      <c r="C11" s="14" t="inlineStr">
        <is>
          <t>Networking + 高优客户 1V1 30 分钟</t>
        </is>
      </c>
      <c r="D11" s="14" t="inlineStr">
        <is>
          <t>WeTest 销售 + 临港顾问</t>
        </is>
      </c>
      <c r="E11" s="14" t="n">
        <v>90</v>
      </c>
      <c r="F11" s="14" t="inlineStr">
        <is>
          <t>伴手礼 / 咨询券</t>
        </is>
      </c>
      <c r="G11" s="14" t="inlineStr">
        <is>
          <t>★ 线索→机会 升级</t>
        </is>
      </c>
      <c r="H11" s="14" t="inlineStr">
        <is>
          <t>WeTest</t>
        </is>
      </c>
    </row>
    <row r="14" ht="24" customHeight="1">
      <c r="A14" s="6" t="inlineStr">
        <is>
          <t>B. 嘉宾阵容</t>
        </is>
      </c>
    </row>
    <row r="15" ht="26" customHeight="1">
      <c r="A15" s="7" t="inlineStr">
        <is>
          <t>环节</t>
        </is>
      </c>
      <c r="B15" s="7" t="inlineStr">
        <is>
          <t>拟邀嘉宾</t>
        </is>
      </c>
      <c r="C15" s="7" t="inlineStr">
        <is>
          <t>身份</t>
        </is>
      </c>
      <c r="D15" s="7" t="inlineStr">
        <is>
          <t>联系方式</t>
        </is>
      </c>
      <c r="E15" s="7" t="inlineStr">
        <is>
          <t>确认状态</t>
        </is>
      </c>
      <c r="F15" s="7" t="inlineStr">
        <is>
          <t>PPT 截止日</t>
        </is>
      </c>
      <c r="G15" s="7" t="inlineStr">
        <is>
          <t>Backup</t>
        </is>
      </c>
      <c r="H15" s="7" t="inlineStr">
        <is>
          <t>Owner</t>
        </is>
      </c>
    </row>
    <row r="16">
      <c r="A16" s="13" t="inlineStr">
        <is>
          <t>开场致辞</t>
        </is>
      </c>
      <c r="B16" s="13" t="inlineStr">
        <is>
          <t>临港科技城高管</t>
        </is>
      </c>
      <c r="C16" s="13" t="inlineStr">
        <is>
          <t>联合主办</t>
        </is>
      </c>
      <c r="D16" s="13" t="inlineStr"/>
      <c r="E16" s="13" t="inlineStr">
        <is>
          <t>未确认</t>
        </is>
      </c>
      <c r="F16" s="13" t="inlineStr">
        <is>
          <t>T-3</t>
        </is>
      </c>
      <c r="G16" s="13" t="inlineStr">
        <is>
          <t>协会秘书长</t>
        </is>
      </c>
      <c r="H16" s="13" t="inlineStr">
        <is>
          <t>协会</t>
        </is>
      </c>
    </row>
    <row r="17">
      <c r="A17" s="14" t="inlineStr">
        <is>
          <t>开场致辞</t>
        </is>
      </c>
      <c r="B17" s="14" t="inlineStr">
        <is>
          <t>上海科技企业协会秘书长</t>
        </is>
      </c>
      <c r="C17" s="14" t="inlineStr">
        <is>
          <t>主办</t>
        </is>
      </c>
      <c r="D17" s="14" t="inlineStr"/>
      <c r="E17" s="14" t="inlineStr">
        <is>
          <t>未确认</t>
        </is>
      </c>
      <c r="F17" s="14" t="inlineStr">
        <is>
          <t>T-3</t>
        </is>
      </c>
      <c r="G17" s="14" t="inlineStr">
        <is>
          <t>—</t>
        </is>
      </c>
      <c r="H17" s="14" t="inlineStr">
        <is>
          <t>协会</t>
        </is>
      </c>
    </row>
    <row r="18">
      <c r="A18" s="13" t="inlineStr">
        <is>
          <t>宏观指引</t>
        </is>
      </c>
      <c r="B18" s="13" t="inlineStr">
        <is>
          <t>姚志勇教授</t>
        </is>
      </c>
      <c r="C18" s="13" t="inlineStr">
        <is>
          <t>学术专家</t>
        </is>
      </c>
      <c r="D18" s="13" t="inlineStr"/>
      <c r="E18" s="13" t="inlineStr">
        <is>
          <t>未确认</t>
        </is>
      </c>
      <c r="F18" s="13" t="inlineStr">
        <is>
          <t>T-7</t>
        </is>
      </c>
      <c r="G18" s="13" t="inlineStr">
        <is>
          <t>同领域权威 1 位</t>
        </is>
      </c>
      <c r="H18" s="13" t="inlineStr">
        <is>
          <t>协会</t>
        </is>
      </c>
    </row>
    <row r="19">
      <c r="A19" s="14" t="inlineStr">
        <is>
          <t>技术落地</t>
        </is>
      </c>
      <c r="B19" s="14" t="inlineStr">
        <is>
          <t>WeTest 业务线代表</t>
        </is>
      </c>
      <c r="C19" s="14" t="inlineStr">
        <is>
          <t>技术专家</t>
        </is>
      </c>
      <c r="D19" s="14" t="inlineStr"/>
      <c r="E19" s="14" t="inlineStr">
        <is>
          <t>未确认</t>
        </is>
      </c>
      <c r="F19" s="14" t="inlineStr">
        <is>
          <t>T-7</t>
        </is>
      </c>
      <c r="G19" s="14" t="inlineStr">
        <is>
          <t>WeTest 技术总监</t>
        </is>
      </c>
      <c r="H19" s="14" t="inlineStr">
        <is>
          <t>WeTest</t>
        </is>
      </c>
    </row>
    <row r="20">
      <c r="A20" s="13" t="inlineStr">
        <is>
          <t>圆桌主持</t>
        </is>
      </c>
      <c r="B20" s="13" t="inlineStr">
        <is>
          <t>WeTest 行业总监</t>
        </is>
      </c>
      <c r="C20" s="13" t="inlineStr">
        <is>
          <t>圆桌主持</t>
        </is>
      </c>
      <c r="D20" s="13" t="inlineStr"/>
      <c r="E20" s="13" t="inlineStr">
        <is>
          <t>未确认</t>
        </is>
      </c>
      <c r="F20" s="13" t="inlineStr">
        <is>
          <t>T-3</t>
        </is>
      </c>
      <c r="G20" s="13" t="inlineStr">
        <is>
          <t>WeTest CSO</t>
        </is>
      </c>
      <c r="H20" s="13" t="inlineStr">
        <is>
          <t>WeTest</t>
        </is>
      </c>
    </row>
    <row r="21">
      <c r="A21" s="14" t="inlineStr">
        <is>
          <t>圆桌嘉宾</t>
        </is>
      </c>
      <c r="B21" s="14" t="inlineStr">
        <is>
          <t>金融行业 C 级 1 位</t>
        </is>
      </c>
      <c r="C21" s="14" t="inlineStr">
        <is>
          <t>客户代表</t>
        </is>
      </c>
      <c r="D21" s="14" t="inlineStr"/>
      <c r="E21" s="14" t="inlineStr">
        <is>
          <t>未确认</t>
        </is>
      </c>
      <c r="F21" s="14" t="inlineStr">
        <is>
          <t>T-5</t>
        </is>
      </c>
      <c r="G21" s="14" t="inlineStr">
        <is>
          <t>—</t>
        </is>
      </c>
      <c r="H21" s="14" t="inlineStr">
        <is>
          <t>WeTest</t>
        </is>
      </c>
    </row>
    <row r="22">
      <c r="A22" s="13" t="inlineStr">
        <is>
          <t>圆桌嘉宾</t>
        </is>
      </c>
      <c r="B22" s="13" t="inlineStr">
        <is>
          <t>游戏行业 C 级 1 位</t>
        </is>
      </c>
      <c r="C22" s="13" t="inlineStr">
        <is>
          <t>客户代表</t>
        </is>
      </c>
      <c r="D22" s="13" t="inlineStr"/>
      <c r="E22" s="13" t="inlineStr">
        <is>
          <t>未确认</t>
        </is>
      </c>
      <c r="F22" s="13" t="inlineStr">
        <is>
          <t>T-5</t>
        </is>
      </c>
      <c r="G22" s="13" t="inlineStr">
        <is>
          <t>—</t>
        </is>
      </c>
      <c r="H22" s="13" t="inlineStr">
        <is>
          <t>WeTest</t>
        </is>
      </c>
    </row>
    <row r="23">
      <c r="A23" s="14" t="inlineStr">
        <is>
          <t>圆桌嘉宾</t>
        </is>
      </c>
      <c r="B23" s="14" t="inlineStr">
        <is>
          <t>电商行业 C 级 1 位</t>
        </is>
      </c>
      <c r="C23" s="14" t="inlineStr">
        <is>
          <t>客户代表</t>
        </is>
      </c>
      <c r="D23" s="14" t="inlineStr"/>
      <c r="E23" s="14" t="inlineStr">
        <is>
          <t>未确认</t>
        </is>
      </c>
      <c r="F23" s="14" t="inlineStr">
        <is>
          <t>T-5</t>
        </is>
      </c>
      <c r="G23" s="14" t="inlineStr">
        <is>
          <t>—</t>
        </is>
      </c>
      <c r="H23" s="14" t="inlineStr">
        <is>
          <t>WeTest</t>
        </is>
      </c>
    </row>
    <row r="24">
      <c r="A24" s="13" t="inlineStr">
        <is>
          <t>圆桌嘉宾</t>
        </is>
      </c>
      <c r="B24" s="13" t="inlineStr">
        <is>
          <t>泛互联网行业 C 级 1 位</t>
        </is>
      </c>
      <c r="C24" s="13" t="inlineStr">
        <is>
          <t>客户代表</t>
        </is>
      </c>
      <c r="D24" s="13" t="inlineStr"/>
      <c r="E24" s="13" t="inlineStr">
        <is>
          <t>未确认</t>
        </is>
      </c>
      <c r="F24" s="13" t="inlineStr">
        <is>
          <t>T-5</t>
        </is>
      </c>
      <c r="G24" s="13" t="inlineStr">
        <is>
          <t>—</t>
        </is>
      </c>
      <c r="H24" s="13" t="inlineStr">
        <is>
          <t>WeTest</t>
        </is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 ht="36" customHeight="1">
      <c r="A1" s="1" t="inlineStr">
        <is>
          <t>现场物资清单与分工</t>
        </is>
      </c>
    </row>
    <row r="2" ht="20" customHeight="1">
      <c r="A2" s="2" t="inlineStr">
        <is>
          <t>T-3 彩排前完成全部 ✔</t>
        </is>
      </c>
    </row>
    <row r="4" ht="26" customHeight="1">
      <c r="A4" s="7" t="inlineStr">
        <is>
          <t>分类</t>
        </is>
      </c>
      <c r="B4" s="7" t="inlineStr">
        <is>
          <t>物资/工作项</t>
        </is>
      </c>
      <c r="C4" s="7" t="inlineStr">
        <is>
          <t>数量/规格</t>
        </is>
      </c>
      <c r="D4" s="7" t="inlineStr">
        <is>
          <t>供应方/Owner</t>
        </is>
      </c>
      <c r="E4" s="7" t="inlineStr">
        <is>
          <t>采购截止</t>
        </is>
      </c>
      <c r="F4" s="7" t="inlineStr">
        <is>
          <t>到场时间</t>
        </is>
      </c>
      <c r="G4" s="7" t="inlineStr">
        <is>
          <t>状态</t>
        </is>
      </c>
      <c r="H4" s="7" t="inlineStr">
        <is>
          <t>备注</t>
        </is>
      </c>
    </row>
    <row r="5">
      <c r="A5" s="13" t="inlineStr">
        <is>
          <t>签到</t>
        </is>
      </c>
      <c r="B5" s="13" t="inlineStr">
        <is>
          <t>签到台 + 桌牌</t>
        </is>
      </c>
      <c r="C5" s="13" t="inlineStr">
        <is>
          <t>1 套</t>
        </is>
      </c>
      <c r="D5" s="13" t="inlineStr">
        <is>
          <t>协会会务</t>
        </is>
      </c>
      <c r="E5" s="13" t="inlineStr">
        <is>
          <t>T-5</t>
        </is>
      </c>
      <c r="F5" s="13" t="inlineStr">
        <is>
          <t>13:00</t>
        </is>
      </c>
      <c r="G5" s="13" t="inlineStr">
        <is>
          <t>未开始</t>
        </is>
      </c>
      <c r="H5" s="13" t="inlineStr"/>
    </row>
    <row r="6">
      <c r="A6" s="14" t="inlineStr">
        <is>
          <t>签到</t>
        </is>
      </c>
      <c r="B6" s="14" t="inlineStr">
        <is>
          <t>签到二维码 / 行业标签自动打标</t>
        </is>
      </c>
      <c r="C6" s="14" t="inlineStr">
        <is>
          <t>1 套</t>
        </is>
      </c>
      <c r="D6" s="14" t="inlineStr">
        <is>
          <t>WeTest IT</t>
        </is>
      </c>
      <c r="E6" s="14" t="inlineStr">
        <is>
          <t>T-7</t>
        </is>
      </c>
      <c r="F6" s="14" t="inlineStr">
        <is>
          <t>13:00</t>
        </is>
      </c>
      <c r="G6" s="14" t="inlineStr">
        <is>
          <t>未开始</t>
        </is>
      </c>
      <c r="H6" s="14" t="inlineStr">
        <is>
          <t>企微对接</t>
        </is>
      </c>
    </row>
    <row r="7">
      <c r="A7" s="13" t="inlineStr">
        <is>
          <t>签到</t>
        </is>
      </c>
      <c r="B7" s="13" t="inlineStr">
        <is>
          <t>胸卡 + 名片夹</t>
        </is>
      </c>
      <c r="C7" s="13" t="inlineStr">
        <is>
          <t>40 套</t>
        </is>
      </c>
      <c r="D7" s="13" t="inlineStr">
        <is>
          <t>协会会务</t>
        </is>
      </c>
      <c r="E7" s="13" t="inlineStr">
        <is>
          <t>T-5</t>
        </is>
      </c>
      <c r="F7" s="13" t="inlineStr">
        <is>
          <t>13:00</t>
        </is>
      </c>
      <c r="G7" s="13" t="inlineStr">
        <is>
          <t>未开始</t>
        </is>
      </c>
      <c r="H7" s="13" t="inlineStr"/>
    </row>
    <row r="8">
      <c r="A8" s="14" t="inlineStr">
        <is>
          <t>物料</t>
        </is>
      </c>
      <c r="B8" s="14" t="inlineStr">
        <is>
          <t>实体邀请函</t>
        </is>
      </c>
      <c r="C8" s="14" t="inlineStr">
        <is>
          <t>60 份</t>
        </is>
      </c>
      <c r="D8" s="14" t="inlineStr">
        <is>
          <t>协会市场</t>
        </is>
      </c>
      <c r="E8" s="14" t="inlineStr">
        <is>
          <t>T-12</t>
        </is>
      </c>
      <c r="F8" s="14" t="inlineStr">
        <is>
          <t>T-10 寄送</t>
        </is>
      </c>
      <c r="G8" s="14" t="inlineStr">
        <is>
          <t>未开始</t>
        </is>
      </c>
      <c r="H8" s="14" t="inlineStr"/>
    </row>
    <row r="9">
      <c r="A9" s="13" t="inlineStr">
        <is>
          <t>物料</t>
        </is>
      </c>
      <c r="B9" s="13" t="inlineStr">
        <is>
          <t>资料袋（政策手册+方案白皮书+权益券）</t>
        </is>
      </c>
      <c r="C9" s="13" t="inlineStr">
        <is>
          <t>40 套</t>
        </is>
      </c>
      <c r="D9" s="13" t="inlineStr">
        <is>
          <t>三方联制</t>
        </is>
      </c>
      <c r="E9" s="13" t="inlineStr">
        <is>
          <t>T-5</t>
        </is>
      </c>
      <c r="F9" s="13" t="inlineStr">
        <is>
          <t>13:00</t>
        </is>
      </c>
      <c r="G9" s="13" t="inlineStr">
        <is>
          <t>未开始</t>
        </is>
      </c>
      <c r="H9" s="13" t="inlineStr"/>
    </row>
    <row r="10">
      <c r="A10" s="14" t="inlineStr">
        <is>
          <t>物料</t>
        </is>
      </c>
      <c r="B10" s="14" t="inlineStr">
        <is>
          <t>桌签/议程印刷</t>
        </is>
      </c>
      <c r="C10" s="14" t="inlineStr">
        <is>
          <t>30 份</t>
        </is>
      </c>
      <c r="D10" s="14" t="inlineStr">
        <is>
          <t>协会会务</t>
        </is>
      </c>
      <c r="E10" s="14" t="inlineStr">
        <is>
          <t>T-3</t>
        </is>
      </c>
      <c r="F10" s="14" t="inlineStr">
        <is>
          <t>13:00</t>
        </is>
      </c>
      <c r="G10" s="14" t="inlineStr">
        <is>
          <t>未开始</t>
        </is>
      </c>
      <c r="H10" s="14" t="inlineStr"/>
    </row>
    <row r="11">
      <c r="A11" s="13" t="inlineStr">
        <is>
          <t>物料</t>
        </is>
      </c>
      <c r="B11" s="13" t="inlineStr">
        <is>
          <t>伴手礼（C 级专属）</t>
        </is>
      </c>
      <c r="C11" s="13" t="inlineStr">
        <is>
          <t>30 份</t>
        </is>
      </c>
      <c r="D11" s="13" t="inlineStr">
        <is>
          <t>协会市场</t>
        </is>
      </c>
      <c r="E11" s="13" t="inlineStr">
        <is>
          <t>T-7</t>
        </is>
      </c>
      <c r="F11" s="13" t="inlineStr">
        <is>
          <t>13:00</t>
        </is>
      </c>
      <c r="G11" s="13" t="inlineStr">
        <is>
          <t>未开始</t>
        </is>
      </c>
      <c r="H11" s="13" t="inlineStr">
        <is>
          <t>含权益券</t>
        </is>
      </c>
    </row>
    <row r="12">
      <c r="A12" s="14" t="inlineStr">
        <is>
          <t>Demo</t>
        </is>
      </c>
      <c r="B12" s="14" t="inlineStr">
        <is>
          <t>WeTest 体验角真机（含日本节点）</t>
        </is>
      </c>
      <c r="C12" s="14" t="inlineStr">
        <is>
          <t>3 台 + 1 大屏</t>
        </is>
      </c>
      <c r="D12" s="14" t="inlineStr">
        <is>
          <t>WeTest 技术</t>
        </is>
      </c>
      <c r="E12" s="14" t="inlineStr">
        <is>
          <t>T-3</t>
        </is>
      </c>
      <c r="F12" s="14" t="inlineStr">
        <is>
          <t>13:00</t>
        </is>
      </c>
      <c r="G12" s="14" t="inlineStr">
        <is>
          <t>未开始</t>
        </is>
      </c>
      <c r="H12" s="14" t="inlineStr">
        <is>
          <t>★ 关键</t>
        </is>
      </c>
    </row>
    <row r="13">
      <c r="A13" s="13" t="inlineStr">
        <is>
          <t>Demo</t>
        </is>
      </c>
      <c r="B13" s="13" t="inlineStr">
        <is>
          <t>海外众测看板 / CrashSight 面板</t>
        </is>
      </c>
      <c r="C13" s="13" t="inlineStr">
        <is>
          <t>演示账号</t>
        </is>
      </c>
      <c r="D13" s="13" t="inlineStr">
        <is>
          <t>WeTest 技术</t>
        </is>
      </c>
      <c r="E13" s="13" t="inlineStr">
        <is>
          <t>T-3</t>
        </is>
      </c>
      <c r="F13" s="13" t="inlineStr">
        <is>
          <t>13:00</t>
        </is>
      </c>
      <c r="G13" s="13" t="inlineStr">
        <is>
          <t>未开始</t>
        </is>
      </c>
      <c r="H13" s="13" t="inlineStr"/>
    </row>
    <row r="14">
      <c r="A14" s="14" t="inlineStr">
        <is>
          <t>主持</t>
        </is>
      </c>
      <c r="B14" s="14" t="inlineStr">
        <is>
          <t>外部主持人 / 礼仪</t>
        </is>
      </c>
      <c r="C14" s="14" t="inlineStr">
        <is>
          <t>1 主持 + 2 礼仪</t>
        </is>
      </c>
      <c r="D14" s="14" t="inlineStr">
        <is>
          <t>协会市场</t>
        </is>
      </c>
      <c r="E14" s="14" t="inlineStr">
        <is>
          <t>T-7</t>
        </is>
      </c>
      <c r="F14" s="14" t="inlineStr">
        <is>
          <t>12:30</t>
        </is>
      </c>
      <c r="G14" s="14" t="inlineStr">
        <is>
          <t>未开始</t>
        </is>
      </c>
      <c r="H14" s="14" t="inlineStr"/>
    </row>
    <row r="15">
      <c r="A15" s="13" t="inlineStr">
        <is>
          <t>影像</t>
        </is>
      </c>
      <c r="B15" s="13" t="inlineStr">
        <is>
          <t>摄影 + 摄像 + 精剪</t>
        </is>
      </c>
      <c r="C15" s="13" t="inlineStr">
        <is>
          <t>1 组</t>
        </is>
      </c>
      <c r="D15" s="13" t="inlineStr">
        <is>
          <t>协会市场</t>
        </is>
      </c>
      <c r="E15" s="13" t="inlineStr">
        <is>
          <t>T-7</t>
        </is>
      </c>
      <c r="F15" s="13" t="inlineStr">
        <is>
          <t>12:30</t>
        </is>
      </c>
      <c r="G15" s="13" t="inlineStr">
        <is>
          <t>未开始</t>
        </is>
      </c>
      <c r="H15" s="13" t="inlineStr">
        <is>
          <t>闭门禁直播</t>
        </is>
      </c>
    </row>
    <row r="16">
      <c r="A16" s="14" t="inlineStr">
        <is>
          <t>茶歇</t>
        </is>
      </c>
      <c r="B16" s="14" t="inlineStr">
        <is>
          <t>茶歇 + 晚间轻餐</t>
        </is>
      </c>
      <c r="C16" s="14" t="inlineStr">
        <is>
          <t>30 人份</t>
        </is>
      </c>
      <c r="D16" s="14" t="inlineStr">
        <is>
          <t>协会会务</t>
        </is>
      </c>
      <c r="E16" s="14" t="inlineStr">
        <is>
          <t>T-3</t>
        </is>
      </c>
      <c r="F16" s="14" t="inlineStr">
        <is>
          <t>13:00</t>
        </is>
      </c>
      <c r="G16" s="14" t="inlineStr">
        <is>
          <t>未开始</t>
        </is>
      </c>
      <c r="H16" s="14" t="inlineStr"/>
    </row>
    <row r="17">
      <c r="A17" s="13" t="inlineStr">
        <is>
          <t>接待</t>
        </is>
      </c>
      <c r="B17" s="13" t="inlineStr">
        <is>
          <t>C 级 1V1 接送车</t>
        </is>
      </c>
      <c r="C17" s="13" t="inlineStr">
        <is>
          <t>10 车次</t>
        </is>
      </c>
      <c r="D17" s="13" t="inlineStr">
        <is>
          <t>协会 + 临港</t>
        </is>
      </c>
      <c r="E17" s="13" t="inlineStr">
        <is>
          <t>T-5</t>
        </is>
      </c>
      <c r="F17" s="13" t="inlineStr">
        <is>
          <t>—</t>
        </is>
      </c>
      <c r="G17" s="13" t="inlineStr">
        <is>
          <t>未开始</t>
        </is>
      </c>
      <c r="H17" s="13" t="inlineStr"/>
    </row>
    <row r="18">
      <c r="A18" s="14" t="inlineStr">
        <is>
          <t>交付</t>
        </is>
      </c>
      <c r="B18" s="14" t="inlineStr">
        <is>
          <t>圆桌议题卡 / 纪要本</t>
        </is>
      </c>
      <c r="C18" s="14" t="inlineStr">
        <is>
          <t>30 份</t>
        </is>
      </c>
      <c r="D18" s="14" t="inlineStr">
        <is>
          <t>协会会务</t>
        </is>
      </c>
      <c r="E18" s="14" t="inlineStr">
        <is>
          <t>T-3</t>
        </is>
      </c>
      <c r="F18" s="14" t="inlineStr">
        <is>
          <t>13:00</t>
        </is>
      </c>
      <c r="G18" s="14" t="inlineStr">
        <is>
          <t>未开始</t>
        </is>
      </c>
      <c r="H18" s="14" t="inlineStr"/>
    </row>
    <row r="19">
      <c r="A19" s="13" t="inlineStr">
        <is>
          <t>IT</t>
        </is>
      </c>
      <c r="B19" s="13" t="inlineStr">
        <is>
          <t>现场 Wi-Fi + 备用 4G/5G</t>
        </is>
      </c>
      <c r="C19" s="13" t="inlineStr">
        <is>
          <t>1 套</t>
        </is>
      </c>
      <c r="D19" s="13" t="inlineStr">
        <is>
          <t>临港 + WeTest</t>
        </is>
      </c>
      <c r="E19" s="13" t="inlineStr">
        <is>
          <t>T-1</t>
        </is>
      </c>
      <c r="F19" s="13" t="inlineStr">
        <is>
          <t>12:30</t>
        </is>
      </c>
      <c r="G19" s="13" t="inlineStr">
        <is>
          <t>未开始</t>
        </is>
      </c>
      <c r="H19" s="13" t="inlineStr">
        <is>
          <t>双链路冗余</t>
        </is>
      </c>
    </row>
    <row r="20">
      <c r="A20" s="14" t="inlineStr">
        <is>
          <t>合规</t>
        </is>
      </c>
      <c r="B20" s="14" t="inlineStr">
        <is>
          <t>NDA 协议</t>
        </is>
      </c>
      <c r="C20" s="14" t="inlineStr">
        <is>
          <t>30 份</t>
        </is>
      </c>
      <c r="D20" s="14" t="inlineStr">
        <is>
          <t>协会法务</t>
        </is>
      </c>
      <c r="E20" s="14" t="inlineStr">
        <is>
          <t>T-3</t>
        </is>
      </c>
      <c r="F20" s="14" t="inlineStr">
        <is>
          <t>13:00</t>
        </is>
      </c>
      <c r="G20" s="14" t="inlineStr">
        <is>
          <t>未开始</t>
        </is>
      </c>
      <c r="H20" s="14" t="inlineStr">
        <is>
          <t>签到时签署</t>
        </is>
      </c>
    </row>
  </sheetData>
  <mergeCells count="2">
    <mergeCell ref="A2:H2"/>
    <mergeCell ref="A1:H1"/>
  </mergeCells>
  <dataValidations count="1">
    <dataValidation sqref="G5:G20" showDropDown="0" showInputMessage="0" showErrorMessage="0" allowBlank="1" type="list">
      <formula1>"未开始,进行中,已完成,延期,风险"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28" customWidth="1" min="9" max="9"/>
  </cols>
  <sheetData>
    <row r="1" ht="36" customHeight="1">
      <c r="A1" s="1" t="inlineStr">
        <is>
          <t>预算明细</t>
        </is>
      </c>
    </row>
    <row r="2" ht="20" customHeight="1">
      <c r="A2" s="2" t="inlineStr">
        <is>
          <t>目标 ROI ≥ 5×：首单 GMV ≥ 300 万 / 预算 ≤ 60 万</t>
        </is>
      </c>
    </row>
    <row r="4" ht="26" customHeight="1">
      <c r="A4" s="7" t="inlineStr">
        <is>
          <t>类别</t>
        </is>
      </c>
      <c r="B4" s="7" t="inlineStr">
        <is>
          <t>科目</t>
        </is>
      </c>
      <c r="C4" s="7" t="inlineStr">
        <is>
          <t>内容</t>
        </is>
      </c>
      <c r="D4" s="7" t="inlineStr">
        <is>
          <t>数量/标准</t>
        </is>
      </c>
      <c r="E4" s="7" t="inlineStr">
        <is>
          <t>单价(元)</t>
        </is>
      </c>
      <c r="F4" s="7" t="inlineStr">
        <is>
          <t>预算(元)</t>
        </is>
      </c>
      <c r="G4" s="7" t="inlineStr">
        <is>
          <t>实际支出(元)</t>
        </is>
      </c>
      <c r="H4" s="7" t="inlineStr">
        <is>
          <t>差异</t>
        </is>
      </c>
      <c r="I4" s="7" t="inlineStr">
        <is>
          <t>备注</t>
        </is>
      </c>
    </row>
    <row r="5">
      <c r="A5" s="19" t="inlineStr">
        <is>
          <t>场地</t>
        </is>
      </c>
      <c r="B5" s="19" t="inlineStr">
        <is>
          <t>场地与展厅</t>
        </is>
      </c>
      <c r="C5" s="19" t="inlineStr">
        <is>
          <t>临港会议室+展厅+茶歇</t>
        </is>
      </c>
      <c r="D5" s="19" t="inlineStr">
        <is>
          <t>由临港承担</t>
        </is>
      </c>
      <c r="E5" s="20" t="n">
        <v>0</v>
      </c>
      <c r="F5" s="20" t="n">
        <v>0</v>
      </c>
      <c r="G5" s="20" t="n">
        <v>0</v>
      </c>
      <c r="H5" s="20">
        <f>F5-G5</f>
        <v/>
      </c>
      <c r="I5" s="21" t="inlineStr">
        <is>
          <t>由临港承担</t>
        </is>
      </c>
    </row>
    <row r="6">
      <c r="A6" s="17" t="inlineStr">
        <is>
          <t>物料</t>
        </is>
      </c>
      <c r="B6" s="17" t="inlineStr">
        <is>
          <t>实体邀请函</t>
        </is>
      </c>
      <c r="C6" s="17" t="inlineStr">
        <is>
          <t>60 份</t>
        </is>
      </c>
      <c r="D6" s="17" t="inlineStr">
        <is>
          <t>60 份</t>
        </is>
      </c>
      <c r="E6" s="22" t="n">
        <v>100</v>
      </c>
      <c r="F6" s="22" t="n">
        <v>6000</v>
      </c>
      <c r="G6" s="22" t="n">
        <v>0</v>
      </c>
      <c r="H6" s="22">
        <f>F6-G6</f>
        <v/>
      </c>
      <c r="I6" s="23" t="inlineStr"/>
    </row>
    <row r="7">
      <c r="A7" s="19" t="inlineStr">
        <is>
          <t>物料</t>
        </is>
      </c>
      <c r="B7" s="19" t="inlineStr">
        <is>
          <t>资料袋印刷</t>
        </is>
      </c>
      <c r="C7" s="19" t="inlineStr">
        <is>
          <t>40 份</t>
        </is>
      </c>
      <c r="D7" s="19" t="inlineStr">
        <is>
          <t>40 份</t>
        </is>
      </c>
      <c r="E7" s="20" t="n">
        <v>80</v>
      </c>
      <c r="F7" s="20" t="n">
        <v>3200</v>
      </c>
      <c r="G7" s="20" t="n">
        <v>0</v>
      </c>
      <c r="H7" s="20">
        <f>F7-G7</f>
        <v/>
      </c>
      <c r="I7" s="21" t="inlineStr"/>
    </row>
    <row r="8">
      <c r="A8" s="17" t="inlineStr">
        <is>
          <t>物料</t>
        </is>
      </c>
      <c r="B8" s="17" t="inlineStr">
        <is>
          <t>桌签/议程印刷</t>
        </is>
      </c>
      <c r="C8" s="17" t="inlineStr">
        <is>
          <t>—</t>
        </is>
      </c>
      <c r="D8" s="17" t="inlineStr">
        <is>
          <t>1 套</t>
        </is>
      </c>
      <c r="E8" s="22" t="n">
        <v>800</v>
      </c>
      <c r="F8" s="22" t="n">
        <v>800</v>
      </c>
      <c r="G8" s="22" t="n">
        <v>0</v>
      </c>
      <c r="H8" s="22">
        <f>F8-G8</f>
        <v/>
      </c>
      <c r="I8" s="23" t="inlineStr"/>
    </row>
    <row r="9">
      <c r="A9" s="19" t="inlineStr">
        <is>
          <t>物料</t>
        </is>
      </c>
      <c r="B9" s="19" t="inlineStr">
        <is>
          <t>胸卡 / 名片夹</t>
        </is>
      </c>
      <c r="C9" s="19" t="inlineStr">
        <is>
          <t>—</t>
        </is>
      </c>
      <c r="D9" s="19" t="inlineStr">
        <is>
          <t>40 套</t>
        </is>
      </c>
      <c r="E9" s="20" t="n">
        <v>30</v>
      </c>
      <c r="F9" s="20" t="n">
        <v>1200</v>
      </c>
      <c r="G9" s="20" t="n">
        <v>0</v>
      </c>
      <c r="H9" s="20">
        <f>F9-G9</f>
        <v/>
      </c>
      <c r="I9" s="21" t="inlineStr"/>
    </row>
    <row r="10">
      <c r="A10" s="17" t="inlineStr">
        <is>
          <t>物料</t>
        </is>
      </c>
      <c r="B10" s="17" t="inlineStr">
        <is>
          <t>现场布置（KT 板/Banner）</t>
        </is>
      </c>
      <c r="C10" s="17" t="inlineStr">
        <is>
          <t>—</t>
        </is>
      </c>
      <c r="D10" s="17" t="inlineStr">
        <is>
          <t>1 套</t>
        </is>
      </c>
      <c r="E10" s="22" t="n">
        <v>6800</v>
      </c>
      <c r="F10" s="22" t="n">
        <v>6800</v>
      </c>
      <c r="G10" s="22" t="n">
        <v>0</v>
      </c>
      <c r="H10" s="22">
        <f>F10-G10</f>
        <v/>
      </c>
      <c r="I10" s="23" t="inlineStr"/>
    </row>
    <row r="11">
      <c r="A11" s="19" t="inlineStr">
        <is>
          <t>嘉宾</t>
        </is>
      </c>
      <c r="B11" s="19" t="inlineStr">
        <is>
          <t>学术嘉宾出席 + 交通</t>
        </is>
      </c>
      <c r="C11" s="19" t="inlineStr">
        <is>
          <t>1 位</t>
        </is>
      </c>
      <c r="D11" s="19" t="inlineStr">
        <is>
          <t>1 位</t>
        </is>
      </c>
      <c r="E11" s="20" t="n">
        <v>30000</v>
      </c>
      <c r="F11" s="20" t="n">
        <v>30000</v>
      </c>
      <c r="G11" s="20" t="n">
        <v>0</v>
      </c>
      <c r="H11" s="20">
        <f>F11-G11</f>
        <v/>
      </c>
      <c r="I11" s="21" t="inlineStr">
        <is>
          <t>姚教授</t>
        </is>
      </c>
    </row>
    <row r="12">
      <c r="A12" s="17" t="inlineStr">
        <is>
          <t>伴手礼</t>
        </is>
      </c>
      <c r="B12" s="17" t="inlineStr">
        <is>
          <t>C 级礼盒（含权益券）</t>
        </is>
      </c>
      <c r="C12" s="17" t="inlineStr">
        <is>
          <t>30 × 600</t>
        </is>
      </c>
      <c r="D12" s="17" t="inlineStr">
        <is>
          <t>30 份</t>
        </is>
      </c>
      <c r="E12" s="22" t="n">
        <v>600</v>
      </c>
      <c r="F12" s="22" t="n">
        <v>18000</v>
      </c>
      <c r="G12" s="22" t="n">
        <v>0</v>
      </c>
      <c r="H12" s="22">
        <f>F12-G12</f>
        <v/>
      </c>
      <c r="I12" s="23" t="inlineStr"/>
    </row>
    <row r="13">
      <c r="A13" s="19" t="inlineStr">
        <is>
          <t>茶歇/餐</t>
        </is>
      </c>
      <c r="B13" s="19" t="inlineStr">
        <is>
          <t>下午茶</t>
        </is>
      </c>
      <c r="C13" s="19" t="inlineStr">
        <is>
          <t>30 人份</t>
        </is>
      </c>
      <c r="D13" s="19" t="inlineStr">
        <is>
          <t>30 份</t>
        </is>
      </c>
      <c r="E13" s="20" t="n">
        <v>100</v>
      </c>
      <c r="F13" s="20" t="n">
        <v>3000</v>
      </c>
      <c r="G13" s="20" t="n">
        <v>0</v>
      </c>
      <c r="H13" s="20">
        <f>F13-G13</f>
        <v/>
      </c>
      <c r="I13" s="21" t="inlineStr"/>
    </row>
    <row r="14">
      <c r="A14" s="17" t="inlineStr">
        <is>
          <t>茶歇/餐</t>
        </is>
      </c>
      <c r="B14" s="17" t="inlineStr">
        <is>
          <t>晚间轻餐</t>
        </is>
      </c>
      <c r="C14" s="17" t="inlineStr">
        <is>
          <t>30 人份</t>
        </is>
      </c>
      <c r="D14" s="17" t="inlineStr">
        <is>
          <t>30 份</t>
        </is>
      </c>
      <c r="E14" s="22" t="n">
        <v>150</v>
      </c>
      <c r="F14" s="22" t="n">
        <v>4500</v>
      </c>
      <c r="G14" s="22" t="n">
        <v>0</v>
      </c>
      <c r="H14" s="22">
        <f>F14-G14</f>
        <v/>
      </c>
      <c r="I14" s="23" t="inlineStr"/>
    </row>
    <row r="15">
      <c r="A15" s="19" t="inlineStr">
        <is>
          <t>影像</t>
        </is>
      </c>
      <c r="B15" s="19" t="inlineStr">
        <is>
          <t>摄影/摄像/精剪</t>
        </is>
      </c>
      <c r="C15" s="19" t="inlineStr">
        <is>
          <t>1 场</t>
        </is>
      </c>
      <c r="D15" s="19" t="inlineStr">
        <is>
          <t>1 场</t>
        </is>
      </c>
      <c r="E15" s="20" t="n">
        <v>20000</v>
      </c>
      <c r="F15" s="20" t="n">
        <v>20000</v>
      </c>
      <c r="G15" s="20" t="n">
        <v>0</v>
      </c>
      <c r="H15" s="20">
        <f>F15-G15</f>
        <v/>
      </c>
      <c r="I15" s="21" t="inlineStr"/>
    </row>
    <row r="16">
      <c r="A16" s="17" t="inlineStr">
        <is>
          <t>会务</t>
        </is>
      </c>
      <c r="B16" s="17" t="inlineStr">
        <is>
          <t>主持人 + 礼仪</t>
        </is>
      </c>
      <c r="C16" s="17" t="inlineStr">
        <is>
          <t>1 主持 + 2 礼仪</t>
        </is>
      </c>
      <c r="D16" s="17" t="inlineStr">
        <is>
          <t>1 场</t>
        </is>
      </c>
      <c r="E16" s="22" t="n">
        <v>12000</v>
      </c>
      <c r="F16" s="22" t="n">
        <v>12000</v>
      </c>
      <c r="G16" s="22" t="n">
        <v>0</v>
      </c>
      <c r="H16" s="22">
        <f>F16-G16</f>
        <v/>
      </c>
      <c r="I16" s="23" t="inlineStr"/>
    </row>
    <row r="17">
      <c r="A17" s="19" t="inlineStr">
        <is>
          <t>Demo</t>
        </is>
      </c>
      <c r="B17" s="19" t="inlineStr">
        <is>
          <t>日本真机/演示电脑/大屏租赁</t>
        </is>
      </c>
      <c r="C17" s="19" t="inlineStr">
        <is>
          <t>1 场</t>
        </is>
      </c>
      <c r="D17" s="19" t="inlineStr">
        <is>
          <t>1 场</t>
        </is>
      </c>
      <c r="E17" s="20" t="n">
        <v>8000</v>
      </c>
      <c r="F17" s="20" t="n">
        <v>8000</v>
      </c>
      <c r="G17" s="20" t="n">
        <v>0</v>
      </c>
      <c r="H17" s="20">
        <f>F17-G17</f>
        <v/>
      </c>
      <c r="I17" s="21" t="inlineStr"/>
    </row>
    <row r="18">
      <c r="A18" s="17" t="inlineStr">
        <is>
          <t>接待</t>
        </is>
      </c>
      <c r="B18" s="17" t="inlineStr">
        <is>
          <t>C 级 1V1 接送补贴</t>
        </is>
      </c>
      <c r="C18" s="17" t="inlineStr">
        <is>
          <t>10 人</t>
        </is>
      </c>
      <c r="D18" s="17" t="inlineStr">
        <is>
          <t>10 人</t>
        </is>
      </c>
      <c r="E18" s="22" t="n">
        <v>1500</v>
      </c>
      <c r="F18" s="22" t="n">
        <v>15000</v>
      </c>
      <c r="G18" s="22" t="n">
        <v>0</v>
      </c>
      <c r="H18" s="22">
        <f>F18-G18</f>
        <v/>
      </c>
      <c r="I18" s="23" t="inlineStr"/>
    </row>
    <row r="19">
      <c r="A19" s="19" t="inlineStr">
        <is>
          <t>传播</t>
        </is>
      </c>
      <c r="B19" s="19" t="inlineStr">
        <is>
          <t>媒体通稿 + 行业自媒体</t>
        </is>
      </c>
      <c r="C19" s="19" t="inlineStr">
        <is>
          <t>1 轮</t>
        </is>
      </c>
      <c r="D19" s="19" t="inlineStr">
        <is>
          <t>1 轮</t>
        </is>
      </c>
      <c r="E19" s="20" t="n">
        <v>8000</v>
      </c>
      <c r="F19" s="20" t="n">
        <v>8000</v>
      </c>
      <c r="G19" s="20" t="n">
        <v>0</v>
      </c>
      <c r="H19" s="20">
        <f>F19-G19</f>
        <v/>
      </c>
      <c r="I19" s="21" t="inlineStr"/>
    </row>
    <row r="20">
      <c r="A20" s="17" t="inlineStr">
        <is>
          <t>传播</t>
        </is>
      </c>
      <c r="B20" s="17" t="inlineStr">
        <is>
          <t>视频剪辑（闭门精华）</t>
        </is>
      </c>
      <c r="C20" s="17" t="inlineStr">
        <is>
          <t>1 条</t>
        </is>
      </c>
      <c r="D20" s="17" t="inlineStr">
        <is>
          <t>1 条</t>
        </is>
      </c>
      <c r="E20" s="22" t="n">
        <v>4000</v>
      </c>
      <c r="F20" s="22" t="n">
        <v>4000</v>
      </c>
      <c r="G20" s="22" t="n">
        <v>0</v>
      </c>
      <c r="H20" s="22">
        <f>F20-G20</f>
        <v/>
      </c>
      <c r="I20" s="23" t="inlineStr"/>
    </row>
    <row r="21">
      <c r="A21" s="19" t="inlineStr">
        <is>
          <t>机动</t>
        </is>
      </c>
      <c r="B21" s="19" t="inlineStr">
        <is>
          <t>机动 10%</t>
        </is>
      </c>
      <c r="C21" s="19" t="inlineStr">
        <is>
          <t>—</t>
        </is>
      </c>
      <c r="D21" s="19" t="inlineStr">
        <is>
          <t>—</t>
        </is>
      </c>
      <c r="E21" s="20" t="n">
        <v>14000</v>
      </c>
      <c r="F21" s="20" t="n">
        <v>14000</v>
      </c>
      <c r="G21" s="20" t="n">
        <v>0</v>
      </c>
      <c r="H21" s="20">
        <f>F21-G21</f>
        <v/>
      </c>
      <c r="I21" s="21" t="inlineStr"/>
    </row>
    <row r="22">
      <c r="A22" s="24" t="inlineStr">
        <is>
          <t>合计</t>
        </is>
      </c>
      <c r="B22" s="24" t="inlineStr"/>
      <c r="C22" s="24" t="inlineStr"/>
      <c r="D22" s="24" t="inlineStr"/>
      <c r="E22" s="24" t="inlineStr"/>
      <c r="F22" s="25">
        <f>SUM(F5:F21)</f>
        <v/>
      </c>
      <c r="G22" s="25">
        <f>SUM(G5:G21)</f>
        <v/>
      </c>
      <c r="H22" s="25">
        <f>SUM(H5:H21)</f>
        <v/>
      </c>
      <c r="I22" s="24" t="inlineStr"/>
    </row>
    <row r="24" ht="24" customHeight="1">
      <c r="A24" s="11" t="inlineStr">
        <is>
          <t>ROI 测算</t>
        </is>
      </c>
    </row>
    <row r="25" ht="26" customHeight="1">
      <c r="A25" s="7" t="inlineStr">
        <is>
          <t>指标</t>
        </is>
      </c>
      <c r="B25" s="7" t="inlineStr">
        <is>
          <t>公式/来源</t>
        </is>
      </c>
      <c r="C25" s="7" t="inlineStr">
        <is>
          <t>目标</t>
        </is>
      </c>
      <c r="D25" s="7" t="inlineStr">
        <is>
          <t>实际</t>
        </is>
      </c>
      <c r="E25" s="7" t="inlineStr">
        <is>
          <t>状态</t>
        </is>
      </c>
      <c r="F25" s="7" t="inlineStr"/>
      <c r="G25" s="7" t="inlineStr"/>
      <c r="H25" s="7" t="inlineStr"/>
      <c r="I25" s="7" t="inlineStr"/>
    </row>
    <row r="26">
      <c r="A26" s="26" t="inlineStr">
        <is>
          <t>总预算</t>
        </is>
      </c>
      <c r="B26" s="27" t="inlineStr">
        <is>
          <t>见上表合计</t>
        </is>
      </c>
      <c r="C26" s="28">
        <f>F22</f>
        <v/>
      </c>
      <c r="D26" s="28" t="n">
        <v>0</v>
      </c>
      <c r="E26" s="27">
        <f>IF(D26&gt;=C26,"达成",IF(D26&gt;=C26*0.7,"进行中","风险"))</f>
        <v/>
      </c>
    </row>
    <row r="27">
      <c r="A27" s="26" t="inlineStr">
        <is>
          <t>T+90 首单数</t>
        </is>
      </c>
      <c r="B27" s="27" t="inlineStr">
        <is>
          <t>见 09 漏斗</t>
        </is>
      </c>
      <c r="C27" s="28" t="n">
        <v>3</v>
      </c>
      <c r="D27" s="28" t="n">
        <v>0</v>
      </c>
      <c r="E27" s="27">
        <f>IF(D27&gt;=C27,"达成",IF(D27&gt;=C27*0.7,"进行中","风险"))</f>
        <v/>
      </c>
    </row>
    <row r="28">
      <c r="A28" s="26" t="inlineStr">
        <is>
          <t>T+90 首单 GMV (元)</t>
        </is>
      </c>
      <c r="B28" s="27" t="inlineStr">
        <is>
          <t>见 00 Dashboard</t>
        </is>
      </c>
      <c r="C28" s="28" t="n">
        <v>3000000</v>
      </c>
      <c r="D28" s="28" t="n">
        <v>0</v>
      </c>
      <c r="E28" s="27">
        <f>IF(D28&gt;=C28,"达成",IF(D28&gt;=C28*0.7,"进行中","风险"))</f>
        <v/>
      </c>
    </row>
    <row r="29">
      <c r="A29" s="26" t="inlineStr">
        <is>
          <t>ROI 倍数</t>
        </is>
      </c>
      <c r="B29" s="27">
        <f> 首单 GMV / 总预算</f>
        <v/>
      </c>
      <c r="C29" s="29">
        <f>IFERROR(C27/C25,0)</f>
        <v/>
      </c>
      <c r="D29" s="29">
        <f>IFERROR(D27/D25,0)</f>
        <v/>
      </c>
      <c r="E29" s="27">
        <f>IF(D29&gt;=C29,"达成",IF(D29&gt;=C29*0.7,"进行中","风险"))</f>
        <v/>
      </c>
    </row>
  </sheetData>
  <mergeCells count="3">
    <mergeCell ref="A1:I1"/>
    <mergeCell ref="A24:I2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8" customWidth="1" min="3" max="3"/>
    <col width="30" customWidth="1" min="4" max="4"/>
    <col width="18" customWidth="1" min="5" max="5"/>
    <col width="22" customWidth="1" min="6" max="6"/>
    <col width="30" customWidth="1" min="7" max="7"/>
    <col width="8" customWidth="1" min="8" max="8"/>
    <col width="22" customWidth="1" min="9" max="9"/>
  </cols>
  <sheetData>
    <row r="1" ht="36" customHeight="1">
      <c r="A1" s="1" t="inlineStr">
        <is>
          <t>会前转化动作清单</t>
        </is>
      </c>
    </row>
    <row r="2" ht="20" customHeight="1">
      <c r="A2" s="2" t="inlineStr">
        <is>
          <t>在 T-21 → T0 之间锁定客户期待 + 收集需求 + 预约会后深聊</t>
        </is>
      </c>
    </row>
    <row r="4" ht="26" customHeight="1">
      <c r="A4" s="7" t="inlineStr">
        <is>
          <t>#</t>
        </is>
      </c>
      <c r="B4" s="7" t="inlineStr">
        <is>
          <t>时间</t>
        </is>
      </c>
      <c r="C4" s="7" t="inlineStr">
        <is>
          <t>动作</t>
        </is>
      </c>
      <c r="D4" s="7" t="inlineStr">
        <is>
          <t>目的</t>
        </is>
      </c>
      <c r="E4" s="7" t="inlineStr">
        <is>
          <t>Owner</t>
        </is>
      </c>
      <c r="F4" s="7" t="inlineStr">
        <is>
          <t>对象</t>
        </is>
      </c>
      <c r="G4" s="7" t="inlineStr">
        <is>
          <t>可交付物</t>
        </is>
      </c>
      <c r="H4" s="7" t="inlineStr">
        <is>
          <t>完成</t>
        </is>
      </c>
      <c r="I4" s="7" t="inlineStr">
        <is>
          <t>备注</t>
        </is>
      </c>
    </row>
    <row r="5">
      <c r="A5" s="13" t="n">
        <v>1</v>
      </c>
      <c r="B5" s="13" t="inlineStr">
        <is>
          <t>T-21</t>
        </is>
      </c>
      <c r="C5" s="13" t="inlineStr">
        <is>
          <t>三方对齐邀约名单（含 NDA）</t>
        </is>
      </c>
      <c r="D5" s="13" t="inlineStr">
        <is>
          <t>建立 75 人邀请池基础</t>
        </is>
      </c>
      <c r="E5" s="13" t="inlineStr">
        <is>
          <t>协会项目总</t>
        </is>
      </c>
      <c r="F5" s="13" t="inlineStr">
        <is>
          <t>三方</t>
        </is>
      </c>
      <c r="G5" s="13" t="inlineStr">
        <is>
          <t>终版名单</t>
        </is>
      </c>
      <c r="H5" s="13" t="inlineStr">
        <is>
          <t>否</t>
        </is>
      </c>
      <c r="I5" s="13" t="inlineStr">
        <is>
          <t>去重 + 高优标星</t>
        </is>
      </c>
    </row>
    <row r="6">
      <c r="A6" s="14" t="n">
        <v>2</v>
      </c>
      <c r="B6" s="14" t="inlineStr">
        <is>
          <t>T-15</t>
        </is>
      </c>
      <c r="C6" s="14" t="inlineStr">
        <is>
          <t>首轮邀约（邀请函含「圆桌议题征集表」）</t>
        </is>
      </c>
      <c r="D6" s="14" t="inlineStr">
        <is>
          <t>提前收集客户痛点 → 形成定制化方案</t>
        </is>
      </c>
      <c r="E6" s="14" t="inlineStr">
        <is>
          <t>三方销售</t>
        </is>
      </c>
      <c r="F6" s="14" t="inlineStr">
        <is>
          <t>75 人邀请池</t>
        </is>
      </c>
      <c r="G6" s="14" t="inlineStr">
        <is>
          <t>邀请函 / 议题征集表 / 首轮记录</t>
        </is>
      </c>
      <c r="H6" s="14" t="inlineStr">
        <is>
          <t>否</t>
        </is>
      </c>
      <c r="I6" s="14" t="inlineStr">
        <is>
          <t>★ 关键：议题征集表直接决定 A 级线索</t>
        </is>
      </c>
    </row>
    <row r="7">
      <c r="A7" s="13" t="n">
        <v>3</v>
      </c>
      <c r="B7" s="13" t="inlineStr">
        <is>
          <t>T-10</t>
        </is>
      </c>
      <c r="C7" s="13" t="inlineStr">
        <is>
          <t>实体邀请函 + 伴手礼（C 级）</t>
        </is>
      </c>
      <c r="D7" s="13" t="inlineStr">
        <is>
          <t>提升 C 级到场仪式感</t>
        </is>
      </c>
      <c r="E7" s="13" t="inlineStr">
        <is>
          <t>协会会员部</t>
        </is>
      </c>
      <c r="F7" s="13" t="inlineStr">
        <is>
          <t>C 级 20 人</t>
        </is>
      </c>
      <c r="G7" s="13" t="inlineStr">
        <is>
          <t>邮寄确认 / 收件确认</t>
        </is>
      </c>
      <c r="H7" s="13" t="inlineStr">
        <is>
          <t>否</t>
        </is>
      </c>
      <c r="I7" s="13" t="inlineStr">
        <is>
          <t>EMS 顺丰 1V1</t>
        </is>
      </c>
    </row>
    <row r="8">
      <c r="A8" s="14" t="n">
        <v>4</v>
      </c>
      <c r="B8" s="14" t="inlineStr">
        <is>
          <t>T-7</t>
        </is>
      </c>
      <c r="C8" s="14" t="inlineStr">
        <is>
          <t>议程定稿 + 嘉宾介绍卡推送</t>
        </is>
      </c>
      <c r="D8" s="14" t="inlineStr">
        <is>
          <t>提升期待 + 锁定到场</t>
        </is>
      </c>
      <c r="E8" s="14" t="inlineStr">
        <is>
          <t>WeTest 市场</t>
        </is>
      </c>
      <c r="F8" s="14" t="inlineStr">
        <is>
          <t>全部邀请池</t>
        </is>
      </c>
      <c r="G8" s="14" t="inlineStr">
        <is>
          <t>议程 PDF / 嘉宾卡</t>
        </is>
      </c>
      <c r="H8" s="14" t="inlineStr">
        <is>
          <t>否</t>
        </is>
      </c>
      <c r="I8" s="14" t="inlineStr"/>
    </row>
    <row r="9">
      <c r="A9" s="13" t="n">
        <v>5</v>
      </c>
      <c r="B9" s="13" t="inlineStr">
        <is>
          <t>T-5</t>
        </is>
      </c>
      <c r="C9" s="13" t="inlineStr">
        <is>
          <t>推送《WeTest 中日专项方案白皮书》</t>
        </is>
      </c>
      <c r="D9" s="13" t="inlineStr">
        <is>
          <t>建立技术认知 → 缩短 Demo 沟通时间</t>
        </is>
      </c>
      <c r="E9" s="13" t="inlineStr">
        <is>
          <t>WeTest 市场</t>
        </is>
      </c>
      <c r="F9" s="13" t="inlineStr">
        <is>
          <t>75 人</t>
        </is>
      </c>
      <c r="G9" s="13" t="inlineStr">
        <is>
          <t>白皮书 PDF / 推送记录</t>
        </is>
      </c>
      <c r="H9" s="13" t="inlineStr">
        <is>
          <t>否</t>
        </is>
      </c>
      <c r="I9" s="13" t="inlineStr"/>
    </row>
    <row r="10">
      <c r="A10" s="14" t="n">
        <v>6</v>
      </c>
      <c r="B10" s="14" t="inlineStr">
        <is>
          <t>T-3</t>
        </is>
      </c>
      <c r="C10" s="14" t="inlineStr">
        <is>
          <t>TOP 10 高优 1V1 预热电话</t>
        </is>
      </c>
      <c r="D10" s="14" t="inlineStr">
        <is>
          <t>★ 预约会后 30 分钟深聊（强转化锚点）</t>
        </is>
      </c>
      <c r="E10" s="14" t="inlineStr">
        <is>
          <t>WeTest 大客户经理</t>
        </is>
      </c>
      <c r="F10" s="14" t="inlineStr">
        <is>
          <t>TOP 10 高优</t>
        </is>
      </c>
      <c r="G10" s="14" t="inlineStr">
        <is>
          <t>预热脚本 / 接通记录 / 预约时间表</t>
        </is>
      </c>
      <c r="H10" s="14" t="inlineStr">
        <is>
          <t>否</t>
        </is>
      </c>
      <c r="I10" s="14" t="inlineStr">
        <is>
          <t>每位至少 15 分钟</t>
        </is>
      </c>
    </row>
    <row r="11">
      <c r="A11" s="13" t="n">
        <v>7</v>
      </c>
      <c r="B11" s="13" t="inlineStr">
        <is>
          <t>T-2</t>
        </is>
      </c>
      <c r="C11" s="13" t="inlineStr">
        <is>
          <t>交通接待 / 动线图推送</t>
        </is>
      </c>
      <c r="D11" s="13" t="inlineStr">
        <is>
          <t>提升到场率</t>
        </is>
      </c>
      <c r="E11" s="13" t="inlineStr">
        <is>
          <t>协会会务</t>
        </is>
      </c>
      <c r="F11" s="13" t="inlineStr">
        <is>
          <t>已确认到场者</t>
        </is>
      </c>
      <c r="G11" s="13" t="inlineStr">
        <is>
          <t>推送记录</t>
        </is>
      </c>
      <c r="H11" s="13" t="inlineStr">
        <is>
          <t>否</t>
        </is>
      </c>
      <c r="I11" s="13" t="inlineStr"/>
    </row>
    <row r="12">
      <c r="A12" s="14" t="n">
        <v>8</v>
      </c>
      <c r="B12" s="14" t="inlineStr">
        <is>
          <t>T-1</t>
        </is>
      </c>
      <c r="C12" s="14" t="inlineStr">
        <is>
          <t>二轮到场确认（短信/电话）</t>
        </is>
      </c>
      <c r="D12" s="14" t="inlineStr">
        <is>
          <t>防止临时缺席</t>
        </is>
      </c>
      <c r="E12" s="14" t="inlineStr">
        <is>
          <t>协会会员部</t>
        </is>
      </c>
      <c r="F12" s="14" t="inlineStr">
        <is>
          <t>已确认到场者</t>
        </is>
      </c>
      <c r="G12" s="14" t="inlineStr">
        <is>
          <t>确认表 V2</t>
        </is>
      </c>
      <c r="H12" s="14" t="inlineStr">
        <is>
          <t>否</t>
        </is>
      </c>
      <c r="I12" s="14" t="inlineStr"/>
    </row>
    <row r="13">
      <c r="A13" s="13" t="n">
        <v>9</v>
      </c>
      <c r="B13" s="13" t="inlineStr">
        <is>
          <t>T-1</t>
        </is>
      </c>
      <c r="C13" s="13" t="inlineStr">
        <is>
          <t>现场彩排 + 应急预案 review</t>
        </is>
      </c>
      <c r="D13" s="13" t="inlineStr">
        <is>
          <t>确保现场零意外</t>
        </is>
      </c>
      <c r="E13" s="13" t="inlineStr">
        <is>
          <t>三方</t>
        </is>
      </c>
      <c r="F13" s="13" t="inlineStr">
        <is>
          <t>—</t>
        </is>
      </c>
      <c r="G13" s="13" t="inlineStr">
        <is>
          <t>彩排清单 / 应急预案</t>
        </is>
      </c>
      <c r="H13" s="13" t="inlineStr">
        <is>
          <t>否</t>
        </is>
      </c>
      <c r="I13" s="13" t="inlineStr"/>
    </row>
  </sheetData>
  <mergeCells count="2">
    <mergeCell ref="A1:I1"/>
    <mergeCell ref="A2:I2"/>
  </mergeCells>
  <dataValidations count="1">
    <dataValidation sqref="H5:H13" showDropDown="0" showInputMessage="0" showErrorMessage="0" allowBlank="1" type="list">
      <formula1>"是,否,延期"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18" customWidth="1" min="4" max="4"/>
    <col width="28" customWidth="1" min="5" max="5"/>
    <col width="22" customWidth="1" min="6" max="6"/>
    <col width="26" customWidth="1" min="7" max="7"/>
    <col width="12" customWidth="1" min="8" max="8"/>
    <col width="18" customWidth="1" min="9" max="9"/>
  </cols>
  <sheetData>
    <row r="1" ht="36" customHeight="1">
      <c r="A1" s="1" t="inlineStr">
        <is>
          <t>★ 会中转化抓手清单（执行 checklist）</t>
        </is>
      </c>
    </row>
    <row r="2" ht="20" customHeight="1">
      <c r="A2" s="2" t="inlineStr">
        <is>
          <t>8 个抓手 → 把现场每个环节都做成销售场</t>
        </is>
      </c>
    </row>
    <row r="4" ht="26" customHeight="1">
      <c r="A4" s="7" t="inlineStr">
        <is>
          <t>#</t>
        </is>
      </c>
      <c r="B4" s="7" t="inlineStr">
        <is>
          <t>抓手</t>
        </is>
      </c>
      <c r="C4" s="7" t="inlineStr">
        <is>
          <t>落地形式</t>
        </is>
      </c>
      <c r="D4" s="7" t="inlineStr">
        <is>
          <t>对应议程</t>
        </is>
      </c>
      <c r="E4" s="7" t="inlineStr">
        <is>
          <t>目标</t>
        </is>
      </c>
      <c r="F4" s="7" t="inlineStr">
        <is>
          <t>Owner</t>
        </is>
      </c>
      <c r="G4" s="7" t="inlineStr">
        <is>
          <t>成功标准</t>
        </is>
      </c>
      <c r="H4" s="7" t="inlineStr">
        <is>
          <t>状态</t>
        </is>
      </c>
      <c r="I4" s="7" t="inlineStr">
        <is>
          <t>备注</t>
        </is>
      </c>
    </row>
    <row r="5">
      <c r="A5" s="13" t="n">
        <v>1</v>
      </c>
      <c r="B5" s="13" t="inlineStr">
        <is>
          <t>扫码进群 + 行业标签</t>
        </is>
      </c>
      <c r="C5" s="13" t="inlineStr">
        <is>
          <t>签到二维码 + 企微自动打标</t>
        </is>
      </c>
      <c r="D5" s="13" t="inlineStr">
        <is>
          <t>13:00 签到</t>
        </is>
      </c>
      <c r="E5" s="13" t="inlineStr">
        <is>
          <t>100% 入群 + 100% 打标</t>
        </is>
      </c>
      <c r="F5" s="13" t="inlineStr">
        <is>
          <t>WeTest IT + 市场</t>
        </is>
      </c>
      <c r="G5" s="13" t="inlineStr">
        <is>
          <t>群人数 ≥ 25 / 标签覆盖率 100%</t>
        </is>
      </c>
      <c r="H5" s="13" t="inlineStr">
        <is>
          <t>未开始</t>
        </is>
      </c>
      <c r="I5" s="13" t="inlineStr"/>
    </row>
    <row r="6">
      <c r="A6" s="14" t="n">
        <v>2</v>
      </c>
      <c r="B6" s="14" t="inlineStr">
        <is>
          <t>WeTest 体验角</t>
        </is>
      </c>
      <c r="C6" s="14" t="inlineStr">
        <is>
          <t>UDT 日本真机 / 海外众测看板 / CrashSight</t>
        </is>
      </c>
      <c r="D6" s="14" t="inlineStr">
        <is>
          <t>茶歇 + 圆桌间隙</t>
        </is>
      </c>
      <c r="E6" s="14" t="inlineStr">
        <is>
          <t>★ 让客户看见、摸到、用上</t>
        </is>
      </c>
      <c r="F6" s="14" t="inlineStr">
        <is>
          <t>WeTest 技术 SA</t>
        </is>
      </c>
      <c r="G6" s="14" t="inlineStr">
        <is>
          <t>≥ 15 人体验 + ≥ 8 条具体咨询</t>
        </is>
      </c>
      <c r="H6" s="14" t="inlineStr">
        <is>
          <t>未开始</t>
        </is>
      </c>
      <c r="I6" s="14" t="inlineStr">
        <is>
          <t>需 3 名 SA 在场</t>
        </is>
      </c>
    </row>
    <row r="7">
      <c r="A7" s="13" t="n">
        <v>3</v>
      </c>
      <c r="B7" s="13" t="inlineStr">
        <is>
          <t>限时权益券</t>
        </is>
      </c>
      <c r="C7" s="13" t="inlineStr">
        <is>
          <t>30 天免费 POC / 5 万元代金券</t>
        </is>
      </c>
      <c r="D7" s="13" t="inlineStr">
        <is>
          <t>技术落地环节宣布</t>
        </is>
      </c>
      <c r="E7" s="13" t="inlineStr">
        <is>
          <t>★ 制造紧迫感 → 推动签约</t>
        </is>
      </c>
      <c r="F7" s="13" t="inlineStr">
        <is>
          <t>WeTest 销售</t>
        </is>
      </c>
      <c r="G7" s="13" t="inlineStr">
        <is>
          <t>≥ 10 张领取 / ≥ 5 张激活意向</t>
        </is>
      </c>
      <c r="H7" s="13" t="inlineStr">
        <is>
          <t>未开始</t>
        </is>
      </c>
      <c r="I7" s="13" t="inlineStr">
        <is>
          <t>印在伴手礼内</t>
        </is>
      </c>
    </row>
    <row r="8">
      <c r="A8" s="14" t="n">
        <v>4</v>
      </c>
      <c r="B8" s="14" t="inlineStr">
        <is>
          <t>圆桌 1V1 承接</t>
        </is>
      </c>
      <c r="C8" s="14" t="inlineStr">
        <is>
          <t>每位发言客户配 1 名 WeTest 行业 SA</t>
        </is>
      </c>
      <c r="D8" s="14" t="inlineStr">
        <is>
          <t>15:50 圆桌</t>
        </is>
      </c>
      <c r="E8" s="14" t="inlineStr">
        <is>
          <t>★ 当场记录需求 → 24h 内输出 PPT</t>
        </is>
      </c>
      <c r="F8" s="14" t="inlineStr">
        <is>
          <t>WeTest 行业总监</t>
        </is>
      </c>
      <c r="G8" s="14" t="inlineStr">
        <is>
          <t>≥ 8 位客户发言 / 8 份纪要</t>
        </is>
      </c>
      <c r="H8" s="14" t="inlineStr">
        <is>
          <t>未开始</t>
        </is>
      </c>
      <c r="I8" s="14" t="inlineStr">
        <is>
          <t>纪要本编号 1-8</t>
        </is>
      </c>
    </row>
    <row r="9">
      <c r="A9" s="13" t="n">
        <v>5</v>
      </c>
      <c r="B9" s="13" t="inlineStr">
        <is>
          <t>闭门客户专属通道</t>
        </is>
      </c>
      <c r="C9" s="13" t="inlineStr">
        <is>
          <t>微信/钉钉直连中日团队 + 临港顾问</t>
        </is>
      </c>
      <c r="D9" s="13" t="inlineStr">
        <is>
          <t>圆桌结束前 5 分钟</t>
        </is>
      </c>
      <c r="E9" s="13" t="inlineStr">
        <is>
          <t>★ 建立长期可触达通道</t>
        </is>
      </c>
      <c r="F9" s="13" t="inlineStr">
        <is>
          <t>WeTest CSO</t>
        </is>
      </c>
      <c r="G9" s="13" t="inlineStr">
        <is>
          <t>≥ 20 人加入专属通道</t>
        </is>
      </c>
      <c r="H9" s="13" t="inlineStr">
        <is>
          <t>未开始</t>
        </is>
      </c>
      <c r="I9" s="13" t="inlineStr"/>
    </row>
    <row r="10">
      <c r="A10" s="14" t="n">
        <v>6</v>
      </c>
      <c r="B10" s="14" t="inlineStr">
        <is>
          <t>晚间深聊预约</t>
        </is>
      </c>
      <c r="C10" s="14" t="inlineStr">
        <is>
          <t>高优客户 1V1 30 分钟</t>
        </is>
      </c>
      <c r="D10" s="14" t="inlineStr">
        <is>
          <t>16:30 → 18:00</t>
        </is>
      </c>
      <c r="E10" s="14" t="inlineStr">
        <is>
          <t>★ 线索 → 机会 升级</t>
        </is>
      </c>
      <c r="F10" s="14" t="inlineStr">
        <is>
          <t>WeTest 大客户经理</t>
        </is>
      </c>
      <c r="G10" s="14" t="inlineStr">
        <is>
          <t>≥ 12 位高优完成深聊</t>
        </is>
      </c>
      <c r="H10" s="14" t="inlineStr">
        <is>
          <t>未开始</t>
        </is>
      </c>
      <c r="I10" s="14" t="inlineStr"/>
    </row>
    <row r="11">
      <c r="A11" s="13" t="n">
        <v>7</v>
      </c>
      <c r="B11" s="13" t="inlineStr">
        <is>
          <t>伴手礼附咨询券</t>
        </is>
      </c>
      <c r="C11" s="13" t="inlineStr">
        <is>
          <t>1V1 闭门技术咨询券 + 政策对接券</t>
        </is>
      </c>
      <c r="D11" s="13" t="inlineStr">
        <is>
          <t>离场</t>
        </is>
      </c>
      <c r="E11" s="13" t="inlineStr">
        <is>
          <t>建立二次触达由头</t>
        </is>
      </c>
      <c r="F11" s="13" t="inlineStr">
        <is>
          <t>协会会务</t>
        </is>
      </c>
      <c r="G11" s="13" t="inlineStr">
        <is>
          <t>100% 发放 + ≥ 8 张回访激活</t>
        </is>
      </c>
      <c r="H11" s="13" t="inlineStr">
        <is>
          <t>未开始</t>
        </is>
      </c>
      <c r="I11" s="13" t="inlineStr"/>
    </row>
    <row r="12">
      <c r="A12" s="14" t="n">
        <v>8</v>
      </c>
      <c r="B12" s="14" t="inlineStr">
        <is>
          <t>现场拍摄客户证言</t>
        </is>
      </c>
      <c r="C12" s="14" t="inlineStr">
        <is>
          <t>短视频 + 案例素材</t>
        </is>
      </c>
      <c r="D12" s="14" t="inlineStr">
        <is>
          <t>圆桌结束后 / 深聊间隙</t>
        </is>
      </c>
      <c r="E12" s="14" t="inlineStr">
        <is>
          <t>为后续传播积累素材</t>
        </is>
      </c>
      <c r="F12" s="14" t="inlineStr">
        <is>
          <t>协会市场</t>
        </is>
      </c>
      <c r="G12" s="14" t="inlineStr">
        <is>
          <t>≥ 5 段证言 / ≥ 3 段可剪短视频</t>
        </is>
      </c>
      <c r="H12" s="14" t="inlineStr">
        <is>
          <t>未开始</t>
        </is>
      </c>
      <c r="I12" s="14" t="inlineStr">
        <is>
          <t>需提前沟通签字</t>
        </is>
      </c>
    </row>
  </sheetData>
  <mergeCells count="2">
    <mergeCell ref="A1:I1"/>
    <mergeCell ref="A2:I2"/>
  </mergeCells>
  <dataValidations count="1">
    <dataValidation sqref="H5:H12" showDropDown="0" showInputMessage="0" showErrorMessage="0" allowBlank="1" type="list">
      <formula1>"未开始,进行中,已完成,未达标"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3" ySplit="12" topLeftCell="D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11" customWidth="1" min="5" max="5"/>
    <col width="11" customWidth="1" min="6" max="6"/>
    <col width="13" customWidth="1" min="7" max="7"/>
    <col width="11" customWidth="1" min="8" max="8"/>
    <col width="16" customWidth="1" min="9" max="9"/>
    <col width="14" customWidth="1" min="10" max="10"/>
    <col width="18" customWidth="1" min="11" max="11"/>
    <col width="14" customWidth="1" min="12" max="12"/>
    <col width="28" customWidth="1" min="13" max="13"/>
  </cols>
  <sheetData>
    <row r="1" ht="36" customHeight="1">
      <c r="A1" s="1" t="inlineStr">
        <is>
          <t>★ 会后跟进 SOP（7-30-60-90 天节奏）</t>
        </is>
      </c>
    </row>
    <row r="2" ht="20" customHeight="1">
      <c r="A2" s="2" t="inlineStr">
        <is>
          <t>活动结束 48h 启动；每条 A/B 线索必须有 Owner + 截止日</t>
        </is>
      </c>
    </row>
    <row r="4" ht="24" customHeight="1">
      <c r="A4" s="3" t="inlineStr">
        <is>
          <t>A. ABC 三级分级标准</t>
        </is>
      </c>
    </row>
    <row r="5" ht="26" customHeight="1">
      <c r="A5" s="7" t="inlineStr">
        <is>
          <t>级别</t>
        </is>
      </c>
      <c r="B5" s="7" t="inlineStr">
        <is>
          <t>判定标准</t>
        </is>
      </c>
      <c r="C5" s="7" t="inlineStr">
        <is>
          <t>目标动作</t>
        </is>
      </c>
      <c r="D5" s="7" t="inlineStr">
        <is>
          <t>负责人</t>
        </is>
      </c>
      <c r="E5" s="7" t="inlineStr">
        <is>
          <t>复诊频次</t>
        </is>
      </c>
      <c r="F5" s="7" t="inlineStr">
        <is>
          <t>退出标准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</row>
    <row r="6">
      <c r="A6" s="13" t="inlineStr">
        <is>
          <t>A · 高优</t>
        </is>
      </c>
      <c r="B6" s="13" t="inlineStr">
        <is>
          <t>C 级到场 + 圆桌发言 + 明确预算/项目 + 四大行业</t>
        </is>
      </c>
      <c r="C6" s="13" t="inlineStr">
        <is>
          <t>T+7 需求澄清；T+30 POC；T+90 首单</t>
        </is>
      </c>
      <c r="D6" s="13" t="inlineStr">
        <is>
          <t>WeTest 行业总监 + 大客户经理</t>
        </is>
      </c>
      <c r="E6" s="13" t="inlineStr">
        <is>
          <t>每周三同步</t>
        </is>
      </c>
      <c r="F6" s="13" t="inlineStr">
        <is>
          <t>签单 / 明确流失</t>
        </is>
      </c>
      <c r="G6" s="13" t="inlineStr"/>
      <c r="H6" s="13" t="inlineStr"/>
      <c r="I6" s="13" t="inlineStr"/>
      <c r="J6" s="13" t="inlineStr"/>
      <c r="K6" s="13" t="inlineStr"/>
      <c r="L6" s="13" t="inlineStr"/>
      <c r="M6" s="13" t="inlineStr"/>
    </row>
    <row r="7">
      <c r="A7" s="14" t="inlineStr">
        <is>
          <t>B · 中优</t>
        </is>
      </c>
      <c r="B7" s="14" t="inlineStr">
        <is>
          <t>业务 VP 到场 + 有兴趣但未明确预算</t>
        </is>
      </c>
      <c r="C7" s="14" t="inlineStr">
        <is>
          <t>T+15 二深聊；T+45 输出方案；T+90 POC</t>
        </is>
      </c>
      <c r="D7" s="14" t="inlineStr">
        <is>
          <t>WeTest 大客户经理</t>
        </is>
      </c>
      <c r="E7" s="14" t="inlineStr">
        <is>
          <t>每两周同步</t>
        </is>
      </c>
      <c r="F7" s="14" t="inlineStr">
        <is>
          <t>升 A / 降 C / 明确流失</t>
        </is>
      </c>
      <c r="G7" s="14" t="inlineStr"/>
      <c r="H7" s="14" t="inlineStr"/>
      <c r="I7" s="14" t="inlineStr"/>
      <c r="J7" s="14" t="inlineStr"/>
      <c r="K7" s="14" t="inlineStr"/>
      <c r="L7" s="14" t="inlineStr"/>
      <c r="M7" s="14" t="inlineStr"/>
    </row>
    <row r="8">
      <c r="A8" s="13" t="inlineStr">
        <is>
          <t>C · 培育</t>
        </is>
      </c>
      <c r="B8" s="13" t="inlineStr">
        <is>
          <t>代表到场 / 决策权弱 / 暂无项目</t>
        </is>
      </c>
      <c r="C8" s="13" t="inlineStr">
        <is>
          <t>月度内容运营；季度活动邀约</t>
        </is>
      </c>
      <c r="D8" s="13" t="inlineStr">
        <is>
          <t>WeTest 市场 + 内容运营</t>
        </is>
      </c>
      <c r="E8" s="13" t="inlineStr">
        <is>
          <t>月度同步</t>
        </is>
      </c>
      <c r="F8" s="13" t="inlineStr">
        <is>
          <t>升级 / 二次活动到场</t>
        </is>
      </c>
      <c r="G8" s="13" t="inlineStr"/>
      <c r="H8" s="13" t="inlineStr"/>
      <c r="I8" s="13" t="inlineStr"/>
      <c r="J8" s="13" t="inlineStr"/>
      <c r="K8" s="13" t="inlineStr"/>
      <c r="L8" s="13" t="inlineStr"/>
      <c r="M8" s="13" t="inlineStr"/>
    </row>
    <row r="11" ht="24" customHeight="1">
      <c r="A11" s="6" t="inlineStr">
        <is>
          <t>B. 7-30-60-90 跟进里程碑</t>
        </is>
      </c>
    </row>
    <row r="12" ht="26" customHeight="1">
      <c r="A12" s="7" t="inlineStr">
        <is>
          <t>公司</t>
        </is>
      </c>
      <c r="B12" s="7" t="inlineStr">
        <is>
          <t>客户</t>
        </is>
      </c>
      <c r="C12" s="7" t="inlineStr">
        <is>
          <t>ABC</t>
        </is>
      </c>
      <c r="D12" s="7" t="inlineStr">
        <is>
          <t>Owner</t>
        </is>
      </c>
      <c r="E12" s="7" t="inlineStr">
        <is>
          <t>T+1 触达</t>
        </is>
      </c>
      <c r="F12" s="7" t="inlineStr">
        <is>
          <t>T+3 录入</t>
        </is>
      </c>
      <c r="G12" s="7" t="inlineStr">
        <is>
          <t>T+7 需求澄清</t>
        </is>
      </c>
      <c r="H12" s="7" t="inlineStr">
        <is>
          <t>T+15 方案</t>
        </is>
      </c>
      <c r="I12" s="7" t="inlineStr">
        <is>
          <t>T+30 POC/二深聊</t>
        </is>
      </c>
      <c r="J12" s="7" t="inlineStr">
        <is>
          <t>T+60 POC 进度</t>
        </is>
      </c>
      <c r="K12" s="7" t="inlineStr">
        <is>
          <t>T+90 签单/POC 验收</t>
        </is>
      </c>
      <c r="L12" s="7" t="inlineStr">
        <is>
          <t>当前阶段</t>
        </is>
      </c>
      <c r="M12" s="7" t="inlineStr">
        <is>
          <t>下一步动作</t>
        </is>
      </c>
    </row>
    <row r="13">
      <c r="A13" s="13" t="inlineStr"/>
      <c r="B13" s="13" t="inlineStr"/>
      <c r="C13" s="13" t="inlineStr">
        <is>
          <t>未分级</t>
        </is>
      </c>
      <c r="D13" s="13" t="inlineStr"/>
      <c r="E13" s="13" t="inlineStr">
        <is>
          <t>未完成</t>
        </is>
      </c>
      <c r="F13" s="13" t="inlineStr">
        <is>
          <t>未完成</t>
        </is>
      </c>
      <c r="G13" s="13" t="inlineStr">
        <is>
          <t>未完成</t>
        </is>
      </c>
      <c r="H13" s="13" t="inlineStr">
        <is>
          <t>未完成</t>
        </is>
      </c>
      <c r="I13" s="13" t="inlineStr">
        <is>
          <t>未完成</t>
        </is>
      </c>
      <c r="J13" s="13" t="inlineStr">
        <is>
          <t>未完成</t>
        </is>
      </c>
      <c r="K13" s="13" t="inlineStr">
        <is>
          <t>未完成</t>
        </is>
      </c>
      <c r="L13" s="13" t="inlineStr">
        <is>
          <t>L1 到场</t>
        </is>
      </c>
      <c r="M13" s="13" t="inlineStr"/>
    </row>
    <row r="14">
      <c r="A14" s="14" t="inlineStr"/>
      <c r="B14" s="14" t="inlineStr"/>
      <c r="C14" s="14" t="inlineStr">
        <is>
          <t>未分级</t>
        </is>
      </c>
      <c r="D14" s="14" t="inlineStr"/>
      <c r="E14" s="14" t="inlineStr">
        <is>
          <t>未完成</t>
        </is>
      </c>
      <c r="F14" s="14" t="inlineStr">
        <is>
          <t>未完成</t>
        </is>
      </c>
      <c r="G14" s="14" t="inlineStr">
        <is>
          <t>未完成</t>
        </is>
      </c>
      <c r="H14" s="14" t="inlineStr">
        <is>
          <t>未完成</t>
        </is>
      </c>
      <c r="I14" s="14" t="inlineStr">
        <is>
          <t>未完成</t>
        </is>
      </c>
      <c r="J14" s="14" t="inlineStr">
        <is>
          <t>未完成</t>
        </is>
      </c>
      <c r="K14" s="14" t="inlineStr">
        <is>
          <t>未完成</t>
        </is>
      </c>
      <c r="L14" s="14" t="inlineStr">
        <is>
          <t>L1 到场</t>
        </is>
      </c>
      <c r="M14" s="14" t="inlineStr"/>
    </row>
    <row r="15">
      <c r="A15" s="13" t="inlineStr"/>
      <c r="B15" s="13" t="inlineStr"/>
      <c r="C15" s="13" t="inlineStr">
        <is>
          <t>未分级</t>
        </is>
      </c>
      <c r="D15" s="13" t="inlineStr"/>
      <c r="E15" s="13" t="inlineStr">
        <is>
          <t>未完成</t>
        </is>
      </c>
      <c r="F15" s="13" t="inlineStr">
        <is>
          <t>未完成</t>
        </is>
      </c>
      <c r="G15" s="13" t="inlineStr">
        <is>
          <t>未完成</t>
        </is>
      </c>
      <c r="H15" s="13" t="inlineStr">
        <is>
          <t>未完成</t>
        </is>
      </c>
      <c r="I15" s="13" t="inlineStr">
        <is>
          <t>未完成</t>
        </is>
      </c>
      <c r="J15" s="13" t="inlineStr">
        <is>
          <t>未完成</t>
        </is>
      </c>
      <c r="K15" s="13" t="inlineStr">
        <is>
          <t>未完成</t>
        </is>
      </c>
      <c r="L15" s="13" t="inlineStr">
        <is>
          <t>L1 到场</t>
        </is>
      </c>
      <c r="M15" s="13" t="inlineStr"/>
    </row>
    <row r="16">
      <c r="A16" s="14" t="inlineStr"/>
      <c r="B16" s="14" t="inlineStr"/>
      <c r="C16" s="14" t="inlineStr">
        <is>
          <t>未分级</t>
        </is>
      </c>
      <c r="D16" s="14" t="inlineStr"/>
      <c r="E16" s="14" t="inlineStr">
        <is>
          <t>未完成</t>
        </is>
      </c>
      <c r="F16" s="14" t="inlineStr">
        <is>
          <t>未完成</t>
        </is>
      </c>
      <c r="G16" s="14" t="inlineStr">
        <is>
          <t>未完成</t>
        </is>
      </c>
      <c r="H16" s="14" t="inlineStr">
        <is>
          <t>未完成</t>
        </is>
      </c>
      <c r="I16" s="14" t="inlineStr">
        <is>
          <t>未完成</t>
        </is>
      </c>
      <c r="J16" s="14" t="inlineStr">
        <is>
          <t>未完成</t>
        </is>
      </c>
      <c r="K16" s="14" t="inlineStr">
        <is>
          <t>未完成</t>
        </is>
      </c>
      <c r="L16" s="14" t="inlineStr">
        <is>
          <t>L1 到场</t>
        </is>
      </c>
      <c r="M16" s="14" t="inlineStr"/>
    </row>
    <row r="17">
      <c r="A17" s="13" t="inlineStr"/>
      <c r="B17" s="13" t="inlineStr"/>
      <c r="C17" s="13" t="inlineStr">
        <is>
          <t>未分级</t>
        </is>
      </c>
      <c r="D17" s="13" t="inlineStr"/>
      <c r="E17" s="13" t="inlineStr">
        <is>
          <t>未完成</t>
        </is>
      </c>
      <c r="F17" s="13" t="inlineStr">
        <is>
          <t>未完成</t>
        </is>
      </c>
      <c r="G17" s="13" t="inlineStr">
        <is>
          <t>未完成</t>
        </is>
      </c>
      <c r="H17" s="13" t="inlineStr">
        <is>
          <t>未完成</t>
        </is>
      </c>
      <c r="I17" s="13" t="inlineStr">
        <is>
          <t>未完成</t>
        </is>
      </c>
      <c r="J17" s="13" t="inlineStr">
        <is>
          <t>未完成</t>
        </is>
      </c>
      <c r="K17" s="13" t="inlineStr">
        <is>
          <t>未完成</t>
        </is>
      </c>
      <c r="L17" s="13" t="inlineStr">
        <is>
          <t>L1 到场</t>
        </is>
      </c>
      <c r="M17" s="13" t="inlineStr"/>
    </row>
    <row r="18">
      <c r="A18" s="14" t="inlineStr"/>
      <c r="B18" s="14" t="inlineStr"/>
      <c r="C18" s="14" t="inlineStr">
        <is>
          <t>未分级</t>
        </is>
      </c>
      <c r="D18" s="14" t="inlineStr"/>
      <c r="E18" s="14" t="inlineStr">
        <is>
          <t>未完成</t>
        </is>
      </c>
      <c r="F18" s="14" t="inlineStr">
        <is>
          <t>未完成</t>
        </is>
      </c>
      <c r="G18" s="14" t="inlineStr">
        <is>
          <t>未完成</t>
        </is>
      </c>
      <c r="H18" s="14" t="inlineStr">
        <is>
          <t>未完成</t>
        </is>
      </c>
      <c r="I18" s="14" t="inlineStr">
        <is>
          <t>未完成</t>
        </is>
      </c>
      <c r="J18" s="14" t="inlineStr">
        <is>
          <t>未完成</t>
        </is>
      </c>
      <c r="K18" s="14" t="inlineStr">
        <is>
          <t>未完成</t>
        </is>
      </c>
      <c r="L18" s="14" t="inlineStr">
        <is>
          <t>L1 到场</t>
        </is>
      </c>
      <c r="M18" s="14" t="inlineStr"/>
    </row>
    <row r="19">
      <c r="A19" s="13" t="inlineStr"/>
      <c r="B19" s="13" t="inlineStr"/>
      <c r="C19" s="13" t="inlineStr">
        <is>
          <t>未分级</t>
        </is>
      </c>
      <c r="D19" s="13" t="inlineStr"/>
      <c r="E19" s="13" t="inlineStr">
        <is>
          <t>未完成</t>
        </is>
      </c>
      <c r="F19" s="13" t="inlineStr">
        <is>
          <t>未完成</t>
        </is>
      </c>
      <c r="G19" s="13" t="inlineStr">
        <is>
          <t>未完成</t>
        </is>
      </c>
      <c r="H19" s="13" t="inlineStr">
        <is>
          <t>未完成</t>
        </is>
      </c>
      <c r="I19" s="13" t="inlineStr">
        <is>
          <t>未完成</t>
        </is>
      </c>
      <c r="J19" s="13" t="inlineStr">
        <is>
          <t>未完成</t>
        </is>
      </c>
      <c r="K19" s="13" t="inlineStr">
        <is>
          <t>未完成</t>
        </is>
      </c>
      <c r="L19" s="13" t="inlineStr">
        <is>
          <t>L1 到场</t>
        </is>
      </c>
      <c r="M19" s="13" t="inlineStr"/>
    </row>
    <row r="20">
      <c r="A20" s="14" t="inlineStr"/>
      <c r="B20" s="14" t="inlineStr"/>
      <c r="C20" s="14" t="inlineStr">
        <is>
          <t>未分级</t>
        </is>
      </c>
      <c r="D20" s="14" t="inlineStr"/>
      <c r="E20" s="14" t="inlineStr">
        <is>
          <t>未完成</t>
        </is>
      </c>
      <c r="F20" s="14" t="inlineStr">
        <is>
          <t>未完成</t>
        </is>
      </c>
      <c r="G20" s="14" t="inlineStr">
        <is>
          <t>未完成</t>
        </is>
      </c>
      <c r="H20" s="14" t="inlineStr">
        <is>
          <t>未完成</t>
        </is>
      </c>
      <c r="I20" s="14" t="inlineStr">
        <is>
          <t>未完成</t>
        </is>
      </c>
      <c r="J20" s="14" t="inlineStr">
        <is>
          <t>未完成</t>
        </is>
      </c>
      <c r="K20" s="14" t="inlineStr">
        <is>
          <t>未完成</t>
        </is>
      </c>
      <c r="L20" s="14" t="inlineStr">
        <is>
          <t>L1 到场</t>
        </is>
      </c>
      <c r="M20" s="14" t="inlineStr"/>
    </row>
    <row r="21">
      <c r="A21" s="13" t="inlineStr"/>
      <c r="B21" s="13" t="inlineStr"/>
      <c r="C21" s="13" t="inlineStr">
        <is>
          <t>未分级</t>
        </is>
      </c>
      <c r="D21" s="13" t="inlineStr"/>
      <c r="E21" s="13" t="inlineStr">
        <is>
          <t>未完成</t>
        </is>
      </c>
      <c r="F21" s="13" t="inlineStr">
        <is>
          <t>未完成</t>
        </is>
      </c>
      <c r="G21" s="13" t="inlineStr">
        <is>
          <t>未完成</t>
        </is>
      </c>
      <c r="H21" s="13" t="inlineStr">
        <is>
          <t>未完成</t>
        </is>
      </c>
      <c r="I21" s="13" t="inlineStr">
        <is>
          <t>未完成</t>
        </is>
      </c>
      <c r="J21" s="13" t="inlineStr">
        <is>
          <t>未完成</t>
        </is>
      </c>
      <c r="K21" s="13" t="inlineStr">
        <is>
          <t>未完成</t>
        </is>
      </c>
      <c r="L21" s="13" t="inlineStr">
        <is>
          <t>L1 到场</t>
        </is>
      </c>
      <c r="M21" s="13" t="inlineStr"/>
    </row>
    <row r="22">
      <c r="A22" s="14" t="inlineStr"/>
      <c r="B22" s="14" t="inlineStr"/>
      <c r="C22" s="14" t="inlineStr">
        <is>
          <t>未分级</t>
        </is>
      </c>
      <c r="D22" s="14" t="inlineStr"/>
      <c r="E22" s="14" t="inlineStr">
        <is>
          <t>未完成</t>
        </is>
      </c>
      <c r="F22" s="14" t="inlineStr">
        <is>
          <t>未完成</t>
        </is>
      </c>
      <c r="G22" s="14" t="inlineStr">
        <is>
          <t>未完成</t>
        </is>
      </c>
      <c r="H22" s="14" t="inlineStr">
        <is>
          <t>未完成</t>
        </is>
      </c>
      <c r="I22" s="14" t="inlineStr">
        <is>
          <t>未完成</t>
        </is>
      </c>
      <c r="J22" s="14" t="inlineStr">
        <is>
          <t>未完成</t>
        </is>
      </c>
      <c r="K22" s="14" t="inlineStr">
        <is>
          <t>未完成</t>
        </is>
      </c>
      <c r="L22" s="14" t="inlineStr">
        <is>
          <t>L1 到场</t>
        </is>
      </c>
      <c r="M22" s="14" t="inlineStr"/>
    </row>
    <row r="23">
      <c r="A23" s="13" t="inlineStr"/>
      <c r="B23" s="13" t="inlineStr"/>
      <c r="C23" s="13" t="inlineStr">
        <is>
          <t>未分级</t>
        </is>
      </c>
      <c r="D23" s="13" t="inlineStr"/>
      <c r="E23" s="13" t="inlineStr">
        <is>
          <t>未完成</t>
        </is>
      </c>
      <c r="F23" s="13" t="inlineStr">
        <is>
          <t>未完成</t>
        </is>
      </c>
      <c r="G23" s="13" t="inlineStr">
        <is>
          <t>未完成</t>
        </is>
      </c>
      <c r="H23" s="13" t="inlineStr">
        <is>
          <t>未完成</t>
        </is>
      </c>
      <c r="I23" s="13" t="inlineStr">
        <is>
          <t>未完成</t>
        </is>
      </c>
      <c r="J23" s="13" t="inlineStr">
        <is>
          <t>未完成</t>
        </is>
      </c>
      <c r="K23" s="13" t="inlineStr">
        <is>
          <t>未完成</t>
        </is>
      </c>
      <c r="L23" s="13" t="inlineStr">
        <is>
          <t>L1 到场</t>
        </is>
      </c>
      <c r="M23" s="13" t="inlineStr"/>
    </row>
    <row r="24">
      <c r="A24" s="14" t="inlineStr"/>
      <c r="B24" s="14" t="inlineStr"/>
      <c r="C24" s="14" t="inlineStr">
        <is>
          <t>未分级</t>
        </is>
      </c>
      <c r="D24" s="14" t="inlineStr"/>
      <c r="E24" s="14" t="inlineStr">
        <is>
          <t>未完成</t>
        </is>
      </c>
      <c r="F24" s="14" t="inlineStr">
        <is>
          <t>未完成</t>
        </is>
      </c>
      <c r="G24" s="14" t="inlineStr">
        <is>
          <t>未完成</t>
        </is>
      </c>
      <c r="H24" s="14" t="inlineStr">
        <is>
          <t>未完成</t>
        </is>
      </c>
      <c r="I24" s="14" t="inlineStr">
        <is>
          <t>未完成</t>
        </is>
      </c>
      <c r="J24" s="14" t="inlineStr">
        <is>
          <t>未完成</t>
        </is>
      </c>
      <c r="K24" s="14" t="inlineStr">
        <is>
          <t>未完成</t>
        </is>
      </c>
      <c r="L24" s="14" t="inlineStr">
        <is>
          <t>L1 到场</t>
        </is>
      </c>
      <c r="M24" s="14" t="inlineStr"/>
    </row>
    <row r="25">
      <c r="A25" s="13" t="inlineStr"/>
      <c r="B25" s="13" t="inlineStr"/>
      <c r="C25" s="13" t="inlineStr">
        <is>
          <t>未分级</t>
        </is>
      </c>
      <c r="D25" s="13" t="inlineStr"/>
      <c r="E25" s="13" t="inlineStr">
        <is>
          <t>未完成</t>
        </is>
      </c>
      <c r="F25" s="13" t="inlineStr">
        <is>
          <t>未完成</t>
        </is>
      </c>
      <c r="G25" s="13" t="inlineStr">
        <is>
          <t>未完成</t>
        </is>
      </c>
      <c r="H25" s="13" t="inlineStr">
        <is>
          <t>未完成</t>
        </is>
      </c>
      <c r="I25" s="13" t="inlineStr">
        <is>
          <t>未完成</t>
        </is>
      </c>
      <c r="J25" s="13" t="inlineStr">
        <is>
          <t>未完成</t>
        </is>
      </c>
      <c r="K25" s="13" t="inlineStr">
        <is>
          <t>未完成</t>
        </is>
      </c>
      <c r="L25" s="13" t="inlineStr">
        <is>
          <t>L1 到场</t>
        </is>
      </c>
      <c r="M25" s="13" t="inlineStr"/>
    </row>
    <row r="26">
      <c r="A26" s="14" t="inlineStr"/>
      <c r="B26" s="14" t="inlineStr"/>
      <c r="C26" s="14" t="inlineStr">
        <is>
          <t>未分级</t>
        </is>
      </c>
      <c r="D26" s="14" t="inlineStr"/>
      <c r="E26" s="14" t="inlineStr">
        <is>
          <t>未完成</t>
        </is>
      </c>
      <c r="F26" s="14" t="inlineStr">
        <is>
          <t>未完成</t>
        </is>
      </c>
      <c r="G26" s="14" t="inlineStr">
        <is>
          <t>未完成</t>
        </is>
      </c>
      <c r="H26" s="14" t="inlineStr">
        <is>
          <t>未完成</t>
        </is>
      </c>
      <c r="I26" s="14" t="inlineStr">
        <is>
          <t>未完成</t>
        </is>
      </c>
      <c r="J26" s="14" t="inlineStr">
        <is>
          <t>未完成</t>
        </is>
      </c>
      <c r="K26" s="14" t="inlineStr">
        <is>
          <t>未完成</t>
        </is>
      </c>
      <c r="L26" s="14" t="inlineStr">
        <is>
          <t>L1 到场</t>
        </is>
      </c>
      <c r="M26" s="14" t="inlineStr"/>
    </row>
    <row r="27">
      <c r="A27" s="13" t="inlineStr"/>
      <c r="B27" s="13" t="inlineStr"/>
      <c r="C27" s="13" t="inlineStr">
        <is>
          <t>未分级</t>
        </is>
      </c>
      <c r="D27" s="13" t="inlineStr"/>
      <c r="E27" s="13" t="inlineStr">
        <is>
          <t>未完成</t>
        </is>
      </c>
      <c r="F27" s="13" t="inlineStr">
        <is>
          <t>未完成</t>
        </is>
      </c>
      <c r="G27" s="13" t="inlineStr">
        <is>
          <t>未完成</t>
        </is>
      </c>
      <c r="H27" s="13" t="inlineStr">
        <is>
          <t>未完成</t>
        </is>
      </c>
      <c r="I27" s="13" t="inlineStr">
        <is>
          <t>未完成</t>
        </is>
      </c>
      <c r="J27" s="13" t="inlineStr">
        <is>
          <t>未完成</t>
        </is>
      </c>
      <c r="K27" s="13" t="inlineStr">
        <is>
          <t>未完成</t>
        </is>
      </c>
      <c r="L27" s="13" t="inlineStr">
        <is>
          <t>L1 到场</t>
        </is>
      </c>
      <c r="M27" s="13" t="inlineStr"/>
    </row>
    <row r="28">
      <c r="A28" s="14" t="inlineStr"/>
      <c r="B28" s="14" t="inlineStr"/>
      <c r="C28" s="14" t="inlineStr">
        <is>
          <t>未分级</t>
        </is>
      </c>
      <c r="D28" s="14" t="inlineStr"/>
      <c r="E28" s="14" t="inlineStr">
        <is>
          <t>未完成</t>
        </is>
      </c>
      <c r="F28" s="14" t="inlineStr">
        <is>
          <t>未完成</t>
        </is>
      </c>
      <c r="G28" s="14" t="inlineStr">
        <is>
          <t>未完成</t>
        </is>
      </c>
      <c r="H28" s="14" t="inlineStr">
        <is>
          <t>未完成</t>
        </is>
      </c>
      <c r="I28" s="14" t="inlineStr">
        <is>
          <t>未完成</t>
        </is>
      </c>
      <c r="J28" s="14" t="inlineStr">
        <is>
          <t>未完成</t>
        </is>
      </c>
      <c r="K28" s="14" t="inlineStr">
        <is>
          <t>未完成</t>
        </is>
      </c>
      <c r="L28" s="14" t="inlineStr">
        <is>
          <t>L1 到场</t>
        </is>
      </c>
      <c r="M28" s="14" t="inlineStr"/>
    </row>
    <row r="29">
      <c r="A29" s="13" t="inlineStr"/>
      <c r="B29" s="13" t="inlineStr"/>
      <c r="C29" s="13" t="inlineStr">
        <is>
          <t>未分级</t>
        </is>
      </c>
      <c r="D29" s="13" t="inlineStr"/>
      <c r="E29" s="13" t="inlineStr">
        <is>
          <t>未完成</t>
        </is>
      </c>
      <c r="F29" s="13" t="inlineStr">
        <is>
          <t>未完成</t>
        </is>
      </c>
      <c r="G29" s="13" t="inlineStr">
        <is>
          <t>未完成</t>
        </is>
      </c>
      <c r="H29" s="13" t="inlineStr">
        <is>
          <t>未完成</t>
        </is>
      </c>
      <c r="I29" s="13" t="inlineStr">
        <is>
          <t>未完成</t>
        </is>
      </c>
      <c r="J29" s="13" t="inlineStr">
        <is>
          <t>未完成</t>
        </is>
      </c>
      <c r="K29" s="13" t="inlineStr">
        <is>
          <t>未完成</t>
        </is>
      </c>
      <c r="L29" s="13" t="inlineStr">
        <is>
          <t>L1 到场</t>
        </is>
      </c>
      <c r="M29" s="13" t="inlineStr"/>
    </row>
    <row r="30">
      <c r="A30" s="14" t="inlineStr"/>
      <c r="B30" s="14" t="inlineStr"/>
      <c r="C30" s="14" t="inlineStr">
        <is>
          <t>未分级</t>
        </is>
      </c>
      <c r="D30" s="14" t="inlineStr"/>
      <c r="E30" s="14" t="inlineStr">
        <is>
          <t>未完成</t>
        </is>
      </c>
      <c r="F30" s="14" t="inlineStr">
        <is>
          <t>未完成</t>
        </is>
      </c>
      <c r="G30" s="14" t="inlineStr">
        <is>
          <t>未完成</t>
        </is>
      </c>
      <c r="H30" s="14" t="inlineStr">
        <is>
          <t>未完成</t>
        </is>
      </c>
      <c r="I30" s="14" t="inlineStr">
        <is>
          <t>未完成</t>
        </is>
      </c>
      <c r="J30" s="14" t="inlineStr">
        <is>
          <t>未完成</t>
        </is>
      </c>
      <c r="K30" s="14" t="inlineStr">
        <is>
          <t>未完成</t>
        </is>
      </c>
      <c r="L30" s="14" t="inlineStr">
        <is>
          <t>L1 到场</t>
        </is>
      </c>
      <c r="M30" s="14" t="inlineStr"/>
    </row>
    <row r="31">
      <c r="A31" s="13" t="inlineStr"/>
      <c r="B31" s="13" t="inlineStr"/>
      <c r="C31" s="13" t="inlineStr">
        <is>
          <t>未分级</t>
        </is>
      </c>
      <c r="D31" s="13" t="inlineStr"/>
      <c r="E31" s="13" t="inlineStr">
        <is>
          <t>未完成</t>
        </is>
      </c>
      <c r="F31" s="13" t="inlineStr">
        <is>
          <t>未完成</t>
        </is>
      </c>
      <c r="G31" s="13" t="inlineStr">
        <is>
          <t>未完成</t>
        </is>
      </c>
      <c r="H31" s="13" t="inlineStr">
        <is>
          <t>未完成</t>
        </is>
      </c>
      <c r="I31" s="13" t="inlineStr">
        <is>
          <t>未完成</t>
        </is>
      </c>
      <c r="J31" s="13" t="inlineStr">
        <is>
          <t>未完成</t>
        </is>
      </c>
      <c r="K31" s="13" t="inlineStr">
        <is>
          <t>未完成</t>
        </is>
      </c>
      <c r="L31" s="13" t="inlineStr">
        <is>
          <t>L1 到场</t>
        </is>
      </c>
      <c r="M31" s="13" t="inlineStr"/>
    </row>
    <row r="32">
      <c r="A32" s="14" t="inlineStr"/>
      <c r="B32" s="14" t="inlineStr"/>
      <c r="C32" s="14" t="inlineStr">
        <is>
          <t>未分级</t>
        </is>
      </c>
      <c r="D32" s="14" t="inlineStr"/>
      <c r="E32" s="14" t="inlineStr">
        <is>
          <t>未完成</t>
        </is>
      </c>
      <c r="F32" s="14" t="inlineStr">
        <is>
          <t>未完成</t>
        </is>
      </c>
      <c r="G32" s="14" t="inlineStr">
        <is>
          <t>未完成</t>
        </is>
      </c>
      <c r="H32" s="14" t="inlineStr">
        <is>
          <t>未完成</t>
        </is>
      </c>
      <c r="I32" s="14" t="inlineStr">
        <is>
          <t>未完成</t>
        </is>
      </c>
      <c r="J32" s="14" t="inlineStr">
        <is>
          <t>未完成</t>
        </is>
      </c>
      <c r="K32" s="14" t="inlineStr">
        <is>
          <t>未完成</t>
        </is>
      </c>
      <c r="L32" s="14" t="inlineStr">
        <is>
          <t>L1 到场</t>
        </is>
      </c>
      <c r="M32" s="14" t="inlineStr"/>
    </row>
    <row r="33">
      <c r="A33" s="13" t="inlineStr"/>
      <c r="B33" s="13" t="inlineStr"/>
      <c r="C33" s="13" t="inlineStr">
        <is>
          <t>未分级</t>
        </is>
      </c>
      <c r="D33" s="13" t="inlineStr"/>
      <c r="E33" s="13" t="inlineStr">
        <is>
          <t>未完成</t>
        </is>
      </c>
      <c r="F33" s="13" t="inlineStr">
        <is>
          <t>未完成</t>
        </is>
      </c>
      <c r="G33" s="13" t="inlineStr">
        <is>
          <t>未完成</t>
        </is>
      </c>
      <c r="H33" s="13" t="inlineStr">
        <is>
          <t>未完成</t>
        </is>
      </c>
      <c r="I33" s="13" t="inlineStr">
        <is>
          <t>未完成</t>
        </is>
      </c>
      <c r="J33" s="13" t="inlineStr">
        <is>
          <t>未完成</t>
        </is>
      </c>
      <c r="K33" s="13" t="inlineStr">
        <is>
          <t>未完成</t>
        </is>
      </c>
      <c r="L33" s="13" t="inlineStr">
        <is>
          <t>L1 到场</t>
        </is>
      </c>
      <c r="M33" s="13" t="inlineStr"/>
    </row>
    <row r="34">
      <c r="A34" s="14" t="inlineStr"/>
      <c r="B34" s="14" t="inlineStr"/>
      <c r="C34" s="14" t="inlineStr">
        <is>
          <t>未分级</t>
        </is>
      </c>
      <c r="D34" s="14" t="inlineStr"/>
      <c r="E34" s="14" t="inlineStr">
        <is>
          <t>未完成</t>
        </is>
      </c>
      <c r="F34" s="14" t="inlineStr">
        <is>
          <t>未完成</t>
        </is>
      </c>
      <c r="G34" s="14" t="inlineStr">
        <is>
          <t>未完成</t>
        </is>
      </c>
      <c r="H34" s="14" t="inlineStr">
        <is>
          <t>未完成</t>
        </is>
      </c>
      <c r="I34" s="14" t="inlineStr">
        <is>
          <t>未完成</t>
        </is>
      </c>
      <c r="J34" s="14" t="inlineStr">
        <is>
          <t>未完成</t>
        </is>
      </c>
      <c r="K34" s="14" t="inlineStr">
        <is>
          <t>未完成</t>
        </is>
      </c>
      <c r="L34" s="14" t="inlineStr">
        <is>
          <t>L1 到场</t>
        </is>
      </c>
      <c r="M34" s="14" t="inlineStr"/>
    </row>
    <row r="35">
      <c r="A35" s="13" t="inlineStr"/>
      <c r="B35" s="13" t="inlineStr"/>
      <c r="C35" s="13" t="inlineStr">
        <is>
          <t>未分级</t>
        </is>
      </c>
      <c r="D35" s="13" t="inlineStr"/>
      <c r="E35" s="13" t="inlineStr">
        <is>
          <t>未完成</t>
        </is>
      </c>
      <c r="F35" s="13" t="inlineStr">
        <is>
          <t>未完成</t>
        </is>
      </c>
      <c r="G35" s="13" t="inlineStr">
        <is>
          <t>未完成</t>
        </is>
      </c>
      <c r="H35" s="13" t="inlineStr">
        <is>
          <t>未完成</t>
        </is>
      </c>
      <c r="I35" s="13" t="inlineStr">
        <is>
          <t>未完成</t>
        </is>
      </c>
      <c r="J35" s="13" t="inlineStr">
        <is>
          <t>未完成</t>
        </is>
      </c>
      <c r="K35" s="13" t="inlineStr">
        <is>
          <t>未完成</t>
        </is>
      </c>
      <c r="L35" s="13" t="inlineStr">
        <is>
          <t>L1 到场</t>
        </is>
      </c>
      <c r="M35" s="13" t="inlineStr"/>
    </row>
    <row r="36">
      <c r="A36" s="14" t="inlineStr"/>
      <c r="B36" s="14" t="inlineStr"/>
      <c r="C36" s="14" t="inlineStr">
        <is>
          <t>未分级</t>
        </is>
      </c>
      <c r="D36" s="14" t="inlineStr"/>
      <c r="E36" s="14" t="inlineStr">
        <is>
          <t>未完成</t>
        </is>
      </c>
      <c r="F36" s="14" t="inlineStr">
        <is>
          <t>未完成</t>
        </is>
      </c>
      <c r="G36" s="14" t="inlineStr">
        <is>
          <t>未完成</t>
        </is>
      </c>
      <c r="H36" s="14" t="inlineStr">
        <is>
          <t>未完成</t>
        </is>
      </c>
      <c r="I36" s="14" t="inlineStr">
        <is>
          <t>未完成</t>
        </is>
      </c>
      <c r="J36" s="14" t="inlineStr">
        <is>
          <t>未完成</t>
        </is>
      </c>
      <c r="K36" s="14" t="inlineStr">
        <is>
          <t>未完成</t>
        </is>
      </c>
      <c r="L36" s="14" t="inlineStr">
        <is>
          <t>L1 到场</t>
        </is>
      </c>
      <c r="M36" s="14" t="inlineStr"/>
    </row>
    <row r="37">
      <c r="A37" s="13" t="inlineStr"/>
      <c r="B37" s="13" t="inlineStr"/>
      <c r="C37" s="13" t="inlineStr">
        <is>
          <t>未分级</t>
        </is>
      </c>
      <c r="D37" s="13" t="inlineStr"/>
      <c r="E37" s="13" t="inlineStr">
        <is>
          <t>未完成</t>
        </is>
      </c>
      <c r="F37" s="13" t="inlineStr">
        <is>
          <t>未完成</t>
        </is>
      </c>
      <c r="G37" s="13" t="inlineStr">
        <is>
          <t>未完成</t>
        </is>
      </c>
      <c r="H37" s="13" t="inlineStr">
        <is>
          <t>未完成</t>
        </is>
      </c>
      <c r="I37" s="13" t="inlineStr">
        <is>
          <t>未完成</t>
        </is>
      </c>
      <c r="J37" s="13" t="inlineStr">
        <is>
          <t>未完成</t>
        </is>
      </c>
      <c r="K37" s="13" t="inlineStr">
        <is>
          <t>未完成</t>
        </is>
      </c>
      <c r="L37" s="13" t="inlineStr">
        <is>
          <t>L1 到场</t>
        </is>
      </c>
      <c r="M37" s="13" t="inlineStr"/>
    </row>
    <row r="38">
      <c r="A38" s="14" t="inlineStr"/>
      <c r="B38" s="14" t="inlineStr"/>
      <c r="C38" s="14" t="inlineStr">
        <is>
          <t>未分级</t>
        </is>
      </c>
      <c r="D38" s="14" t="inlineStr"/>
      <c r="E38" s="14" t="inlineStr">
        <is>
          <t>未完成</t>
        </is>
      </c>
      <c r="F38" s="14" t="inlineStr">
        <is>
          <t>未完成</t>
        </is>
      </c>
      <c r="G38" s="14" t="inlineStr">
        <is>
          <t>未完成</t>
        </is>
      </c>
      <c r="H38" s="14" t="inlineStr">
        <is>
          <t>未完成</t>
        </is>
      </c>
      <c r="I38" s="14" t="inlineStr">
        <is>
          <t>未完成</t>
        </is>
      </c>
      <c r="J38" s="14" t="inlineStr">
        <is>
          <t>未完成</t>
        </is>
      </c>
      <c r="K38" s="14" t="inlineStr">
        <is>
          <t>未完成</t>
        </is>
      </c>
      <c r="L38" s="14" t="inlineStr">
        <is>
          <t>L1 到场</t>
        </is>
      </c>
      <c r="M38" s="14" t="inlineStr"/>
    </row>
    <row r="39">
      <c r="A39" s="13" t="inlineStr"/>
      <c r="B39" s="13" t="inlineStr"/>
      <c r="C39" s="13" t="inlineStr">
        <is>
          <t>未分级</t>
        </is>
      </c>
      <c r="D39" s="13" t="inlineStr"/>
      <c r="E39" s="13" t="inlineStr">
        <is>
          <t>未完成</t>
        </is>
      </c>
      <c r="F39" s="13" t="inlineStr">
        <is>
          <t>未完成</t>
        </is>
      </c>
      <c r="G39" s="13" t="inlineStr">
        <is>
          <t>未完成</t>
        </is>
      </c>
      <c r="H39" s="13" t="inlineStr">
        <is>
          <t>未完成</t>
        </is>
      </c>
      <c r="I39" s="13" t="inlineStr">
        <is>
          <t>未完成</t>
        </is>
      </c>
      <c r="J39" s="13" t="inlineStr">
        <is>
          <t>未完成</t>
        </is>
      </c>
      <c r="K39" s="13" t="inlineStr">
        <is>
          <t>未完成</t>
        </is>
      </c>
      <c r="L39" s="13" t="inlineStr">
        <is>
          <t>L1 到场</t>
        </is>
      </c>
      <c r="M39" s="13" t="inlineStr"/>
    </row>
    <row r="40">
      <c r="A40" s="14" t="inlineStr"/>
      <c r="B40" s="14" t="inlineStr"/>
      <c r="C40" s="14" t="inlineStr">
        <is>
          <t>未分级</t>
        </is>
      </c>
      <c r="D40" s="14" t="inlineStr"/>
      <c r="E40" s="14" t="inlineStr">
        <is>
          <t>未完成</t>
        </is>
      </c>
      <c r="F40" s="14" t="inlineStr">
        <is>
          <t>未完成</t>
        </is>
      </c>
      <c r="G40" s="14" t="inlineStr">
        <is>
          <t>未完成</t>
        </is>
      </c>
      <c r="H40" s="14" t="inlineStr">
        <is>
          <t>未完成</t>
        </is>
      </c>
      <c r="I40" s="14" t="inlineStr">
        <is>
          <t>未完成</t>
        </is>
      </c>
      <c r="J40" s="14" t="inlineStr">
        <is>
          <t>未完成</t>
        </is>
      </c>
      <c r="K40" s="14" t="inlineStr">
        <is>
          <t>未完成</t>
        </is>
      </c>
      <c r="L40" s="14" t="inlineStr">
        <is>
          <t>L1 到场</t>
        </is>
      </c>
      <c r="M40" s="14" t="inlineStr"/>
    </row>
    <row r="41">
      <c r="A41" s="13" t="inlineStr"/>
      <c r="B41" s="13" t="inlineStr"/>
      <c r="C41" s="13" t="inlineStr">
        <is>
          <t>未分级</t>
        </is>
      </c>
      <c r="D41" s="13" t="inlineStr"/>
      <c r="E41" s="13" t="inlineStr">
        <is>
          <t>未完成</t>
        </is>
      </c>
      <c r="F41" s="13" t="inlineStr">
        <is>
          <t>未完成</t>
        </is>
      </c>
      <c r="G41" s="13" t="inlineStr">
        <is>
          <t>未完成</t>
        </is>
      </c>
      <c r="H41" s="13" t="inlineStr">
        <is>
          <t>未完成</t>
        </is>
      </c>
      <c r="I41" s="13" t="inlineStr">
        <is>
          <t>未完成</t>
        </is>
      </c>
      <c r="J41" s="13" t="inlineStr">
        <is>
          <t>未完成</t>
        </is>
      </c>
      <c r="K41" s="13" t="inlineStr">
        <is>
          <t>未完成</t>
        </is>
      </c>
      <c r="L41" s="13" t="inlineStr">
        <is>
          <t>L1 到场</t>
        </is>
      </c>
      <c r="M41" s="13" t="inlineStr"/>
    </row>
    <row r="42">
      <c r="A42" s="14" t="inlineStr"/>
      <c r="B42" s="14" t="inlineStr"/>
      <c r="C42" s="14" t="inlineStr">
        <is>
          <t>未分级</t>
        </is>
      </c>
      <c r="D42" s="14" t="inlineStr"/>
      <c r="E42" s="14" t="inlineStr">
        <is>
          <t>未完成</t>
        </is>
      </c>
      <c r="F42" s="14" t="inlineStr">
        <is>
          <t>未完成</t>
        </is>
      </c>
      <c r="G42" s="14" t="inlineStr">
        <is>
          <t>未完成</t>
        </is>
      </c>
      <c r="H42" s="14" t="inlineStr">
        <is>
          <t>未完成</t>
        </is>
      </c>
      <c r="I42" s="14" t="inlineStr">
        <is>
          <t>未完成</t>
        </is>
      </c>
      <c r="J42" s="14" t="inlineStr">
        <is>
          <t>未完成</t>
        </is>
      </c>
      <c r="K42" s="14" t="inlineStr">
        <is>
          <t>未完成</t>
        </is>
      </c>
      <c r="L42" s="14" t="inlineStr">
        <is>
          <t>L1 到场</t>
        </is>
      </c>
      <c r="M42" s="14" t="inlineStr"/>
    </row>
  </sheetData>
  <mergeCells count="4">
    <mergeCell ref="A4:M4"/>
    <mergeCell ref="A2:M2"/>
    <mergeCell ref="A11:M11"/>
    <mergeCell ref="A1:M1"/>
  </mergeCells>
  <conditionalFormatting sqref="E13:E42">
    <cfRule type="cellIs" priority="1" operator="equal" dxfId="5">
      <formula>"已完成"</formula>
    </cfRule>
    <cfRule type="cellIs" priority="2" operator="equal" dxfId="4">
      <formula>"延期"</formula>
    </cfRule>
  </conditionalFormatting>
  <conditionalFormatting sqref="F13:F42">
    <cfRule type="cellIs" priority="3" operator="equal" dxfId="5">
      <formula>"已完成"</formula>
    </cfRule>
    <cfRule type="cellIs" priority="4" operator="equal" dxfId="4">
      <formula>"延期"</formula>
    </cfRule>
  </conditionalFormatting>
  <conditionalFormatting sqref="G13:G42">
    <cfRule type="cellIs" priority="5" operator="equal" dxfId="5">
      <formula>"已完成"</formula>
    </cfRule>
    <cfRule type="cellIs" priority="6" operator="equal" dxfId="4">
      <formula>"延期"</formula>
    </cfRule>
  </conditionalFormatting>
  <conditionalFormatting sqref="H13:H42">
    <cfRule type="cellIs" priority="7" operator="equal" dxfId="5">
      <formula>"已完成"</formula>
    </cfRule>
    <cfRule type="cellIs" priority="8" operator="equal" dxfId="4">
      <formula>"延期"</formula>
    </cfRule>
  </conditionalFormatting>
  <conditionalFormatting sqref="I13:I42">
    <cfRule type="cellIs" priority="9" operator="equal" dxfId="5">
      <formula>"已完成"</formula>
    </cfRule>
    <cfRule type="cellIs" priority="10" operator="equal" dxfId="4">
      <formula>"延期"</formula>
    </cfRule>
  </conditionalFormatting>
  <conditionalFormatting sqref="J13:J42">
    <cfRule type="cellIs" priority="11" operator="equal" dxfId="5">
      <formula>"已完成"</formula>
    </cfRule>
    <cfRule type="cellIs" priority="12" operator="equal" dxfId="4">
      <formula>"延期"</formula>
    </cfRule>
  </conditionalFormatting>
  <conditionalFormatting sqref="K13:K42">
    <cfRule type="cellIs" priority="13" operator="equal" dxfId="5">
      <formula>"已完成"</formula>
    </cfRule>
    <cfRule type="cellIs" priority="14" operator="equal" dxfId="4">
      <formula>"延期"</formula>
    </cfRule>
  </conditionalFormatting>
  <conditionalFormatting sqref="C13:C42">
    <cfRule type="cellIs" priority="15" operator="equal" dxfId="6">
      <formula>"A · 高优"</formula>
    </cfRule>
  </conditionalFormatting>
  <conditionalFormatting sqref="L13:L42">
    <cfRule type="cellIs" priority="16" operator="equal" dxfId="0">
      <formula>"L5 签单"</formula>
    </cfRule>
    <cfRule type="cellIs" priority="17" operator="equal" dxfId="7">
      <formula>"流失"</formula>
    </cfRule>
  </conditionalFormatting>
  <dataValidations count="3">
    <dataValidation sqref="C13:C42" showDropDown="0" showInputMessage="0" showErrorMessage="0" allowBlank="1" type="list">
      <formula1>"A · 高优,B · 中优,C · 培育,未分级"</formula1>
    </dataValidation>
    <dataValidation sqref="E13:E42 F13:F42 G13:G42 H13:H42 I13:I42 J13:J42 K13:K42" showDropDown="0" showInputMessage="0" showErrorMessage="0" allowBlank="1" type="list">
      <formula1>"未完成,进行中,已完成,延期,N/A"</formula1>
    </dataValidation>
    <dataValidation sqref="L13:L42" showDropDown="0" showInputMessage="0" showErrorMessage="0" allowBlank="1" type="list">
      <formula1>"L1 到场,L2 强意向,L3 商机,L4 POC,L5 签单,流失"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22" customWidth="1" min="5" max="5"/>
    <col width="16" customWidth="1" min="6" max="6"/>
    <col width="12" customWidth="1" min="7" max="7"/>
    <col width="28" customWidth="1" min="8" max="8"/>
  </cols>
  <sheetData>
    <row r="1" ht="36" customHeight="1">
      <c r="A1" s="1" t="inlineStr">
        <is>
          <t>销售/转化漏斗（详细版）</t>
        </is>
      </c>
    </row>
    <row r="2" ht="20" customHeight="1">
      <c r="A2" s="2" t="inlineStr">
        <is>
          <t>每周三 17:00 销售例会同步</t>
        </is>
      </c>
    </row>
    <row r="4" ht="26" customHeight="1">
      <c r="A4" s="7" t="inlineStr">
        <is>
          <t>阶段</t>
        </is>
      </c>
      <c r="B4" s="7" t="inlineStr">
        <is>
          <t>动作</t>
        </is>
      </c>
      <c r="C4" s="7" t="inlineStr">
        <is>
          <t>目标人数</t>
        </is>
      </c>
      <c r="D4" s="7" t="inlineStr">
        <is>
          <t>实际人数</t>
        </is>
      </c>
      <c r="E4" s="7" t="inlineStr">
        <is>
          <t>目标转化率（环比上阶段）</t>
        </is>
      </c>
      <c r="F4" s="7" t="inlineStr">
        <is>
          <t>实际转化率</t>
        </is>
      </c>
      <c r="G4" s="7" t="inlineStr">
        <is>
          <t>状态</t>
        </is>
      </c>
      <c r="H4" s="7" t="inlineStr">
        <is>
          <t>备注</t>
        </is>
      </c>
    </row>
    <row r="5">
      <c r="A5" s="30" t="inlineStr">
        <is>
          <t>L0 邀请池</t>
        </is>
      </c>
      <c r="B5" s="31" t="inlineStr">
        <is>
          <t>定向邀约</t>
        </is>
      </c>
      <c r="C5" s="31" t="n">
        <v>75</v>
      </c>
      <c r="D5" s="31" t="n">
        <v>0</v>
      </c>
      <c r="E5" s="31" t="inlineStr">
        <is>
          <t>—</t>
        </is>
      </c>
      <c r="F5" s="31" t="inlineStr">
        <is>
          <t>—</t>
        </is>
      </c>
      <c r="G5" s="31">
        <f>IF(D5&gt;=C5,"达成",IF(D5&gt;=C5*0.7,"进行中","风险"))</f>
        <v/>
      </c>
      <c r="H5" s="31" t="inlineStr"/>
    </row>
    <row r="6">
      <c r="A6" s="30" t="inlineStr">
        <is>
          <t>L1 到场（认知）</t>
        </is>
      </c>
      <c r="B6" s="31" t="inlineStr">
        <is>
          <t>签到 + 名片</t>
        </is>
      </c>
      <c r="C6" s="31" t="n">
        <v>25</v>
      </c>
      <c r="D6" s="31" t="n">
        <v>0</v>
      </c>
      <c r="E6" s="31" t="inlineStr">
        <is>
          <t>33%</t>
        </is>
      </c>
      <c r="F6" s="32">
        <f>IFERROR(D6/D5,0)</f>
        <v/>
      </c>
      <c r="G6" s="31">
        <f>IF(D6&gt;=C6,"达成",IF(D6&gt;=C6*0.7,"进行中","风险"))</f>
        <v/>
      </c>
      <c r="H6" s="31" t="inlineStr"/>
    </row>
    <row r="7">
      <c r="A7" s="30" t="inlineStr">
        <is>
          <t>L2 强意向</t>
        </is>
      </c>
      <c r="B7" s="31" t="inlineStr">
        <is>
          <t>圆桌发言 / 1V1 预约</t>
        </is>
      </c>
      <c r="C7" s="31" t="n">
        <v>15</v>
      </c>
      <c r="D7" s="31" t="n">
        <v>0</v>
      </c>
      <c r="E7" s="31" t="inlineStr">
        <is>
          <t>60%</t>
        </is>
      </c>
      <c r="F7" s="32">
        <f>IFERROR(D7/D6,0)</f>
        <v/>
      </c>
      <c r="G7" s="31">
        <f>IF(D7&gt;=C7,"达成",IF(D7&gt;=C7*0.7,"进行中","风险"))</f>
        <v/>
      </c>
      <c r="H7" s="31" t="inlineStr"/>
    </row>
    <row r="8">
      <c r="A8" s="30" t="inlineStr">
        <is>
          <t>L3 商机 (T+7)</t>
        </is>
      </c>
      <c r="B8" s="31" t="inlineStr">
        <is>
          <t>需求澄清会</t>
        </is>
      </c>
      <c r="C8" s="31" t="n">
        <v>9</v>
      </c>
      <c r="D8" s="31" t="n">
        <v>0</v>
      </c>
      <c r="E8" s="31" t="inlineStr">
        <is>
          <t>60%</t>
        </is>
      </c>
      <c r="F8" s="32">
        <f>IFERROR(D8/D7,0)</f>
        <v/>
      </c>
      <c r="G8" s="31">
        <f>IF(D8&gt;=C8,"达成",IF(D8&gt;=C8*0.7,"进行中","风险"))</f>
        <v/>
      </c>
      <c r="H8" s="31" t="inlineStr"/>
    </row>
    <row r="9">
      <c r="A9" s="30" t="inlineStr">
        <is>
          <t>L4 POC (T+30)</t>
        </is>
      </c>
      <c r="B9" s="31" t="inlineStr">
        <is>
          <t>POC 立项</t>
        </is>
      </c>
      <c r="C9" s="31" t="n">
        <v>5</v>
      </c>
      <c r="D9" s="31" t="n">
        <v>0</v>
      </c>
      <c r="E9" s="31" t="inlineStr">
        <is>
          <t>55%</t>
        </is>
      </c>
      <c r="F9" s="32">
        <f>IFERROR(D9/D8,0)</f>
        <v/>
      </c>
      <c r="G9" s="31">
        <f>IF(D9&gt;=C9,"达成",IF(D9&gt;=C9*0.7,"进行中","风险"))</f>
        <v/>
      </c>
      <c r="H9" s="31" t="inlineStr"/>
    </row>
    <row r="10">
      <c r="A10" s="30" t="inlineStr">
        <is>
          <t>L5 签单 (T+90)</t>
        </is>
      </c>
      <c r="B10" s="31" t="inlineStr">
        <is>
          <t>首单签订</t>
        </is>
      </c>
      <c r="C10" s="31" t="n">
        <v>3</v>
      </c>
      <c r="D10" s="31" t="n">
        <v>0</v>
      </c>
      <c r="E10" s="31" t="inlineStr">
        <is>
          <t>60%</t>
        </is>
      </c>
      <c r="F10" s="32">
        <f>IFERROR(D10/D9,0)</f>
        <v/>
      </c>
      <c r="G10" s="31">
        <f>IF(D10&gt;=C10,"达成",IF(D10&gt;=C10*0.7,"进行中","风险"))</f>
        <v/>
      </c>
      <c r="H10" s="31" t="inlineStr"/>
    </row>
    <row r="12">
      <c r="A12" s="33" t="inlineStr">
        <is>
          <t>整体转化率（L0 → L5）</t>
        </is>
      </c>
      <c r="B12" s="34" t="inlineStr">
        <is>
          <t>目标：=ROUND(D10/D5,3)</t>
        </is>
      </c>
      <c r="D12" s="35">
        <f>IFERROR(D10/D5,0)</f>
        <v/>
      </c>
    </row>
    <row r="14" ht="24" customHeight="1">
      <c r="A14" s="3" t="inlineStr">
        <is>
          <t>★ 销售周例会模板（每周三 17:00）</t>
        </is>
      </c>
    </row>
    <row r="15" ht="22" customHeight="1">
      <c r="A15" s="36" t="inlineStr">
        <is>
          <t>1. 本周新增 A/B 级线索数 vs 目标</t>
        </is>
      </c>
    </row>
    <row r="16" ht="22" customHeight="1">
      <c r="A16" s="36" t="inlineStr">
        <is>
          <t>2. A 级线索逐条 review：当前阶段、阻塞、下一步、Owner</t>
        </is>
      </c>
    </row>
    <row r="17" ht="22" customHeight="1">
      <c r="A17" s="36" t="inlineStr">
        <is>
          <t>3. B 级线索抽样 review（≥ 30%）</t>
        </is>
      </c>
    </row>
    <row r="18" ht="22" customHeight="1">
      <c r="A18" s="36" t="inlineStr">
        <is>
          <t>4. POC 进度与阻塞（A 级专项）</t>
        </is>
      </c>
    </row>
    <row r="19" ht="22" customHeight="1">
      <c r="A19" s="36" t="inlineStr">
        <is>
          <t>5. 流失线索原因分析（≥ 1 条结构化复盘）</t>
        </is>
      </c>
    </row>
    <row r="20" ht="22" customHeight="1">
      <c r="A20" s="36" t="inlineStr">
        <is>
          <t>6. 下周关键动作 + Owner + 截止日</t>
        </is>
      </c>
    </row>
    <row r="21" ht="22" customHeight="1">
      <c r="A21" s="36" t="inlineStr">
        <is>
          <t>7. 需协会/临港支持事项</t>
        </is>
      </c>
    </row>
  </sheetData>
  <mergeCells count="11">
    <mergeCell ref="A18:H18"/>
    <mergeCell ref="A21:H21"/>
    <mergeCell ref="A15:H15"/>
    <mergeCell ref="A20:H20"/>
    <mergeCell ref="A2:H2"/>
    <mergeCell ref="A16:H16"/>
    <mergeCell ref="A19:H19"/>
    <mergeCell ref="A14:H14"/>
    <mergeCell ref="A17:H17"/>
    <mergeCell ref="A1:H1"/>
    <mergeCell ref="B12:C12"/>
  </mergeCells>
  <conditionalFormatting sqref="G5:G10">
    <cfRule type="cellIs" priority="1" operator="equal" dxfId="5">
      <formula>"达成"</formula>
    </cfRule>
    <cfRule type="cellIs" priority="2" operator="equal" dxfId="4">
      <formula>"风险"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0" customWidth="1" min="4" max="4"/>
    <col width="14" customWidth="1" min="5" max="5"/>
    <col width="12" customWidth="1" min="6" max="6"/>
    <col width="10" customWidth="1" min="7" max="7"/>
  </cols>
  <sheetData>
    <row r="1" ht="36" customHeight="1">
      <c r="A1" s="1" t="inlineStr">
        <is>
          <t>KPI 与销售考核挂钩</t>
        </is>
      </c>
    </row>
    <row r="2" ht="20" customHeight="1">
      <c r="A2" s="2" t="inlineStr">
        <is>
          <t>活动效果不是 “办了” 而是 “成单”</t>
        </is>
      </c>
    </row>
    <row r="4" ht="26" customHeight="1">
      <c r="A4" s="7" t="inlineStr">
        <is>
          <t>维度</t>
        </is>
      </c>
      <c r="B4" s="7" t="inlineStr">
        <is>
          <t>指标</t>
        </is>
      </c>
      <c r="C4" s="7" t="inlineStr">
        <is>
          <t>目标</t>
        </is>
      </c>
      <c r="D4" s="7" t="inlineStr">
        <is>
          <t>权重</t>
        </is>
      </c>
      <c r="E4" s="7" t="inlineStr">
        <is>
          <t>实际</t>
        </is>
      </c>
      <c r="F4" s="7" t="inlineStr">
        <is>
          <t>完成率</t>
        </is>
      </c>
      <c r="G4" s="7" t="inlineStr">
        <is>
          <t>得分</t>
        </is>
      </c>
    </row>
    <row r="5">
      <c r="A5" s="37" t="inlineStr">
        <is>
          <t>邀约</t>
        </is>
      </c>
      <c r="B5" s="27" t="inlineStr">
        <is>
          <t>邀请池规模</t>
        </is>
      </c>
      <c r="C5" s="27" t="n">
        <v>75</v>
      </c>
      <c r="D5" s="38" t="n">
        <v>0.08</v>
      </c>
      <c r="E5" s="27" t="n">
        <v>0</v>
      </c>
      <c r="F5" s="39">
        <f>IFERROR(E5/C5,0)</f>
        <v/>
      </c>
      <c r="G5" s="40">
        <f>MIN(F5,1.2)*D5*100</f>
        <v/>
      </c>
    </row>
    <row r="6">
      <c r="A6" s="37" t="inlineStr">
        <is>
          <t>邀约</t>
        </is>
      </c>
      <c r="B6" s="27" t="inlineStr">
        <is>
          <t>C 级/VP 占比 (%)</t>
        </is>
      </c>
      <c r="C6" s="27" t="n">
        <v>70</v>
      </c>
      <c r="D6" s="38" t="n">
        <v>0.08</v>
      </c>
      <c r="E6" s="27" t="n">
        <v>0</v>
      </c>
      <c r="F6" s="39">
        <f>IFERROR(E6/C6,0)</f>
        <v/>
      </c>
      <c r="G6" s="40">
        <f>MIN(F6,1.2)*D6*100</f>
        <v/>
      </c>
    </row>
    <row r="7">
      <c r="A7" s="37" t="inlineStr">
        <is>
          <t>到场</t>
        </is>
      </c>
      <c r="B7" s="27" t="inlineStr">
        <is>
          <t>到场率 (%)</t>
        </is>
      </c>
      <c r="C7" s="27" t="n">
        <v>33</v>
      </c>
      <c r="D7" s="38" t="n">
        <v>0.08</v>
      </c>
      <c r="E7" s="27" t="n">
        <v>0</v>
      </c>
      <c r="F7" s="39">
        <f>IFERROR(E7/C7,0)</f>
        <v/>
      </c>
      <c r="G7" s="40">
        <f>MIN(F7,1.2)*D7*100</f>
        <v/>
      </c>
    </row>
    <row r="8">
      <c r="A8" s="37" t="inlineStr">
        <is>
          <t>到场</t>
        </is>
      </c>
      <c r="B8" s="27" t="inlineStr">
        <is>
          <t>实际到场人数</t>
        </is>
      </c>
      <c r="C8" s="27" t="n">
        <v>25</v>
      </c>
      <c r="D8" s="38" t="n">
        <v>0.08</v>
      </c>
      <c r="E8" s="27" t="n">
        <v>0</v>
      </c>
      <c r="F8" s="39">
        <f>IFERROR(E8/C8,0)</f>
        <v/>
      </c>
      <c r="G8" s="40">
        <f>MIN(F8,1.2)*D8*100</f>
        <v/>
      </c>
    </row>
    <row r="9">
      <c r="A9" s="37" t="inlineStr">
        <is>
          <t>现场</t>
        </is>
      </c>
      <c r="B9" s="27" t="inlineStr">
        <is>
          <t>圆桌发言客户数</t>
        </is>
      </c>
      <c r="C9" s="27" t="n">
        <v>8</v>
      </c>
      <c r="D9" s="38" t="n">
        <v>0.08</v>
      </c>
      <c r="E9" s="27" t="n">
        <v>0</v>
      </c>
      <c r="F9" s="39">
        <f>IFERROR(E9/C9,0)</f>
        <v/>
      </c>
      <c r="G9" s="40">
        <f>MIN(F9,1.2)*D9*100</f>
        <v/>
      </c>
    </row>
    <row r="10">
      <c r="A10" s="37" t="inlineStr">
        <is>
          <t>现场</t>
        </is>
      </c>
      <c r="B10" s="27" t="inlineStr">
        <is>
          <t>1V1 深聊预约数</t>
        </is>
      </c>
      <c r="C10" s="27" t="n">
        <v>12</v>
      </c>
      <c r="D10" s="38" t="n">
        <v>0.08</v>
      </c>
      <c r="E10" s="27" t="n">
        <v>0</v>
      </c>
      <c r="F10" s="39">
        <f>IFERROR(E10/C10,0)</f>
        <v/>
      </c>
      <c r="G10" s="40">
        <f>MIN(F10,1.2)*D10*100</f>
        <v/>
      </c>
    </row>
    <row r="11">
      <c r="A11" s="37" t="inlineStr">
        <is>
          <t>转化</t>
        </is>
      </c>
      <c r="B11" s="27" t="inlineStr">
        <is>
          <t>T+7 需求澄清会</t>
        </is>
      </c>
      <c r="C11" s="27" t="n">
        <v>9</v>
      </c>
      <c r="D11" s="38" t="n">
        <v>0.12</v>
      </c>
      <c r="E11" s="27" t="n">
        <v>0</v>
      </c>
      <c r="F11" s="39">
        <f>IFERROR(E11/C11,0)</f>
        <v/>
      </c>
      <c r="G11" s="40">
        <f>MIN(F11,1.2)*D11*100</f>
        <v/>
      </c>
    </row>
    <row r="12">
      <c r="A12" s="37" t="inlineStr">
        <is>
          <t>转化</t>
        </is>
      </c>
      <c r="B12" s="27" t="inlineStr">
        <is>
          <t>T+30 POC 立项</t>
        </is>
      </c>
      <c r="C12" s="27" t="n">
        <v>5</v>
      </c>
      <c r="D12" s="38" t="n">
        <v>0.12</v>
      </c>
      <c r="E12" s="27" t="n">
        <v>0</v>
      </c>
      <c r="F12" s="39">
        <f>IFERROR(E12/C12,0)</f>
        <v/>
      </c>
      <c r="G12" s="40">
        <f>MIN(F12,1.2)*D12*100</f>
        <v/>
      </c>
    </row>
    <row r="13">
      <c r="A13" s="37" t="inlineStr">
        <is>
          <t>转化</t>
        </is>
      </c>
      <c r="B13" s="27" t="inlineStr">
        <is>
          <t>T+90 首单数</t>
        </is>
      </c>
      <c r="C13" s="27" t="n">
        <v>3</v>
      </c>
      <c r="D13" s="38" t="n">
        <v>0.15</v>
      </c>
      <c r="E13" s="27" t="n">
        <v>0</v>
      </c>
      <c r="F13" s="39">
        <f>IFERROR(E13/C13,0)</f>
        <v/>
      </c>
      <c r="G13" s="40">
        <f>MIN(F13,1.2)*D13*100</f>
        <v/>
      </c>
    </row>
    <row r="14">
      <c r="A14" s="37" t="inlineStr">
        <is>
          <t>收入</t>
        </is>
      </c>
      <c r="B14" s="27" t="inlineStr">
        <is>
          <t>首单 GMV (元)</t>
        </is>
      </c>
      <c r="C14" s="27" t="n">
        <v>3000000</v>
      </c>
      <c r="D14" s="38" t="n">
        <v>0.1</v>
      </c>
      <c r="E14" s="27" t="n">
        <v>0</v>
      </c>
      <c r="F14" s="39">
        <f>IFERROR(E14/C14,0)</f>
        <v/>
      </c>
      <c r="G14" s="40">
        <f>MIN(F14,1.2)*D14*100</f>
        <v/>
      </c>
    </row>
    <row r="15">
      <c r="A15" s="37" t="inlineStr">
        <is>
          <t>品牌</t>
        </is>
      </c>
      <c r="B15" s="27" t="inlineStr">
        <is>
          <t>媒体露出次数</t>
        </is>
      </c>
      <c r="C15" s="27" t="n">
        <v>10</v>
      </c>
      <c r="D15" s="38" t="n">
        <v>0.03</v>
      </c>
      <c r="E15" s="27" t="n">
        <v>0</v>
      </c>
      <c r="F15" s="39">
        <f>IFERROR(E15/C15,0)</f>
        <v/>
      </c>
      <c r="G15" s="40">
        <f>MIN(F15,1.2)*D15*100</f>
        <v/>
      </c>
    </row>
    <row r="16">
      <c r="A16" s="24" t="inlineStr"/>
      <c r="B16" s="24" t="inlineStr">
        <is>
          <t>总分（满分 100，120% 封顶）</t>
        </is>
      </c>
      <c r="C16" s="24" t="inlineStr"/>
      <c r="D16" s="41">
        <f>SUM(D5:D15)</f>
        <v/>
      </c>
      <c r="E16" s="24" t="inlineStr"/>
      <c r="F16" s="24" t="inlineStr"/>
      <c r="G16" s="42">
        <f>SUM(G5:G15)</f>
        <v/>
      </c>
    </row>
    <row r="18" ht="24" customHeight="1">
      <c r="A18" s="11" t="inlineStr">
        <is>
          <t>考核挂钩规则</t>
        </is>
      </c>
    </row>
    <row r="19" ht="22" customHeight="1">
      <c r="A19" s="36" t="inlineStr">
        <is>
          <t>≥ 90 分：项目奖金 100%；销售提成正常上浮。</t>
        </is>
      </c>
    </row>
    <row r="20" ht="22" customHeight="1">
      <c r="A20" s="36" t="inlineStr">
        <is>
          <t>70-89 分：项目奖金 80%；销售按目标提成。</t>
        </is>
      </c>
    </row>
    <row r="21" ht="22" customHeight="1">
      <c r="A21" s="36" t="inlineStr">
        <is>
          <t>50-69 分：项目奖金 50%；销售提成按 70% 计。</t>
        </is>
      </c>
    </row>
    <row r="22" ht="22" customHeight="1">
      <c r="A22" s="36" t="inlineStr">
        <is>
          <t>&lt; 50 分：项目奖金 0；触发复盘机制 + 责任倒查。</t>
        </is>
      </c>
    </row>
  </sheetData>
  <mergeCells count="7">
    <mergeCell ref="A1:G1"/>
    <mergeCell ref="A18:G18"/>
    <mergeCell ref="A21:G21"/>
    <mergeCell ref="A22:G22"/>
    <mergeCell ref="A20:G20"/>
    <mergeCell ref="A2:G2"/>
    <mergeCell ref="A19:G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2" customWidth="1" min="4" max="4"/>
    <col width="22" customWidth="1" min="5" max="5"/>
    <col width="24" customWidth="1" min="6" max="6"/>
    <col width="22" customWidth="1" min="7" max="7"/>
    <col width="18" customWidth="1" min="8" max="8"/>
  </cols>
  <sheetData>
    <row r="1" ht="36" customHeight="1">
      <c r="A1" s="1" t="inlineStr">
        <is>
          <t>四大行业 × 方案矩阵</t>
        </is>
      </c>
    </row>
    <row r="2" ht="20" customHeight="1">
      <c r="A2" s="2" t="inlineStr">
        <is>
          <t>每位 A/B 级客户进入时，先对齐该矩阵选首选方案包</t>
        </is>
      </c>
    </row>
    <row r="4" ht="26" customHeight="1">
      <c r="A4" s="7" t="inlineStr">
        <is>
          <t>行业</t>
        </is>
      </c>
      <c r="B4" s="7" t="inlineStr">
        <is>
          <t>出海/入华主诉求</t>
        </is>
      </c>
      <c r="C4" s="7" t="inlineStr">
        <is>
          <t>首选方案包</t>
        </is>
      </c>
      <c r="D4" s="7" t="inlineStr">
        <is>
          <t>次选方案包</t>
        </is>
      </c>
      <c r="E4" s="7" t="inlineStr">
        <is>
          <t>标杆案例</t>
        </is>
      </c>
      <c r="F4" s="7" t="inlineStr">
        <is>
          <t>首单切入产品</t>
        </is>
      </c>
      <c r="G4" s="7" t="inlineStr">
        <is>
          <t>话术钩子</t>
        </is>
      </c>
      <c r="H4" s="7" t="inlineStr">
        <is>
          <t>Owner</t>
        </is>
      </c>
    </row>
    <row r="5">
      <c r="A5" s="13" t="inlineStr">
        <is>
          <t>金融</t>
        </is>
      </c>
      <c r="B5" s="13" t="inlineStr">
        <is>
          <t>数据跨境 + 风控 + 隐私 + 防篡改</t>
        </is>
      </c>
      <c r="C5" s="13" t="inlineStr">
        <is>
          <t>③ 跨境合规安全包</t>
        </is>
      </c>
      <c r="D5" s="13" t="inlineStr">
        <is>
          <t>① 日本出海加速包</t>
        </is>
      </c>
      <c r="E5" s="13" t="inlineStr">
        <is>
          <t>银联云小程序安全扫描</t>
        </is>
      </c>
      <c r="F5" s="13" t="inlineStr">
        <is>
          <t>小程序合规扫描 + 数据跨境审计</t>
        </is>
      </c>
      <c r="G5" s="13" t="inlineStr">
        <is>
          <t>「过审无忧」「合规托底」</t>
        </is>
      </c>
      <c r="H5" s="13" t="inlineStr">
        <is>
          <t>WeTest 金融组</t>
        </is>
      </c>
    </row>
    <row r="6">
      <c r="A6" s="14" t="inlineStr">
        <is>
          <t>游戏</t>
        </is>
      </c>
      <c r="B6" s="14" t="inlineStr">
        <is>
          <t>日本市场首发 + 网络 / 设备 + 真金支付 + 防作弊</t>
        </is>
      </c>
      <c r="C6" s="14" t="inlineStr">
        <is>
          <t>① 日本出海加速包</t>
        </is>
      </c>
      <c r="D6" s="14" t="inlineStr">
        <is>
          <t>③ 跨境合规安全包</t>
        </is>
      </c>
      <c r="E6" s="14" t="inlineStr">
        <is>
          <t>跨境电商 UDT + 海外众测</t>
        </is>
      </c>
      <c r="F6" s="14" t="inlineStr">
        <is>
          <t>海外众测 + UDT 日本真机</t>
        </is>
      </c>
      <c r="G6" s="14" t="inlineStr">
        <is>
          <t>「即开即用」「免封号」</t>
        </is>
      </c>
      <c r="H6" s="14" t="inlineStr">
        <is>
          <t>WeTest 游戏组</t>
        </is>
      </c>
    </row>
    <row r="7">
      <c r="A7" s="13" t="inlineStr">
        <is>
          <t>电商/零售</t>
        </is>
      </c>
      <c r="B7" s="13" t="inlineStr">
        <is>
          <t>本地支付 + 防黑产 + 跨境物流 + 风控封号</t>
        </is>
      </c>
      <c r="C7" s="13" t="inlineStr">
        <is>
          <t>① + ③</t>
        </is>
      </c>
      <c r="D7" s="13" t="inlineStr">
        <is>
          <t>② 日资入华质量包</t>
        </is>
      </c>
      <c r="E7" s="13" t="inlineStr">
        <is>
          <t>跨境电商 UDT</t>
        </is>
      </c>
      <c r="F7" s="13" t="inlineStr">
        <is>
          <t>海外支付验收 + 安全网关</t>
        </is>
      </c>
      <c r="G7" s="13" t="inlineStr">
        <is>
          <t>「真金支付测试」「免封号」</t>
        </is>
      </c>
      <c r="H7" s="13" t="inlineStr">
        <is>
          <t>WeTest 电商组</t>
        </is>
      </c>
    </row>
    <row r="8">
      <c r="A8" s="14" t="inlineStr">
        <is>
          <t>泛互联网</t>
        </is>
      </c>
      <c r="B8" s="14" t="inlineStr">
        <is>
          <t>本地化 / 多语言 / 网络 / SDK 兼容</t>
        </is>
      </c>
      <c r="C8" s="14" t="inlineStr">
        <is>
          <t>① 日本出海加速包</t>
        </is>
      </c>
      <c r="D8" s="14" t="inlineStr">
        <is>
          <t>PerfDog 单品</t>
        </is>
      </c>
      <c r="E8" s="14" t="inlineStr">
        <is>
          <t>PerfDog + 海外众测</t>
        </is>
      </c>
      <c r="F8" s="14" t="inlineStr">
        <is>
          <t>PerfDog + 兼容/众测</t>
        </is>
      </c>
      <c r="G8" s="14" t="inlineStr">
        <is>
          <t>「即插即用」「全平台」</t>
        </is>
      </c>
      <c r="H8" s="14" t="inlineStr">
        <is>
          <t>WeTest 互联网组</t>
        </is>
      </c>
    </row>
    <row r="9">
      <c r="A9" s="13" t="inlineStr">
        <is>
          <t>日资入华</t>
        </is>
      </c>
      <c r="B9" s="13" t="inlineStr">
        <is>
          <t>小程序兼容 / 微信隐私合规 / 移动支付适配</t>
        </is>
      </c>
      <c r="C9" s="13" t="inlineStr">
        <is>
          <t>② 日资入华质量包</t>
        </is>
      </c>
      <c r="D9" s="13" t="inlineStr">
        <is>
          <t>③ 跨境合规安全包</t>
        </is>
      </c>
      <c r="E9" s="13" t="inlineStr">
        <is>
          <t>微信小程序合规扫描</t>
        </is>
      </c>
      <c r="F9" s="13" t="inlineStr">
        <is>
          <t>小程序兼容 + 隐私合规</t>
        </is>
      </c>
      <c r="G9" s="13" t="inlineStr">
        <is>
          <t>「中国独有生态质控」</t>
        </is>
      </c>
      <c r="H9" s="13" t="inlineStr">
        <is>
          <t>WeTest 中日团队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10" customWidth="1" min="4" max="4"/>
    <col width="10" customWidth="1" min="5" max="5"/>
    <col width="10" customWidth="1" min="6" max="6"/>
    <col width="50" customWidth="1" min="7" max="7"/>
    <col width="18" customWidth="1" min="8" max="8"/>
  </cols>
  <sheetData>
    <row r="1" ht="36" customHeight="1">
      <c r="A1" s="1" t="inlineStr">
        <is>
          <t>风险评估与应急预案</t>
        </is>
      </c>
    </row>
    <row r="2" ht="20" customHeight="1">
      <c r="A2" s="2" t="inlineStr">
        <is>
          <t>概率 × 影响 → 自动判定优先级</t>
        </is>
      </c>
    </row>
    <row r="4" ht="26" customHeight="1">
      <c r="A4" s="7" t="inlineStr">
        <is>
          <t>#</t>
        </is>
      </c>
      <c r="B4" s="7" t="inlineStr">
        <is>
          <t>类别</t>
        </is>
      </c>
      <c r="C4" s="7" t="inlineStr">
        <is>
          <t>风险</t>
        </is>
      </c>
      <c r="D4" s="7" t="inlineStr">
        <is>
          <t>概率(1-5)</t>
        </is>
      </c>
      <c r="E4" s="7" t="inlineStr">
        <is>
          <t>影响(1-5)</t>
        </is>
      </c>
      <c r="F4" s="7" t="inlineStr">
        <is>
          <t>风险值</t>
        </is>
      </c>
      <c r="G4" s="7" t="inlineStr">
        <is>
          <t>预案</t>
        </is>
      </c>
      <c r="H4" s="7" t="inlineStr">
        <is>
          <t>Owner</t>
        </is>
      </c>
    </row>
    <row r="5">
      <c r="A5" s="13" t="n">
        <v>1</v>
      </c>
      <c r="B5" s="13" t="inlineStr">
        <is>
          <t>到场率</t>
        </is>
      </c>
      <c r="C5" s="13" t="inlineStr">
        <is>
          <t>目标客户临时缺席</t>
        </is>
      </c>
      <c r="D5" s="13" t="n">
        <v>3</v>
      </c>
      <c r="E5" s="13" t="n">
        <v>5</v>
      </c>
      <c r="F5" s="43">
        <f>D5*E5</f>
        <v/>
      </c>
      <c r="G5" s="13" t="inlineStr">
        <is>
          <t>T-2/T-1 二轮确认 + 备选 5 人 + 协会内部直播链路</t>
        </is>
      </c>
      <c r="H5" s="13" t="inlineStr">
        <is>
          <t>协会</t>
        </is>
      </c>
    </row>
    <row r="6">
      <c r="A6" s="14" t="n">
        <v>2</v>
      </c>
      <c r="B6" s="14" t="inlineStr">
        <is>
          <t>嘉宾</t>
        </is>
      </c>
      <c r="C6" s="14" t="inlineStr">
        <is>
          <t>学术嘉宾日程冲突</t>
        </is>
      </c>
      <c r="D6" s="14" t="n">
        <v>2</v>
      </c>
      <c r="E6" s="14" t="n">
        <v>5</v>
      </c>
      <c r="F6" s="44">
        <f>D6*E6</f>
        <v/>
      </c>
      <c r="G6" s="14" t="inlineStr">
        <is>
          <t>锁定 1 位 backup（同领域权威） + 预演 PPT</t>
        </is>
      </c>
      <c r="H6" s="14" t="inlineStr">
        <is>
          <t>协会</t>
        </is>
      </c>
    </row>
    <row r="7">
      <c r="A7" s="13" t="n">
        <v>3</v>
      </c>
      <c r="B7" s="13" t="inlineStr">
        <is>
          <t>设备</t>
        </is>
      </c>
      <c r="C7" s="13" t="inlineStr">
        <is>
          <t>日本真机网络不稳定</t>
        </is>
      </c>
      <c r="D7" s="13" t="n">
        <v>3</v>
      </c>
      <c r="E7" s="13" t="n">
        <v>3</v>
      </c>
      <c r="F7" s="43">
        <f>D7*E7</f>
        <v/>
      </c>
      <c r="G7" s="13" t="inlineStr">
        <is>
          <t>本地录屏备份 Demo + 双链路网络冗余</t>
        </is>
      </c>
      <c r="H7" s="13" t="inlineStr">
        <is>
          <t>WeTest IT</t>
        </is>
      </c>
    </row>
    <row r="8">
      <c r="A8" s="14" t="n">
        <v>4</v>
      </c>
      <c r="B8" s="14" t="inlineStr">
        <is>
          <t>转化</t>
        </is>
      </c>
      <c r="C8" s="14" t="inlineStr">
        <is>
          <t>WeTest 销售跟进不及时</t>
        </is>
      </c>
      <c r="D8" s="14" t="n">
        <v>3</v>
      </c>
      <c r="E8" s="14" t="n">
        <v>5</v>
      </c>
      <c r="F8" s="44">
        <f>D8*E8</f>
        <v/>
      </c>
      <c r="G8" s="14" t="inlineStr">
        <is>
          <t>T+1 强制 1V1 触达 SOP + 周例会督办 + KPI 考核挂钩</t>
        </is>
      </c>
      <c r="H8" s="14" t="inlineStr">
        <is>
          <t>WeTest 销售运营</t>
        </is>
      </c>
    </row>
    <row r="9">
      <c r="A9" s="13" t="n">
        <v>5</v>
      </c>
      <c r="B9" s="13" t="inlineStr">
        <is>
          <t>合规</t>
        </is>
      </c>
      <c r="C9" s="13" t="inlineStr">
        <is>
          <t>闭门内容外泄</t>
        </is>
      </c>
      <c r="D9" s="13" t="n">
        <v>2</v>
      </c>
      <c r="E9" s="13" t="n">
        <v>3</v>
      </c>
      <c r="F9" s="43">
        <f>D9*E9</f>
        <v/>
      </c>
      <c r="G9" s="13" t="inlineStr">
        <is>
          <t>签到处 NDA 签署 + 现场无直播 + 协会统一精剪发布</t>
        </is>
      </c>
      <c r="H9" s="13" t="inlineStr">
        <is>
          <t>协会法务</t>
        </is>
      </c>
    </row>
    <row r="10">
      <c r="A10" s="14" t="n">
        <v>6</v>
      </c>
      <c r="B10" s="14" t="inlineStr">
        <is>
          <t>不可抗力</t>
        </is>
      </c>
      <c r="C10" s="14" t="inlineStr">
        <is>
          <t>线下临时改线上</t>
        </is>
      </c>
      <c r="D10" s="14" t="n">
        <v>2</v>
      </c>
      <c r="E10" s="14" t="n">
        <v>5</v>
      </c>
      <c r="F10" s="44">
        <f>D10*E10</f>
        <v/>
      </c>
      <c r="G10" s="14" t="inlineStr">
        <is>
          <t>腾讯会议直播方案 + 物料邮寄 + 远程 Demo 备份</t>
        </is>
      </c>
      <c r="H10" s="14" t="inlineStr">
        <is>
          <t>三方</t>
        </is>
      </c>
    </row>
    <row r="11">
      <c r="A11" s="13" t="n">
        <v>7</v>
      </c>
      <c r="B11" s="13" t="inlineStr">
        <is>
          <t>签到</t>
        </is>
      </c>
      <c r="C11" s="13" t="inlineStr">
        <is>
          <t>签到拥堵 / 二维码失败</t>
        </is>
      </c>
      <c r="D11" s="13" t="n">
        <v>2</v>
      </c>
      <c r="E11" s="13" t="n">
        <v>2</v>
      </c>
      <c r="F11" s="43">
        <f>D11*E11</f>
        <v/>
      </c>
      <c r="G11" s="13" t="inlineStr">
        <is>
          <t>纸质签到表备份 + 2 名礼仪 + 备用 Wi-Fi</t>
        </is>
      </c>
      <c r="H11" s="13" t="inlineStr">
        <is>
          <t>协会会务</t>
        </is>
      </c>
    </row>
    <row r="12">
      <c r="A12" s="14" t="n">
        <v>8</v>
      </c>
      <c r="B12" s="14" t="inlineStr">
        <is>
          <t>议程</t>
        </is>
      </c>
      <c r="C12" s="14" t="inlineStr">
        <is>
          <t>圆桌冷场 / 客户不愿发言</t>
        </is>
      </c>
      <c r="D12" s="14" t="n">
        <v>3</v>
      </c>
      <c r="E12" s="14" t="n">
        <v>4</v>
      </c>
      <c r="F12" s="44">
        <f>D12*E12</f>
        <v/>
      </c>
      <c r="G12" s="14" t="inlineStr">
        <is>
          <t>提前与 4 位行业代表对齐 ”首发言“ + 主持人引导脚本</t>
        </is>
      </c>
      <c r="H12" s="14" t="inlineStr">
        <is>
          <t>WeTest 行业总监</t>
        </is>
      </c>
    </row>
  </sheetData>
  <mergeCells count="2">
    <mergeCell ref="A2:H2"/>
    <mergeCell ref="A1:H1"/>
  </mergeCells>
  <conditionalFormatting sqref="F5:F12">
    <cfRule type="colorScale" priority="1">
      <colorScale>
        <cfvo type="num" val="1"/>
        <cfvo type="num" val="10"/>
        <cfvo type="num" val="25"/>
        <color rgb="00D4EDDA"/>
        <color rgb="00FFF3CD"/>
        <color rgb="00F8D7DA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6" customWidth="1" min="4" max="4"/>
    <col width="28" customWidth="1" min="5" max="5"/>
    <col width="28" customWidth="1" min="6" max="6"/>
    <col width="14" customWidth="1" min="7" max="7"/>
    <col width="12" customWidth="1" min="8" max="8"/>
  </cols>
  <sheetData>
    <row r="1" ht="36" customHeight="1">
      <c r="A1" s="1" t="inlineStr">
        <is>
          <t>复盘记录模板</t>
        </is>
      </c>
    </row>
    <row r="2" ht="20" customHeight="1">
      <c r="A2" s="2" t="inlineStr">
        <is>
          <t>T+3 / T+15 / T+30 / T+90 四阶段复盘</t>
        </is>
      </c>
    </row>
    <row r="4" ht="24" customHeight="1">
      <c r="A4" s="3" t="inlineStr">
        <is>
          <t>T+3 内部快速复盘（90 分钟，三方）</t>
        </is>
      </c>
    </row>
    <row r="5" ht="26" customHeight="1">
      <c r="A5" s="7" t="inlineStr">
        <is>
          <t>维度</t>
        </is>
      </c>
      <c r="B5" s="7" t="inlineStr">
        <is>
          <t>目标</t>
        </is>
      </c>
      <c r="C5" s="7" t="inlineStr">
        <is>
          <t>实际</t>
        </is>
      </c>
      <c r="D5" s="7" t="inlineStr">
        <is>
          <t>GAP</t>
        </is>
      </c>
      <c r="E5" s="7" t="inlineStr">
        <is>
          <t>原因分析</t>
        </is>
      </c>
      <c r="F5" s="7" t="inlineStr">
        <is>
          <t>改进动作</t>
        </is>
      </c>
      <c r="G5" s="7" t="inlineStr">
        <is>
          <t>Owner</t>
        </is>
      </c>
      <c r="H5" s="7" t="inlineStr">
        <is>
          <t>截止日</t>
        </is>
      </c>
    </row>
    <row r="6">
      <c r="A6" s="13" t="inlineStr">
        <is>
          <t>邀约质量</t>
        </is>
      </c>
      <c r="B6" s="13" t="inlineStr">
        <is>
          <t>C 级 / VP 占比 ≥ 70%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>
      <c r="A7" s="14" t="inlineStr">
        <is>
          <t>到场率</t>
        </is>
      </c>
      <c r="B7" s="14" t="inlineStr">
        <is>
          <t>≥ 33%</t>
        </is>
      </c>
      <c r="C7" s="14" t="inlineStr"/>
      <c r="D7" s="14" t="inlineStr"/>
      <c r="E7" s="14" t="inlineStr"/>
      <c r="F7" s="14" t="inlineStr"/>
      <c r="G7" s="14" t="inlineStr"/>
      <c r="H7" s="14" t="inlineStr"/>
    </row>
    <row r="8">
      <c r="A8" s="13" t="inlineStr">
        <is>
          <t>现场执行</t>
        </is>
      </c>
      <c r="B8" s="13" t="inlineStr">
        <is>
          <t>8 个抓手 100% 触发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>
      <c r="A9" s="14" t="inlineStr">
        <is>
          <t>销售触达</t>
        </is>
      </c>
      <c r="B9" s="14" t="inlineStr">
        <is>
          <t>T+1 1V1 触达 100%</t>
        </is>
      </c>
      <c r="C9" s="14" t="inlineStr"/>
      <c r="D9" s="14" t="inlineStr"/>
      <c r="E9" s="14" t="inlineStr"/>
      <c r="F9" s="14" t="inlineStr"/>
      <c r="G9" s="14" t="inlineStr"/>
      <c r="H9" s="14" t="inlineStr"/>
    </row>
    <row r="10">
      <c r="A10" s="13" t="inlineStr">
        <is>
          <t>客户满意度</t>
        </is>
      </c>
      <c r="B10" s="13" t="inlineStr">
        <is>
          <t>NPS ≥ 8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2" ht="24" customHeight="1">
      <c r="A12" s="11" t="inlineStr">
        <is>
          <t>T+15 客户视角复盘（抽样 5 位 A 级回访）</t>
        </is>
      </c>
    </row>
    <row r="13" ht="26" customHeight="1">
      <c r="A13" s="7" t="inlineStr">
        <is>
          <t>客户</t>
        </is>
      </c>
      <c r="B13" s="7" t="inlineStr">
        <is>
          <t>好评点</t>
        </is>
      </c>
      <c r="C13" s="7" t="inlineStr">
        <is>
          <t>改进点</t>
        </is>
      </c>
      <c r="D13" s="7" t="inlineStr">
        <is>
          <t>对方案包评价</t>
        </is>
      </c>
      <c r="E13" s="7" t="inlineStr">
        <is>
          <t>下一步</t>
        </is>
      </c>
      <c r="F13" s="7" t="inlineStr">
        <is>
          <t>Owner</t>
        </is>
      </c>
      <c r="G13" s="7" t="inlineStr">
        <is>
          <t>回访日</t>
        </is>
      </c>
      <c r="H13" s="7" t="inlineStr">
        <is>
          <t>状态</t>
        </is>
      </c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</row>
    <row r="20" ht="24" customHeight="1">
      <c r="A20" s="6" t="inlineStr">
        <is>
          <t>T+30 转化中期复盘 + T+90 收单复盘（合并模板）</t>
        </is>
      </c>
    </row>
    <row r="21" ht="26" customHeight="1">
      <c r="A21" s="7" t="inlineStr">
        <is>
          <t>阶段</t>
        </is>
      </c>
      <c r="B21" s="7" t="inlineStr">
        <is>
          <t>目标</t>
        </is>
      </c>
      <c r="C21" s="7" t="inlineStr">
        <is>
          <t>实际</t>
        </is>
      </c>
      <c r="D21" s="7" t="inlineStr">
        <is>
          <t>ROI</t>
        </is>
      </c>
      <c r="E21" s="7" t="inlineStr">
        <is>
          <t>成单亮点</t>
        </is>
      </c>
      <c r="F21" s="7" t="inlineStr">
        <is>
          <t>流失原因</t>
        </is>
      </c>
      <c r="G21" s="7" t="inlineStr">
        <is>
          <t>下一场迭代建议</t>
        </is>
      </c>
      <c r="H21" s="7" t="inlineStr">
        <is>
          <t>Owner</t>
        </is>
      </c>
    </row>
    <row r="22">
      <c r="A22" s="14" t="inlineStr">
        <is>
          <t>T+30 中期</t>
        </is>
      </c>
      <c r="B22" s="14" t="inlineStr">
        <is>
          <t>POC ≥ 5</t>
        </is>
      </c>
      <c r="C22" s="14" t="inlineStr"/>
      <c r="D22" s="14" t="inlineStr"/>
      <c r="E22" s="14" t="inlineStr"/>
      <c r="F22" s="14" t="inlineStr"/>
      <c r="G22" s="14" t="inlineStr"/>
      <c r="H22" s="14" t="inlineStr"/>
    </row>
    <row r="23">
      <c r="A23" s="13" t="inlineStr">
        <is>
          <t>T+90 收单</t>
        </is>
      </c>
      <c r="B23" s="13" t="inlineStr">
        <is>
          <t>首单 ≥ 3 / GMV ≥ 300 万</t>
        </is>
      </c>
      <c r="C23" s="13" t="inlineStr"/>
      <c r="D23" s="13" t="inlineStr"/>
      <c r="E23" s="13" t="inlineStr"/>
      <c r="F23" s="13" t="inlineStr"/>
      <c r="G23" s="13" t="inlineStr"/>
      <c r="H23" s="13" t="inlineStr"/>
    </row>
  </sheetData>
  <mergeCells count="5">
    <mergeCell ref="A12:H12"/>
    <mergeCell ref="A4:H4"/>
    <mergeCell ref="A20:H2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2026-05-18T03:52:59Z</dcterms:created>
  <dcterms:modified xmlns:dcterms="http://purl.org/dc/terms/" xmlns:xsi="http://www.w3.org/2001/XMLSchema-instance" xsi:type="dcterms:W3CDTF">2026-05-18T03:52:59Z</dcterms:modified>
</cp:coreProperties>
</file>