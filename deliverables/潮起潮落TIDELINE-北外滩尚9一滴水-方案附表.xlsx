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阅读说明" sheetId="1" state="visible" r:id="rId1"/>
    <sheet xmlns:r="http://schemas.openxmlformats.org/officeDocument/2006/relationships" name="01-活动信息" sheetId="2" state="visible" r:id="rId2"/>
    <sheet xmlns:r="http://schemas.openxmlformats.org/officeDocument/2006/relationships" name="02-商业价值" sheetId="3" state="visible" r:id="rId3"/>
    <sheet xmlns:r="http://schemas.openxmlformats.org/officeDocument/2006/relationships" name="03-长期产品" sheetId="4" state="visible" r:id="rId4"/>
    <sheet xmlns:r="http://schemas.openxmlformats.org/officeDocument/2006/relationships" name="04-赞助权益" sheetId="5" state="visible" r:id="rId5"/>
    <sheet xmlns:r="http://schemas.openxmlformats.org/officeDocument/2006/relationships" name="05-传播计划" sheetId="6" state="visible" r:id="rId6"/>
    <sheet xmlns:r="http://schemas.openxmlformats.org/officeDocument/2006/relationships" name="06-空间需求" sheetId="7" state="visible" r:id="rId7"/>
    <sheet xmlns:r="http://schemas.openxmlformats.org/officeDocument/2006/relationships" name="07-活动日程" sheetId="8" state="visible" r:id="rId8"/>
    <sheet xmlns:r="http://schemas.openxmlformats.org/officeDocument/2006/relationships" name="08-团队案例" sheetId="9" state="visible" r:id="rId9"/>
    <sheet xmlns:r="http://schemas.openxmlformats.org/officeDocument/2006/relationships" name="09-执行保障" sheetId="10" state="visible" r:id="rId10"/>
    <sheet xmlns:r="http://schemas.openxmlformats.org/officeDocument/2006/relationships" name="10-场地配合" sheetId="11" state="visible" r:id="rId11"/>
    <sheet xmlns:r="http://schemas.openxmlformats.org/officeDocument/2006/relationships" name="11-收入与成本" sheetId="12" state="visible" r:id="rId12"/>
    <sheet xmlns:r="http://schemas.openxmlformats.org/officeDocument/2006/relationships" name="12-合作模式" sheetId="13" state="visible" r:id="rId13"/>
    <sheet xmlns:r="http://schemas.openxmlformats.org/officeDocument/2006/relationships" name="13-推进时间" sheetId="14" state="visible" r:id="rId14"/>
    <sheet xmlns:r="http://schemas.openxmlformats.org/officeDocument/2006/relationships" name="14-职责分工" sheetId="15" state="visible" r:id="rId15"/>
    <sheet xmlns:r="http://schemas.openxmlformats.org/officeDocument/2006/relationships" name="15-评估指标" sheetId="16" state="visible" r:id="rId16"/>
    <sheet xmlns:r="http://schemas.openxmlformats.org/officeDocument/2006/relationships" name="16-待确认" sheetId="17" state="visible" r:id="rId17"/>
    <sheet xmlns:r="http://schemas.openxmlformats.org/officeDocument/2006/relationships" name="17-收益测算" sheetId="18" state="visible" r:id="rId18"/>
    <sheet xmlns:r="http://schemas.openxmlformats.org/officeDocument/2006/relationships" name="18-主题互动" sheetId="19" state="visible" r:id="rId19"/>
  </sheets>
  <definedNames>
    <definedName name="直接经营结果">'17-收益测算'!$C$27</definedName>
    <definedName name="测算状态">'17-收益测算'!$C$31</definedName>
    <definedName name="_xlnm._FilterDatabase" localSheetId="0" hidden="1">'00-阅读说明'!$A$4:$C$10</definedName>
    <definedName name="_xlnm.Print_Titles" localSheetId="0">'00-阅读说明'!$1:$3</definedName>
    <definedName name="_xlnm._FilterDatabase" localSheetId="1" hidden="1">'01-活动信息'!$A$4:$C$42</definedName>
    <definedName name="_xlnm.Print_Titles" localSheetId="1">'01-活动信息'!$1:$4</definedName>
    <definedName name="_xlnm._FilterDatabase" localSheetId="2" hidden="1">'02-商业价值'!$A$4:$D$47</definedName>
    <definedName name="_xlnm.Print_Titles" localSheetId="2">'02-商业价值'!$1:$4</definedName>
    <definedName name="_xlnm._FilterDatabase" localSheetId="3" hidden="1">'03-长期产品'!$A$4:$D$35</definedName>
    <definedName name="_xlnm.Print_Titles" localSheetId="3">'03-长期产品'!$1:$4</definedName>
    <definedName name="_xlnm._FilterDatabase" localSheetId="4" hidden="1">'04-赞助权益'!$A$4:$E$22</definedName>
    <definedName name="_xlnm.Print_Titles" localSheetId="4">'04-赞助权益'!$1:$4</definedName>
    <definedName name="_xlnm._FilterDatabase" localSheetId="5" hidden="1">'05-传播计划'!$A$4:$D$35</definedName>
    <definedName name="_xlnm.Print_Titles" localSheetId="5">'05-传播计划'!$1:$4</definedName>
    <definedName name="_xlnm._FilterDatabase" localSheetId="6" hidden="1">'06-空间需求'!$A$4:$D$23</definedName>
    <definedName name="_xlnm.Print_Titles" localSheetId="6">'06-空间需求'!$1:$4</definedName>
    <definedName name="_xlnm._FilterDatabase" localSheetId="7" hidden="1">'07-活动日程'!$A$4:$D$22</definedName>
    <definedName name="_xlnm.Print_Titles" localSheetId="7">'07-活动日程'!$1:$4</definedName>
    <definedName name="_xlnm._FilterDatabase" localSheetId="8" hidden="1">'08-团队案例'!$A$4:$D$56</definedName>
    <definedName name="_xlnm.Print_Titles" localSheetId="8">'08-团队案例'!$1:$4</definedName>
    <definedName name="_xlnm._FilterDatabase" localSheetId="9" hidden="1">'09-执行保障'!$A$4:$D$26</definedName>
    <definedName name="_xlnm.Print_Titles" localSheetId="9">'09-执行保障'!$1:$4</definedName>
    <definedName name="_xlnm._FilterDatabase" localSheetId="10" hidden="1">'10-场地配合'!$A$4:$D$19</definedName>
    <definedName name="_xlnm.Print_Titles" localSheetId="10">'10-场地配合'!$1:$4</definedName>
    <definedName name="_xlnm._FilterDatabase" localSheetId="11" hidden="1">'11-收入与成本'!$A$4:$C$25</definedName>
    <definedName name="_xlnm.Print_Titles" localSheetId="11">'11-收入与成本'!$1:$4</definedName>
    <definedName name="_xlnm._FilterDatabase" localSheetId="12" hidden="1">'12-合作模式'!$A$4:$F$8</definedName>
    <definedName name="_xlnm.Print_Titles" localSheetId="12">'12-合作模式'!$1:$4</definedName>
    <definedName name="_xlnm._FilterDatabase" localSheetId="13" hidden="1">'13-推进时间'!$A$4:$D$22</definedName>
    <definedName name="_xlnm.Print_Titles" localSheetId="13">'13-推进时间'!$1:$4</definedName>
    <definedName name="_xlnm._FilterDatabase" localSheetId="14" hidden="1">'14-职责分工'!$A$4:$C$48</definedName>
    <definedName name="_xlnm.Print_Titles" localSheetId="14">'14-职责分工'!$1:$4</definedName>
    <definedName name="_xlnm._FilterDatabase" localSheetId="15" hidden="1">'15-评估指标'!$A$4:$C$37</definedName>
    <definedName name="_xlnm.Print_Titles" localSheetId="15">'15-评估指标'!$1:$4</definedName>
    <definedName name="_xlnm._FilterDatabase" localSheetId="16" hidden="1">'16-待确认'!$A$4:$F$12</definedName>
    <definedName name="_xlnm.Print_Titles" localSheetId="16">'16-待确认'!$1:$4</definedName>
    <definedName name="_xlnm.Print_Titles" localSheetId="17">'17-收益测算'!$1:$4</definedName>
    <definedName name="_xlnm._FilterDatabase" localSheetId="18" hidden="1">'18-主题互动'!$A$4:$E$15</definedName>
    <definedName name="_xlnm.Print_Titles" localSheetId="18">'18-主题互动'!$1:$4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E2438"/>
      <sz val="18"/>
    </font>
    <font>
      <name val="微软雅黑"/>
      <i val="1"/>
      <color rgb="005C6B78"/>
      <sz val="9"/>
    </font>
    <font>
      <name val="微软雅黑"/>
      <b val="1"/>
      <color rgb="00FFFFFF"/>
      <sz val="11"/>
    </font>
    <font>
      <name val="微软雅黑"/>
      <b val="1"/>
      <color rgb="001C2733"/>
      <sz val="10"/>
    </font>
    <font>
      <name val="微软雅黑"/>
      <color rgb="001C2733"/>
      <sz val="10"/>
    </font>
    <font>
      <name val="微软雅黑"/>
      <b val="1"/>
      <color rgb="000E2438"/>
      <sz val="13"/>
    </font>
    <font>
      <name val="微软雅黑"/>
      <b val="1"/>
      <color rgb="001F4E79"/>
      <sz val="10"/>
      <u val="single"/>
    </font>
    <font>
      <name val="微软雅黑"/>
      <b val="1"/>
      <color rgb="00FFFFFF"/>
      <sz val="12"/>
    </font>
    <font>
      <name val="微软雅黑"/>
      <b val="1"/>
      <color rgb="000E2438"/>
      <sz val="10"/>
    </font>
  </fonts>
  <fills count="10">
    <fill>
      <patternFill/>
    </fill>
    <fill>
      <patternFill patternType="gray125"/>
    </fill>
    <fill>
      <patternFill patternType="solid">
        <fgColor rgb="00C4A15A"/>
      </patternFill>
    </fill>
    <fill>
      <patternFill patternType="solid">
        <fgColor rgb="00FFFFFF"/>
      </patternFill>
    </fill>
    <fill>
      <patternFill patternType="solid">
        <fgColor rgb="000E2438"/>
      </patternFill>
    </fill>
    <fill>
      <patternFill patternType="solid">
        <fgColor rgb="00F3F6F9"/>
      </patternFill>
    </fill>
    <fill>
      <patternFill patternType="solid">
        <fgColor rgb="00FBF6EC"/>
      </patternFill>
    </fill>
    <fill>
      <patternFill patternType="solid">
        <fgColor rgb="001F6A7A"/>
      </patternFill>
    </fill>
    <fill>
      <patternFill patternType="solid">
        <fgColor rgb="00FFF4CC"/>
      </patternFill>
    </fill>
    <fill>
      <patternFill patternType="solid">
        <fgColor rgb="00E7F2EA"/>
      </patternFill>
    </fill>
  </fills>
  <borders count="2">
    <border>
      <left/>
      <right/>
      <top/>
      <bottom/>
      <diagonal/>
    </border>
    <border>
      <left style="thin">
        <color rgb="00E1E7EE"/>
      </left>
      <right style="thin">
        <color rgb="00E1E7EE"/>
      </right>
      <top style="thin">
        <color rgb="00E1E7EE"/>
      </top>
      <bottom style="thin">
        <color rgb="00E1E7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vertical="center" wrapText="1"/>
    </xf>
    <xf numFmtId="0" fontId="0" fillId="2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center"/>
    </xf>
    <xf numFmtId="0" fontId="0" fillId="7" borderId="1" pivotButton="0" quotePrefix="0" xfId="0"/>
    <xf numFmtId="4" fontId="5" fillId="8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4" fontId="9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8E8C8"/>
        </patternFill>
      </fill>
    </dxf>
    <dxf>
      <fill>
        <patternFill patternType="solid">
          <fgColor rgb="00FBF6EC"/>
        </patternFill>
      </fill>
    </dxf>
    <dxf>
      <fill>
        <patternFill patternType="solid">
          <fgColor rgb="00E7F2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-&#38405;&#35835;&#35828;&#26126;'!A1" TargetMode="External" Id="rId1"/><Relationship Type="http://schemas.openxmlformats.org/officeDocument/2006/relationships/hyperlink" Target="#'01-&#27963;&#21160;&#20449;&#24687;'!A1" TargetMode="External" Id="rId2"/><Relationship Type="http://schemas.openxmlformats.org/officeDocument/2006/relationships/hyperlink" Target="#'02-&#21830;&#19994;&#20215;&#20540;'!A1" TargetMode="External" Id="rId3"/><Relationship Type="http://schemas.openxmlformats.org/officeDocument/2006/relationships/hyperlink" Target="#'03-&#38271;&#26399;&#20135;&#21697;'!A1" TargetMode="External" Id="rId4"/><Relationship Type="http://schemas.openxmlformats.org/officeDocument/2006/relationships/hyperlink" Target="#'04-&#36190;&#21161;&#26435;&#30410;'!A1" TargetMode="External" Id="rId5"/><Relationship Type="http://schemas.openxmlformats.org/officeDocument/2006/relationships/hyperlink" Target="#'05-&#20256;&#25773;&#35745;&#21010;'!A1" TargetMode="External" Id="rId6"/><Relationship Type="http://schemas.openxmlformats.org/officeDocument/2006/relationships/hyperlink" Target="#'06-&#31354;&#38388;&#38656;&#27714;'!A1" TargetMode="External" Id="rId7"/><Relationship Type="http://schemas.openxmlformats.org/officeDocument/2006/relationships/hyperlink" Target="#'07-&#27963;&#21160;&#26085;&#31243;'!A1" TargetMode="External" Id="rId8"/><Relationship Type="http://schemas.openxmlformats.org/officeDocument/2006/relationships/hyperlink" Target="#'08-&#22242;&#38431;&#26696;&#20363;'!A1" TargetMode="External" Id="rId9"/><Relationship Type="http://schemas.openxmlformats.org/officeDocument/2006/relationships/hyperlink" Target="#'09-&#25191;&#34892;&#20445;&#38556;'!A1" TargetMode="External" Id="rId10"/><Relationship Type="http://schemas.openxmlformats.org/officeDocument/2006/relationships/hyperlink" Target="#'10-&#22330;&#22320;&#37197;&#21512;'!A1" TargetMode="External" Id="rId11"/><Relationship Type="http://schemas.openxmlformats.org/officeDocument/2006/relationships/hyperlink" Target="#'11-&#25910;&#20837;&#19982;&#25104;&#26412;'!A1" TargetMode="External" Id="rId12"/><Relationship Type="http://schemas.openxmlformats.org/officeDocument/2006/relationships/hyperlink" Target="#'12-&#21512;&#20316;&#27169;&#24335;'!A1" TargetMode="External" Id="rId13"/><Relationship Type="http://schemas.openxmlformats.org/officeDocument/2006/relationships/hyperlink" Target="#'13-&#25512;&#36827;&#26102;&#38388;'!A1" TargetMode="External" Id="rId14"/><Relationship Type="http://schemas.openxmlformats.org/officeDocument/2006/relationships/hyperlink" Target="#'14-&#32844;&#36131;&#20998;&#24037;'!A1" TargetMode="External" Id="rId15"/><Relationship Type="http://schemas.openxmlformats.org/officeDocument/2006/relationships/hyperlink" Target="#'15-&#35780;&#20272;&#25351;&#26631;'!A1" TargetMode="External" Id="rId16"/><Relationship Type="http://schemas.openxmlformats.org/officeDocument/2006/relationships/hyperlink" Target="#'16-&#24453;&#30830;&#35748;'!A1" TargetMode="External" Id="rId17"/><Relationship Type="http://schemas.openxmlformats.org/officeDocument/2006/relationships/hyperlink" Target="#'17-&#25910;&#30410;&#27979;&#31639;'!A1" TargetMode="External" Id="rId18"/><Relationship Type="http://schemas.openxmlformats.org/officeDocument/2006/relationships/hyperlink" Target="#'18-&#20027;&#39064;&#20114;&#21160;'!A1" TargetMode="External" Id="rId19"/></Relationships>
</file>

<file path=xl/worksheets/sheet1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C40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78" customWidth="1" min="2" max="2"/>
    <col width="36" customWidth="1" min="3" max="3"/>
  </cols>
  <sheetData>
    <row r="1" ht="28" customHeight="1">
      <c r="A1" s="1" t="inlineStr">
        <is>
          <t>潮起潮落 TIDELINE × 北外滩尚9·一滴水</t>
        </is>
      </c>
      <c r="B1" s="2" t="n"/>
      <c r="C1" s="2" t="n"/>
    </row>
    <row r="2" ht="32" customHeight="1">
      <c r="A2" s="3" t="inlineStr">
        <is>
          <t>青年文化消费场景创新暨长期战略合作综合方案  ·  配套工作簿  ·  对照日期 2026年10月16日</t>
        </is>
      </c>
      <c r="B2" s="2" t="n"/>
      <c r="C2" s="2" t="n"/>
    </row>
    <row r="3" ht="6" customHeight="1">
      <c r="A3" s="4" t="inlineStr"/>
      <c r="B3" s="4" t="n"/>
      <c r="C3" s="4" t="n"/>
    </row>
    <row r="4" ht="24" customHeight="1">
      <c r="A4" s="5" t="inlineStr">
        <is>
          <t>使用方式</t>
        </is>
      </c>
      <c r="B4" s="5" t="inlineStr">
        <is>
          <t>说明</t>
        </is>
      </c>
      <c r="C4" s="5" t="inlineStr">
        <is>
          <t>对应工作表</t>
        </is>
      </c>
    </row>
    <row r="5" ht="32" customHeight="1">
      <c r="A5" s="6" t="inlineStr">
        <is>
          <t>给经营者</t>
        </is>
      </c>
      <c r="B5" s="7" t="inlineStr">
        <is>
          <t>先看商业价值、长期产品和合作模式。这三张表回答：为什么参与、以后做什么、钱怎么算。</t>
        </is>
      </c>
      <c r="C5" s="7" t="inlineStr">
        <is>
          <t>02、03、12</t>
        </is>
      </c>
    </row>
    <row r="6" ht="32" customHeight="1">
      <c r="A6" s="8" t="inlineStr">
        <is>
          <t>给商务谈判</t>
        </is>
      </c>
      <c r="B6" s="9" t="inlineStr">
        <is>
          <t>赞助权益、场地方收入、合作模式和收益测算一起看。黄色单元格才是待填写金额。</t>
        </is>
      </c>
      <c r="C6" s="9" t="inlineStr">
        <is>
          <t>04、11、12、17</t>
        </is>
      </c>
    </row>
    <row r="7" ht="32" customHeight="1">
      <c r="A7" s="6" t="inlineStr">
        <is>
          <t>给执行对接</t>
        </is>
      </c>
      <c r="B7" s="7" t="inlineStr">
        <is>
          <t>空间、日程、人员、安全保障、场地配合和推进时间，作为踏勘和排期清单。</t>
        </is>
      </c>
      <c r="C7" s="7" t="inlineStr">
        <is>
          <t>06、07、08、09、10、13</t>
        </is>
      </c>
    </row>
    <row r="8" ht="32" customHeight="1">
      <c r="A8" s="8" t="inlineStr">
        <is>
          <t>给签约审核</t>
        </is>
      </c>
      <c r="B8" s="9" t="inlineStr">
        <is>
          <t>职责、评估指标和八项待确认事项。未闭合前，不把计划数字写成承诺。</t>
        </is>
      </c>
      <c r="C8" s="9" t="inlineStr">
        <is>
          <t>14、15、16</t>
        </is>
      </c>
    </row>
    <row r="9" ht="32" customHeight="1">
      <c r="A9" s="6" t="inlineStr">
        <is>
          <t>口径</t>
        </is>
      </c>
      <c r="B9" s="7" t="inlineStr">
        <is>
          <t>客流、曝光、合作资源和经营收益都是计划目标或合作设想。赞助金额是原稿建议档位。惠迪案例来自公司自述。</t>
        </is>
      </c>
      <c r="C9" s="7" t="inlineStr">
        <is>
          <t>全表</t>
        </is>
      </c>
    </row>
    <row r="10" ht="32" customHeight="1">
      <c r="A10" s="8" t="inlineStr">
        <is>
          <t>与 PPT 的关系</t>
        </is>
      </c>
      <c r="B10" s="9" t="inlineStr">
        <is>
          <t>PPT 用于汇报。本工作簿保留可筛选的明细，并提供一滴水本次收益的空白测算。</t>
        </is>
      </c>
      <c r="C10" s="9" t="inlineStr">
        <is>
          <t>全部</t>
        </is>
      </c>
    </row>
    <row r="12">
      <c r="A12" s="10" t="inlineStr">
        <is>
          <t>工作表目录</t>
        </is>
      </c>
    </row>
    <row r="13">
      <c r="A13" s="5" t="inlineStr">
        <is>
          <t>序号</t>
        </is>
      </c>
      <c r="B13" s="5" t="inlineStr">
        <is>
          <t>工作表</t>
        </is>
      </c>
      <c r="C13" s="5" t="inlineStr">
        <is>
          <t>内容</t>
        </is>
      </c>
    </row>
    <row r="14" ht="32" customHeight="1">
      <c r="A14" s="11" t="inlineStr">
        <is>
          <t>00</t>
        </is>
      </c>
      <c r="B14" s="12" t="inlineStr">
        <is>
          <t>00-阅读说明</t>
        </is>
      </c>
      <c r="C14" s="7" t="inlineStr">
        <is>
          <t>本表。口径、目录和填写规则。</t>
        </is>
      </c>
    </row>
    <row r="15" ht="32" customHeight="1">
      <c r="A15" s="13" t="inlineStr">
        <is>
          <t>01</t>
        </is>
      </c>
      <c r="B15" s="14" t="inlineStr">
        <is>
          <t>01-活动信息</t>
        </is>
      </c>
      <c r="C15" s="9" t="inlineStr">
        <is>
          <t>首期活动的基本事实、八项内容和六个亮点。</t>
        </is>
      </c>
    </row>
    <row r="16" ht="32" customHeight="1">
      <c r="A16" s="11" t="inlineStr">
        <is>
          <t>02</t>
        </is>
      </c>
      <c r="B16" s="12" t="inlineStr">
        <is>
          <t>02-商业价值</t>
        </is>
      </c>
      <c r="C16" s="7" t="inlineStr">
        <is>
          <t>八项商业价值、婚庆表达、获客动作和品牌资产。</t>
        </is>
      </c>
    </row>
    <row r="17" ht="32" customHeight="1">
      <c r="A17" s="13" t="inlineStr">
        <is>
          <t>03</t>
        </is>
      </c>
      <c r="B17" s="14" t="inlineStr">
        <is>
          <t>03-长期产品</t>
        </is>
      </c>
      <c r="C17" s="9" t="inlineStr">
        <is>
          <t>八个长期方向及婚礼、社交、摄影等产品要素。</t>
        </is>
      </c>
    </row>
    <row r="18" ht="32" customHeight="1">
      <c r="A18" s="11" t="inlineStr">
        <is>
          <t>04</t>
        </is>
      </c>
      <c r="B18" s="12" t="inlineStr">
        <is>
          <t>04-赞助权益</t>
        </is>
      </c>
      <c r="C18" s="7" t="inlineStr">
        <is>
          <t>白银、黄金、钻石权益矩阵，以及置换和场地自有权益。</t>
        </is>
      </c>
    </row>
    <row r="19" ht="32" customHeight="1">
      <c r="A19" s="13" t="inlineStr">
        <is>
          <t>05</t>
        </is>
      </c>
      <c r="B19" s="14" t="inlineStr">
        <is>
          <t>05-传播计划</t>
        </is>
      </c>
      <c r="C19" s="9" t="inlineStr">
        <is>
          <t>渠道目标、补充渠道、节奏、话题和核验清单。</t>
        </is>
      </c>
    </row>
    <row r="20" ht="32" customHeight="1">
      <c r="A20" s="11" t="inlineStr">
        <is>
          <t>06</t>
        </is>
      </c>
      <c r="B20" s="12" t="inlineStr">
        <is>
          <t>06-空间需求</t>
        </is>
      </c>
      <c r="C20" s="7" t="inlineStr">
        <is>
          <t>楼层用途、功能面积和动线。合计 1,780㎡ 为需求加总。</t>
        </is>
      </c>
    </row>
    <row r="21" ht="32" customHeight="1">
      <c r="A21" s="13" t="inlineStr">
        <is>
          <t>07</t>
        </is>
      </c>
      <c r="B21" s="14" t="inlineStr">
        <is>
          <t>07-活动日程</t>
        </is>
      </c>
      <c r="C21" s="9" t="inlineStr">
        <is>
          <t>活动日流程，以及布展撤展需要重排的原因。</t>
        </is>
      </c>
    </row>
    <row r="22" ht="32" customHeight="1">
      <c r="A22" s="11" t="inlineStr">
        <is>
          <t>08</t>
        </is>
      </c>
      <c r="B22" s="12" t="inlineStr">
        <is>
          <t>08-团队案例</t>
        </is>
      </c>
      <c r="C22" s="7" t="inlineStr">
        <is>
          <t>惠迪自述规模、业务、案例和其他项目。</t>
        </is>
      </c>
    </row>
    <row r="23" ht="32" customHeight="1">
      <c r="A23" s="13" t="inlineStr">
        <is>
          <t>09</t>
        </is>
      </c>
      <c r="B23" s="14" t="inlineStr">
        <is>
          <t>09-执行保障</t>
        </is>
      </c>
      <c r="C23" s="9" t="inlineStr">
        <is>
          <t>人员配置、安全保障和布撤展确认项。</t>
        </is>
      </c>
    </row>
    <row r="24" ht="32" customHeight="1">
      <c r="A24" s="11" t="inlineStr">
        <is>
          <t>10</t>
        </is>
      </c>
      <c r="B24" s="12" t="inlineStr">
        <is>
          <t>10-场地配合</t>
        </is>
      </c>
      <c r="C24" s="7" t="inlineStr">
        <is>
          <t>需要一滴水确认的十四项配合。</t>
        </is>
      </c>
    </row>
    <row r="25" ht="32" customHeight="1">
      <c r="A25" s="13" t="inlineStr">
        <is>
          <t>11</t>
        </is>
      </c>
      <c r="B25" s="14" t="inlineStr">
        <is>
          <t>11-收入与成本</t>
        </is>
      </c>
      <c r="C25" s="9" t="inlineStr">
        <is>
          <t>主办收入、场地方收入和成本科目。金额不在本表填写。</t>
        </is>
      </c>
    </row>
    <row r="26" ht="32" customHeight="1">
      <c r="A26" s="11" t="inlineStr">
        <is>
          <t>12</t>
        </is>
      </c>
      <c r="B26" s="12" t="inlineStr">
        <is>
          <t>12-合作模式</t>
        </is>
      </c>
      <c r="C26" s="7" t="inlineStr">
        <is>
          <t>三种模式的适用条件和首期建议。</t>
        </is>
      </c>
    </row>
    <row r="27" ht="32" customHeight="1">
      <c r="A27" s="13" t="inlineStr">
        <is>
          <t>13</t>
        </is>
      </c>
      <c r="B27" s="14" t="inlineStr">
        <is>
          <t>13-推进时间</t>
        </is>
      </c>
      <c r="C27" s="9" t="inlineStr">
        <is>
          <t>原稿节点相对 2026-10-16 的状态。</t>
        </is>
      </c>
    </row>
    <row r="28" ht="32" customHeight="1">
      <c r="A28" s="11" t="inlineStr">
        <is>
          <t>14</t>
        </is>
      </c>
      <c r="B28" s="12" t="inlineStr">
        <is>
          <t>14-职责分工</t>
        </is>
      </c>
      <c r="C28" s="7" t="inlineStr">
        <is>
          <t>主办、场地方和共同职责。</t>
        </is>
      </c>
    </row>
    <row r="29" ht="32" customHeight="1">
      <c r="A29" s="13" t="inlineStr">
        <is>
          <t>15</t>
        </is>
      </c>
      <c r="B29" s="14" t="inlineStr">
        <is>
          <t>15-评估指标</t>
        </is>
      </c>
      <c r="C29" s="9" t="inlineStr">
        <is>
          <t>客流、经营、传播、转化和交付物。</t>
        </is>
      </c>
    </row>
    <row r="30" ht="32" customHeight="1">
      <c r="A30" s="11" t="inlineStr">
        <is>
          <t>16</t>
        </is>
      </c>
      <c r="B30" s="12" t="inlineStr">
        <is>
          <t>16-待确认</t>
        </is>
      </c>
      <c r="C30" s="7" t="inlineStr">
        <is>
          <t>签约前八项缺口、口径和责任方。</t>
        </is>
      </c>
    </row>
    <row r="31" ht="32" customHeight="1">
      <c r="A31" s="13" t="inlineStr">
        <is>
          <t>17</t>
        </is>
      </c>
      <c r="B31" s="14" t="inlineStr">
        <is>
          <t>17-收益测算</t>
        </is>
      </c>
      <c r="C31" s="9" t="inlineStr">
        <is>
          <t>黄色单元格供商务填写。绿色为公式。未来订单不计入本次结果。</t>
        </is>
      </c>
    </row>
    <row r="32" ht="32" customHeight="1">
      <c r="A32" s="11" t="inlineStr">
        <is>
          <t>18</t>
        </is>
      </c>
      <c r="B32" s="12" t="inlineStr">
        <is>
          <t>18-主题互动</t>
        </is>
      </c>
      <c r="C32" s="7" t="inlineStr">
        <is>
          <t>三大主题区色彩和八项互动。</t>
        </is>
      </c>
    </row>
    <row r="35">
      <c r="A35" s="10" t="inlineStr">
        <is>
          <t>填写规则</t>
        </is>
      </c>
    </row>
    <row r="36" ht="28" customHeight="1">
      <c r="A36" s="15" t="inlineStr">
        <is>
          <t>只有「17-收益测算」中的黄色单元格需要填写金额。其他工作表是方案内容，不把计划数字改成已经签约的结果。</t>
        </is>
      </c>
    </row>
    <row r="37" ht="28" customHeight="1">
      <c r="A37" s="16" t="inlineStr">
        <is>
          <t>绿色单元格是公式。直接经营结果 = 本次直接收入 − 本次直接成本。机会成本和未来订单单独列示，不自动计入该结果。</t>
        </is>
      </c>
    </row>
    <row r="38" ht="28" customHeight="1">
      <c r="A38" s="15" t="inlineStr">
        <is>
          <t>面积合计 1,780㎡ 是各功能需求相加，不是场地须提供的净面积，也不能用来判断安全容量。</t>
        </is>
      </c>
    </row>
    <row r="39" ht="28" customHeight="1">
      <c r="A39" s="16" t="inlineStr">
        <is>
          <t>传播合计约 70,000+ 存在用户重叠，不能解释为 7 万名独立消费者。抖音未计入该合计。</t>
        </is>
      </c>
    </row>
    <row r="40" ht="28" customHeight="1">
      <c r="A40" s="15" t="inlineStr">
        <is>
          <t>赞助 5,000 / 15,000 / 30,000 元是建议档位。高一档包含前一档权益。白银摊位未约定尺寸。</t>
        </is>
      </c>
    </row>
  </sheetData>
  <autoFilter ref="A4:C10"/>
  <mergeCells count="8">
    <mergeCell ref="A36:C36"/>
    <mergeCell ref="A1:C1"/>
    <mergeCell ref="A37:C37"/>
    <mergeCell ref="A40:C40"/>
    <mergeCell ref="A3:C3"/>
    <mergeCell ref="A39:C39"/>
    <mergeCell ref="A38:C38"/>
    <mergeCell ref="A2:C2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  <hyperlink xmlns:r="http://schemas.openxmlformats.org/officeDocument/2006/relationships" ref="B18" r:id="rId5"/>
    <hyperlink xmlns:r="http://schemas.openxmlformats.org/officeDocument/2006/relationships" ref="B19" r:id="rId6"/>
    <hyperlink xmlns:r="http://schemas.openxmlformats.org/officeDocument/2006/relationships" ref="B20" r:id="rId7"/>
    <hyperlink xmlns:r="http://schemas.openxmlformats.org/officeDocument/2006/relationships" ref="B21" r:id="rId8"/>
    <hyperlink xmlns:r="http://schemas.openxmlformats.org/officeDocument/2006/relationships" ref="B22" r:id="rId9"/>
    <hyperlink xmlns:r="http://schemas.openxmlformats.org/officeDocument/2006/relationships" ref="B23" r:id="rId10"/>
    <hyperlink xmlns:r="http://schemas.openxmlformats.org/officeDocument/2006/relationships" ref="B24" r:id="rId11"/>
    <hyperlink xmlns:r="http://schemas.openxmlformats.org/officeDocument/2006/relationships" ref="B25" r:id="rId12"/>
    <hyperlink xmlns:r="http://schemas.openxmlformats.org/officeDocument/2006/relationships" ref="B26" r:id="rId13"/>
    <hyperlink xmlns:r="http://schemas.openxmlformats.org/officeDocument/2006/relationships" ref="B27" r:id="rId14"/>
    <hyperlink xmlns:r="http://schemas.openxmlformats.org/officeDocument/2006/relationships" ref="B28" r:id="rId15"/>
    <hyperlink xmlns:r="http://schemas.openxmlformats.org/officeDocument/2006/relationships" ref="B29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</hyperlinks>
  <pageMargins left="0.5" right="0.5" top="0.7" bottom="0.6" header="0.3" footer="0.3"/>
  <pageSetup orientation="landscape" paperSize="9" fitToHeight="0" fitToWidth="1"/>
  <headerFooter>
    <oddHeader>&amp;L潮起潮落 TIDELINE × 北外滩尚9·一滴水&amp;C&amp;R阅读说明</oddHeader>
    <oddFooter>&amp;L内部研讨稿  ·  计划目标不等于已兑现结果&amp;R第 &amp;P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C4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88" customWidth="1" min="2" max="2"/>
    <col width="16" customWidth="1" min="3" max="3"/>
  </cols>
  <sheetData>
    <row r="1" ht="28" customHeight="1">
      <c r="A1" s="1" t="inlineStr">
        <is>
          <t>首期活动信息</t>
        </is>
      </c>
      <c r="B1" s="2" t="n"/>
      <c r="C1" s="2" t="n"/>
    </row>
    <row r="2" ht="32" customHeight="1">
      <c r="A2" s="3" t="inlineStr">
        <is>
          <t>日期、人数和主办主体尚未闭合。人数以核定容量为准。停留时间是原稿预测，需用实际数据验证。</t>
        </is>
      </c>
      <c r="B2" s="2" t="n"/>
      <c r="C2" s="2" t="n"/>
    </row>
    <row r="3" ht="6" customHeight="1">
      <c r="A3" s="4" t="inlineStr"/>
      <c r="B3" s="4" t="n"/>
      <c r="C3" s="4" t="n"/>
    </row>
    <row r="4" ht="24" customHeight="1">
      <c r="A4" s="5" t="inlineStr">
        <is>
          <t>项目</t>
        </is>
      </c>
      <c r="B4" s="5" t="inlineStr">
        <is>
          <t>内容</t>
        </is>
      </c>
      <c r="C4" s="5" t="inlineStr">
        <is>
          <t>类别</t>
        </is>
      </c>
    </row>
    <row r="5" ht="32" customHeight="1">
      <c r="A5" s="6" t="inlineStr">
        <is>
          <t>活动名称</t>
        </is>
      </c>
      <c r="B5" s="7" t="inlineStr">
        <is>
          <t>《潮起潮落 TIDELINE》</t>
        </is>
      </c>
      <c r="C5" s="11" t="inlineStr">
        <is>
          <t>基本信息</t>
        </is>
      </c>
    </row>
    <row r="6" ht="32" customHeight="1">
      <c r="A6" s="8" t="inlineStr">
        <is>
          <t>活动主题</t>
        </is>
      </c>
      <c r="B6" s="9" t="inlineStr">
        <is>
          <t>《明日方舟》“潮起潮落”主题 Only 展</t>
        </is>
      </c>
      <c r="C6" s="13" t="inlineStr">
        <is>
          <t>基本信息</t>
        </is>
      </c>
    </row>
    <row r="7" ht="32" customHeight="1">
      <c r="A7" s="6" t="inlineStr">
        <is>
          <t>活动性质</t>
        </is>
      </c>
      <c r="B7" s="7" t="inlineStr">
        <is>
          <t>单一 IP 主题同人文化活动，非官方活动</t>
        </is>
      </c>
      <c r="C7" s="11" t="inlineStr">
        <is>
          <t>基本信息</t>
        </is>
      </c>
    </row>
    <row r="8" ht="32" customHeight="1">
      <c r="A8" s="8" t="inlineStr">
        <is>
          <t>拟举办地点</t>
        </is>
      </c>
      <c r="B8" s="9" t="inlineStr">
        <is>
          <t>上海市虹口区北外滩尚9·一滴水</t>
        </is>
      </c>
      <c r="C8" s="13" t="inlineStr">
        <is>
          <t>基本信息</t>
        </is>
      </c>
    </row>
    <row r="9" ht="32" customHeight="1">
      <c r="A9" s="6" t="inlineStr">
        <is>
          <t>主要群体</t>
        </is>
      </c>
      <c r="B9" s="7" t="inlineStr">
        <is>
          <t>年轻游戏玩家、同人创作者、画师、Coser、摄影爱好者</t>
        </is>
      </c>
      <c r="C9" s="11" t="inlineStr">
        <is>
          <t>基本信息</t>
        </is>
      </c>
    </row>
    <row r="10" ht="32" customHeight="1">
      <c r="A10" s="8" t="inlineStr">
        <is>
          <t>票务形式</t>
        </is>
      </c>
      <c r="B10" s="9" t="inlineStr">
        <is>
          <t>普通票、VIP 票及其他主题体验票</t>
        </is>
      </c>
      <c r="C10" s="13" t="inlineStr">
        <is>
          <t>基本信息</t>
        </is>
      </c>
    </row>
    <row r="11" ht="32" customHeight="1">
      <c r="A11" s="6" t="inlineStr">
        <is>
          <t>拟用渠道</t>
        </is>
      </c>
      <c r="B11" s="7" t="inlineStr">
        <is>
          <t>B站会员购、CPP、千岛等</t>
        </is>
      </c>
      <c r="C11" s="11" t="inlineStr">
        <is>
          <t>基本信息</t>
        </is>
      </c>
    </row>
    <row r="12" ht="32" customHeight="1">
      <c r="A12" s="8" t="inlineStr">
        <is>
          <t>活动运营</t>
        </is>
      </c>
      <c r="B12" s="9" t="inlineStr">
        <is>
          <t>拟引入专业活动团队</t>
        </is>
      </c>
      <c r="C12" s="13" t="inlineStr">
        <is>
          <t>基本信息</t>
        </is>
      </c>
    </row>
    <row r="13" ht="32" customHeight="1">
      <c r="A13" s="6" t="inlineStr">
        <is>
          <t>正式主办</t>
        </is>
      </c>
      <c r="B13" s="7" t="inlineStr">
        <is>
          <t>待最终确认</t>
        </is>
      </c>
      <c r="C13" s="11" t="inlineStr">
        <is>
          <t>基本信息</t>
        </is>
      </c>
    </row>
    <row r="14" ht="32" customHeight="1">
      <c r="A14" s="8" t="inlineStr">
        <is>
          <t>700—900人</t>
        </is>
      </c>
      <c r="B14" s="9" t="inlineStr">
        <is>
          <t>预计参与人数。以批准及核定容量为准</t>
        </is>
      </c>
      <c r="C14" s="13" t="inlineStr">
        <is>
          <t>关键数字</t>
        </is>
      </c>
    </row>
    <row r="15" ht="32" customHeight="1">
      <c r="A15" s="6" t="inlineStr">
        <is>
          <t>20—30个</t>
        </is>
      </c>
      <c r="B15" s="7" t="inlineStr">
        <is>
          <t>同人及商业摊位。最终以场地条件为准</t>
        </is>
      </c>
      <c r="C15" s="11" t="inlineStr">
        <is>
          <t>关键数字</t>
        </is>
      </c>
    </row>
    <row r="16" ht="32" customHeight="1">
      <c r="A16" s="8" t="inlineStr">
        <is>
          <t>单日</t>
        </is>
      </c>
      <c r="B16" s="9" t="inlineStr">
        <is>
          <t>活动周期。具备条件时可研究双日</t>
        </is>
      </c>
      <c r="C16" s="13" t="inlineStr">
        <is>
          <t>关键数字</t>
        </is>
      </c>
    </row>
    <row r="17" ht="32" customHeight="1">
      <c r="A17" s="6" t="inlineStr">
        <is>
          <t>11月28或29日</t>
        </is>
      </c>
      <c r="B17" s="7" t="inlineStr">
        <is>
          <t>拟举办日期。两版材料冲突，待确认</t>
        </is>
      </c>
      <c r="C17" s="11" t="inlineStr">
        <is>
          <t>关键数字</t>
        </is>
      </c>
    </row>
    <row r="18" ht="32" customHeight="1">
      <c r="A18" s="8" t="inlineStr">
        <is>
          <t>同人创作及即卖集市</t>
        </is>
      </c>
      <c r="B18" s="9" t="inlineStr">
        <is>
          <t>邀请画师、手作创作者和社团展示原创成果。商品交流与销售以实际授权和合规条件为前提。</t>
        </is>
      </c>
      <c r="C18" s="13" t="inlineStr">
        <is>
          <t>活动内容</t>
        </is>
      </c>
    </row>
    <row r="19" ht="32" customHeight="1">
      <c r="A19" s="6" t="inlineStr">
        <is>
          <t>Coser 自由行</t>
        </is>
      </c>
      <c r="B19" s="7" t="inlineStr">
        <is>
          <t>在合规管理和场地要求范围内组织角色扮演，形成现场视觉。</t>
        </is>
      </c>
      <c r="C19" s="11" t="inlineStr">
        <is>
          <t>活动内容</t>
        </is>
      </c>
    </row>
    <row r="20" ht="32" customHeight="1">
      <c r="A20" s="8" t="inlineStr">
        <is>
          <t>主题舞台活动</t>
        </is>
      </c>
      <c r="B20" s="9" t="inlineStr">
        <is>
          <t>互动问答、主题表演、嘉宾交流、抽奖及其他文化互动。</t>
        </is>
      </c>
      <c r="C20" s="13" t="inlineStr">
        <is>
          <t>活动内容</t>
        </is>
      </c>
    </row>
    <row r="21" ht="32" customHeight="1">
      <c r="A21" s="6" t="inlineStr">
        <is>
          <t>创作者签售与交流</t>
        </is>
      </c>
      <c r="B21" s="7" t="inlineStr">
        <is>
          <t>邀请具有影响力的创作者、画师、Coser 及相关嘉宾面对面交流。</t>
        </is>
      </c>
      <c r="C21" s="11" t="inlineStr">
        <is>
          <t>活动内容</t>
        </is>
      </c>
    </row>
    <row r="22" ht="32" customHeight="1">
      <c r="A22" s="8" t="inlineStr">
        <is>
          <t>沉浸式主题体验</t>
        </is>
      </c>
      <c r="B22" s="9" t="inlineStr">
        <is>
          <t>围绕三大主题区设计互动任务、打卡点、道具、剧情体验和集章。</t>
        </is>
      </c>
      <c r="C22" s="13" t="inlineStr">
        <is>
          <t>活动内容</t>
        </is>
      </c>
    </row>
    <row r="23" ht="32" customHeight="1">
      <c r="A23" s="6" t="inlineStr">
        <is>
          <t>主题摄影</t>
        </is>
      </c>
      <c r="B23" s="7" t="inlineStr">
        <is>
          <t>依托玻璃建筑和江景，设置摄影区域、主题布景和专业摄影点。</t>
        </is>
      </c>
      <c r="C23" s="11" t="inlineStr">
        <is>
          <t>活动内容</t>
        </is>
      </c>
    </row>
    <row r="24" ht="32" customHeight="1">
      <c r="A24" s="8" t="inlineStr">
        <is>
          <t>主题餐饮及 VIP</t>
        </is>
      </c>
      <c r="B24" s="9" t="inlineStr">
        <is>
          <t>研究 VIP 江景套餐、主题晚宴和特色社交，优先使用一滴水餐饮。</t>
        </is>
      </c>
      <c r="C24" s="13" t="inlineStr">
        <is>
          <t>活动内容</t>
        </is>
      </c>
    </row>
    <row r="25" ht="32" customHeight="1">
      <c r="A25" s="6" t="inlineStr">
        <is>
          <t>夜间活动</t>
        </is>
      </c>
      <c r="B25" s="7" t="inlineStr">
        <is>
          <t>在场地运营和管理要求下，安排夜间灯光、乐队演奏和主题合影。</t>
        </is>
      </c>
      <c r="C25" s="11" t="inlineStr">
        <is>
          <t>活动内容</t>
        </is>
      </c>
    </row>
    <row r="26" ht="32" customHeight="1">
      <c r="A26" s="8" t="inlineStr">
        <is>
          <t>受众精准</t>
        </is>
      </c>
      <c r="B26" s="9" t="inlineStr">
        <is>
          <t>Only 展围绕单一作品组织。兴趣标签清楚，便于社群推广、定向邀请和主题设计。</t>
        </is>
      </c>
      <c r="C26" s="13" t="inlineStr">
        <is>
          <t>活动亮点</t>
        </is>
      </c>
    </row>
    <row r="27" ht="32" customHeight="1">
      <c r="A27" s="6" t="inlineStr">
        <is>
          <t>江景契合</t>
        </is>
      </c>
      <c r="B27" s="7" t="inlineStr">
        <is>
          <t>海洋主题与黄浦江景、玻璃建筑、自然采光可以形成区别于商场快闪的视觉体验。</t>
        </is>
      </c>
      <c r="C27" s="11" t="inlineStr">
        <is>
          <t>活动亮点</t>
        </is>
      </c>
    </row>
    <row r="28" ht="32" customHeight="1">
      <c r="A28" s="8" t="inlineStr">
        <is>
          <t>体验完整</t>
        </is>
      </c>
      <c r="B28" s="9" t="inlineStr">
        <is>
          <t>在同人集市之外，加入互动剧情、装置布景、主题任务和摄影场景。</t>
        </is>
      </c>
      <c r="C28" s="13" t="inlineStr">
        <is>
          <t>活动亮点</t>
        </is>
      </c>
    </row>
    <row r="29" ht="32" customHeight="1">
      <c r="A29" s="6" t="inlineStr">
        <is>
          <t>停留较长</t>
        </is>
      </c>
      <c r="B29" s="7" t="inlineStr">
        <is>
          <t>原稿预计部分观众停留 4—6 小时，深度参与者 6—8 小时甚至全天。此为待验证的预测。</t>
        </is>
      </c>
      <c r="C29" s="11" t="inlineStr">
        <is>
          <t>活动亮点</t>
        </is>
      </c>
    </row>
    <row r="30" ht="32" customHeight="1">
      <c r="A30" s="8" t="inlineStr">
        <is>
          <t>餐饮可延展</t>
        </is>
      </c>
      <c r="B30" s="9" t="inlineStr">
        <is>
          <t>江景餐饮、嘉宾互动和夜间体验，可以沉淀为主题宴会产品。</t>
        </is>
      </c>
      <c r="C30" s="13" t="inlineStr">
        <is>
          <t>活动亮点</t>
        </is>
      </c>
    </row>
    <row r="31" ht="32" customHeight="1">
      <c r="A31" s="6" t="inlineStr">
        <is>
          <t>二次传播</t>
        </is>
      </c>
      <c r="B31" s="7" t="inlineStr">
        <is>
          <t>创作者、Coser 和摄影爱好者的作品，能够为一滴水提供新的品牌素材。</t>
        </is>
      </c>
      <c r="C31" s="11" t="inlineStr">
        <is>
          <t>活动亮点</t>
        </is>
      </c>
    </row>
    <row r="32" ht="32" customHeight="1">
      <c r="A32" s="8" t="inlineStr">
        <is>
          <t>核心玩家</t>
        </is>
      </c>
      <c r="B32" s="9" t="inlineStr">
        <is>
          <t>18—28 岁《明日方舟》玩家及粉丝。消费可能涉及门票、主题商品、餐饮、摄影和体验项目。</t>
        </is>
      </c>
      <c r="C32" s="13" t="inlineStr">
        <is>
          <t>核心客群</t>
        </is>
      </c>
    </row>
    <row r="33" ht="32" customHeight="1">
      <c r="A33" s="6" t="inlineStr">
        <is>
          <t>创作者与摊主</t>
        </is>
      </c>
      <c r="B33" s="7" t="inlineStr">
        <is>
          <t>同人画师、手作摊主既提供内容，也消费文化产品，并在垂直圈层里带来传播。</t>
        </is>
      </c>
      <c r="C33" s="11" t="inlineStr">
        <is>
          <t>核心客群</t>
        </is>
      </c>
    </row>
    <row r="34" ht="32" customHeight="1">
      <c r="A34" s="8" t="inlineStr">
        <is>
          <t>Coser 与摄影</t>
        </is>
      </c>
      <c r="B34" s="9" t="inlineStr">
        <is>
          <t>关注建筑、光线和背景。江景玻璃建筑适合产出可传播的主题摄影。</t>
        </is>
      </c>
      <c r="C34" s="13" t="inlineStr">
        <is>
          <t>核心客群</t>
        </is>
      </c>
    </row>
    <row r="35" ht="32" customHeight="1">
      <c r="A35" s="6" t="inlineStr">
        <is>
          <t>本地青年消费</t>
        </is>
      </c>
      <c r="B35" s="7" t="inlineStr">
        <is>
          <t>面向上海及长三角具有青年文化消费意愿的人群，吸引部分泛文化消费者。</t>
        </is>
      </c>
      <c r="C35" s="11" t="inlineStr">
        <is>
          <t>核心客群</t>
        </is>
      </c>
    </row>
    <row r="36" ht="32" customHeight="1">
      <c r="A36" s="8" t="inlineStr">
        <is>
          <t>特色婚礼及婚宴的潜在客户</t>
        </is>
      </c>
      <c r="B36" s="9" t="inlineStr">
        <is>
          <t>到场之后可能形成的后续客户类型</t>
        </is>
      </c>
      <c r="C36" s="13" t="inlineStr">
        <is>
          <t>未来客户</t>
        </is>
      </c>
    </row>
    <row r="37" ht="32" customHeight="1">
      <c r="A37" s="6" t="inlineStr">
        <is>
          <t>主题生日会及纪念庆典消费者</t>
        </is>
      </c>
      <c r="B37" s="7" t="inlineStr">
        <is>
          <t>到场之后可能形成的后续客户类型</t>
        </is>
      </c>
      <c r="C37" s="11" t="inlineStr">
        <is>
          <t>未来客户</t>
        </is>
      </c>
    </row>
    <row r="38" ht="32" customHeight="1">
      <c r="A38" s="8" t="inlineStr">
        <is>
          <t>江景下午茶及特色餐饮客户</t>
        </is>
      </c>
      <c r="B38" s="9" t="inlineStr">
        <is>
          <t>到场之后可能形成的后续客户类型</t>
        </is>
      </c>
      <c r="C38" s="13" t="inlineStr">
        <is>
          <t>未来客户</t>
        </is>
      </c>
    </row>
    <row r="39" ht="32" customHeight="1">
      <c r="A39" s="6" t="inlineStr">
        <is>
          <t>小型文化聚会及包场客户</t>
        </is>
      </c>
      <c r="B39" s="7" t="inlineStr">
        <is>
          <t>到场之后可能形成的后续客户类型</t>
        </is>
      </c>
      <c r="C39" s="11" t="inlineStr">
        <is>
          <t>未来客户</t>
        </is>
      </c>
    </row>
    <row r="40" ht="32" customHeight="1">
      <c r="A40" s="8" t="inlineStr">
        <is>
          <t>摄影及商业拍摄客户</t>
        </is>
      </c>
      <c r="B40" s="9" t="inlineStr">
        <is>
          <t>到场之后可能形成的后续客户类型</t>
        </is>
      </c>
      <c r="C40" s="13" t="inlineStr">
        <is>
          <t>未来客户</t>
        </is>
      </c>
    </row>
    <row r="41" ht="32" customHeight="1">
      <c r="A41" s="6" t="inlineStr">
        <is>
          <t>未来活动的组织者和合作方</t>
        </is>
      </c>
      <c r="B41" s="7" t="inlineStr">
        <is>
          <t>到场之后可能形成的后续客户类型</t>
        </is>
      </c>
      <c r="C41" s="11" t="inlineStr">
        <is>
          <t>未来客户</t>
        </is>
      </c>
    </row>
    <row r="42" ht="32" customHeight="1">
      <c r="A42" s="8" t="inlineStr">
        <is>
          <t>传播场地品牌的内容创作者</t>
        </is>
      </c>
      <c r="B42" s="9" t="inlineStr">
        <is>
          <t>到场之后可能形成的后续客户类型</t>
        </is>
      </c>
      <c r="C42" s="13" t="inlineStr">
        <is>
          <t>未来客户</t>
        </is>
      </c>
    </row>
  </sheetData>
  <autoFilter ref="A4:C42"/>
  <mergeCells count="3">
    <mergeCell ref="A1:C1"/>
    <mergeCell ref="A3:C3"/>
    <mergeCell ref="A2:C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北外滩尚9·一滴水&amp;C&amp;R首期活动信息</oddHeader>
    <oddFooter>&amp;L内部研讨稿  ·  计划目标不等于已兑现结果&amp;R第 &amp;P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4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42" customWidth="1" min="2" max="2"/>
    <col width="48" customWidth="1" min="3" max="3"/>
    <col width="18" customWidth="1" min="4" max="4"/>
  </cols>
  <sheetData>
    <row r="1" ht="28" customHeight="1">
      <c r="A1" s="1" t="inlineStr">
        <is>
          <t>对一滴水的商业价值</t>
        </is>
      </c>
      <c r="B1" s="2" t="n"/>
      <c r="C1" s="2" t="n"/>
      <c r="D1" s="2" t="n"/>
    </row>
    <row r="2" ht="32" customHeight="1">
      <c r="A2" s="3" t="inlineStr">
        <is>
          <t>本表对应汇报重点。高端婚礼定位保持不变，主题婚礼是在传统产品之外增加的细分市场。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编号或项目</t>
        </is>
      </c>
      <c r="B4" s="5" t="inlineStr">
        <is>
          <t>内容</t>
        </is>
      </c>
      <c r="C4" s="5" t="inlineStr">
        <is>
          <t>说明</t>
        </is>
      </c>
      <c r="D4" s="5" t="inlineStr">
        <is>
          <t>类别</t>
        </is>
      </c>
    </row>
    <row r="5" ht="32" customHeight="1">
      <c r="A5" s="6" t="inlineStr">
        <is>
          <t>01</t>
        </is>
      </c>
      <c r="B5" s="7" t="inlineStr">
        <is>
          <t>新型婚庆</t>
        </is>
      </c>
      <c r="C5" s="7" t="inlineStr">
        <is>
          <t>提前接触 95 后、00 后的个性化婚礼需求，在原有高端婚礼之外增加细分市场。</t>
        </is>
      </c>
      <c r="D5" s="11" t="inlineStr">
        <is>
          <t>八项价值</t>
        </is>
      </c>
    </row>
    <row r="6" ht="32" customHeight="1">
      <c r="A6" s="8" t="inlineStr">
        <is>
          <t>02</t>
        </is>
      </c>
      <c r="B6" s="9" t="inlineStr">
        <is>
          <t>非核心档期</t>
        </is>
      </c>
      <c r="C6" s="9" t="inlineStr">
        <is>
          <t>用主题活动提高工作日、晚间和非热门婚期的空间利用效率。</t>
        </is>
      </c>
      <c r="D6" s="13" t="inlineStr">
        <is>
          <t>八项价值</t>
        </is>
      </c>
    </row>
    <row r="7" ht="32" customHeight="1">
      <c r="A7" s="6" t="inlineStr">
        <is>
          <t>03</t>
        </is>
      </c>
      <c r="B7" s="7" t="inlineStr">
        <is>
          <t>精准获客</t>
        </is>
      </c>
      <c r="C7" s="7" t="inlineStr">
        <is>
          <t>在婚庆公司、广告和转介绍之外，增加兴趣社群实际到店的获客路径。</t>
        </is>
      </c>
      <c r="D7" s="11" t="inlineStr">
        <is>
          <t>八项价值</t>
        </is>
      </c>
    </row>
    <row r="8" ht="32" customHeight="1">
      <c r="A8" s="8" t="inlineStr">
        <is>
          <t>04</t>
        </is>
      </c>
      <c r="B8" s="9" t="inlineStr">
        <is>
          <t>品牌认知</t>
        </is>
      </c>
      <c r="C8" s="9" t="inlineStr">
        <is>
          <t>让年轻消费者亲眼看到江景、玻璃建筑和高品质空间。</t>
        </is>
      </c>
      <c r="D8" s="13" t="inlineStr">
        <is>
          <t>八项价值</t>
        </is>
      </c>
    </row>
    <row r="9" ht="32" customHeight="1">
      <c r="A9" s="6" t="inlineStr">
        <is>
          <t>05</t>
        </is>
      </c>
      <c r="B9" s="7" t="inlineStr">
        <is>
          <t>餐饮收入</t>
        </is>
      </c>
      <c r="C9" s="7" t="inlineStr">
        <is>
          <t>VIP 套餐、晚宴、茶歇和嘉宾接待，优先由一滴水提供。</t>
        </is>
      </c>
      <c r="D9" s="11" t="inlineStr">
        <is>
          <t>八项价值</t>
        </is>
      </c>
    </row>
    <row r="10" ht="32" customHeight="1">
      <c r="A10" s="8" t="inlineStr">
        <is>
          <t>06</t>
        </is>
      </c>
      <c r="B10" s="9" t="inlineStr">
        <is>
          <t>夜间场景</t>
        </is>
      </c>
      <c r="C10" s="9" t="inlineStr">
        <is>
          <t>用一次晚间内容，测试灯光、乐队和夜间宴会的运营条件。</t>
        </is>
      </c>
      <c r="D10" s="13" t="inlineStr">
        <is>
          <t>八项价值</t>
        </is>
      </c>
    </row>
    <row r="11" ht="32" customHeight="1">
      <c r="A11" s="6" t="inlineStr">
        <is>
          <t>07</t>
        </is>
      </c>
      <c r="B11" s="7" t="inlineStr">
        <is>
          <t>区域联动</t>
        </is>
      </c>
      <c r="C11" s="7" t="inlineStr">
        <is>
          <t>在交通和排队安排合理时，与周边餐饮、零售形成联合消费。</t>
        </is>
      </c>
      <c r="D11" s="11" t="inlineStr">
        <is>
          <t>八项价值</t>
        </is>
      </c>
    </row>
    <row r="12" ht="32" customHeight="1">
      <c r="A12" s="8" t="inlineStr">
        <is>
          <t>08</t>
        </is>
      </c>
      <c r="B12" s="9" t="inlineStr">
        <is>
          <t>品牌资产</t>
        </is>
      </c>
      <c r="C12" s="9" t="inlineStr">
        <is>
          <t>留下摄影、视频、案例和运营数据，供后续宣传和招商使用。</t>
        </is>
      </c>
      <c r="D12" s="13" t="inlineStr">
        <is>
          <t>八项价值</t>
        </is>
      </c>
    </row>
    <row r="13" ht="32" customHeight="1">
      <c r="A13" s="6" t="inlineStr">
        <is>
          <t>01</t>
        </is>
      </c>
      <c r="B13" s="7" t="inlineStr">
        <is>
          <t>按动漫、游戏、电影等文化主题设计婚礼</t>
        </is>
      </c>
      <c r="C13" s="7" t="inlineStr">
        <is>
          <t>新一代婚礼可能出现的表达</t>
        </is>
      </c>
      <c r="D13" s="11" t="inlineStr">
        <is>
          <t>婚庆市场</t>
        </is>
      </c>
    </row>
    <row r="14" ht="32" customHeight="1">
      <c r="A14" s="8" t="inlineStr">
        <is>
          <t>02</t>
        </is>
      </c>
      <c r="B14" s="9" t="inlineStr">
        <is>
          <t>用角色扮演或特色服装呈现婚礼风格</t>
        </is>
      </c>
      <c r="C14" s="9" t="inlineStr">
        <is>
          <t>新一代婚礼可能出现的表达</t>
        </is>
      </c>
      <c r="D14" s="13" t="inlineStr">
        <is>
          <t>婚庆市场</t>
        </is>
      </c>
    </row>
    <row r="15" ht="32" customHeight="1">
      <c r="A15" s="6" t="inlineStr">
        <is>
          <t>03</t>
        </is>
      </c>
      <c r="B15" s="7" t="inlineStr">
        <is>
          <t>把共同喜爱的作品融入仪式设计</t>
        </is>
      </c>
      <c r="C15" s="7" t="inlineStr">
        <is>
          <t>新一代婚礼可能出现的表达</t>
        </is>
      </c>
      <c r="D15" s="11" t="inlineStr">
        <is>
          <t>婚庆市场</t>
        </is>
      </c>
    </row>
    <row r="16" ht="32" customHeight="1">
      <c r="A16" s="8" t="inlineStr">
        <is>
          <t>04</t>
        </is>
      </c>
      <c r="B16" s="9" t="inlineStr">
        <is>
          <t>用沉浸式剧情和互动替代部分传统流程</t>
        </is>
      </c>
      <c r="C16" s="9" t="inlineStr">
        <is>
          <t>新一代婚礼可能出现的表达</t>
        </is>
      </c>
      <c r="D16" s="13" t="inlineStr">
        <is>
          <t>婚庆市场</t>
        </is>
      </c>
    </row>
    <row r="17" ht="32" customHeight="1">
      <c r="A17" s="6" t="inlineStr">
        <is>
          <t>05</t>
        </is>
      </c>
      <c r="B17" s="7" t="inlineStr">
        <is>
          <t>组织规模较小、个性化程度较高的主题婚礼</t>
        </is>
      </c>
      <c r="C17" s="7" t="inlineStr">
        <is>
          <t>新一代婚礼可能出现的表达</t>
        </is>
      </c>
      <c r="D17" s="11" t="inlineStr">
        <is>
          <t>婚庆市场</t>
        </is>
      </c>
    </row>
    <row r="18" ht="32" customHeight="1">
      <c r="A18" s="8" t="inlineStr">
        <is>
          <t>06</t>
        </is>
      </c>
      <c r="B18" s="9" t="inlineStr">
        <is>
          <t>用特色建筑和摄影空间形成可传播的婚礼作品</t>
        </is>
      </c>
      <c r="C18" s="9" t="inlineStr">
        <is>
          <t>新一代婚礼可能出现的表达</t>
        </is>
      </c>
      <c r="D18" s="13" t="inlineStr">
        <is>
          <t>婚庆市场</t>
        </is>
      </c>
    </row>
    <row r="19" ht="32" customHeight="1">
      <c r="A19" s="6" t="inlineStr">
        <is>
          <t>二次元主题婚礼</t>
        </is>
      </c>
      <c r="B19" s="7" t="inlineStr">
        <is>
          <t>婚宴、仪式、布景、摄影</t>
        </is>
      </c>
      <c r="C19" s="7" t="inlineStr">
        <is>
          <t>扩大婚庆业务</t>
        </is>
      </c>
      <c r="D19" s="11" t="inlineStr">
        <is>
          <t>非核心档期产品</t>
        </is>
      </c>
    </row>
    <row r="20" ht="32" customHeight="1">
      <c r="A20" s="8" t="inlineStr">
        <is>
          <t>沉浸式主题宴会</t>
        </is>
      </c>
      <c r="B20" s="9" t="inlineStr">
        <is>
          <t>场租、餐饮、活动服务</t>
        </is>
      </c>
      <c r="C20" s="9" t="inlineStr">
        <is>
          <t>增加宴会收入</t>
        </is>
      </c>
      <c r="D20" s="13" t="inlineStr">
        <is>
          <t>非核心档期产品</t>
        </is>
      </c>
    </row>
    <row r="21" ht="32" customHeight="1">
      <c r="A21" s="6" t="inlineStr">
        <is>
          <t>主题茶话会</t>
        </is>
      </c>
      <c r="B21" s="7" t="inlineStr">
        <is>
          <t>下午茶、包场、摄影</t>
        </is>
      </c>
      <c r="C21" s="7" t="inlineStr">
        <is>
          <t>利用非核心时段</t>
        </is>
      </c>
      <c r="D21" s="11" t="inlineStr">
        <is>
          <t>非核心档期产品</t>
        </is>
      </c>
    </row>
    <row r="22" ht="32" customHeight="1">
      <c r="A22" s="8" t="inlineStr">
        <is>
          <t>Coser 签售会</t>
        </is>
      </c>
      <c r="B22" s="9" t="inlineStr">
        <is>
          <t>场地、配套、餐饮</t>
        </is>
      </c>
      <c r="C22" s="9" t="inlineStr">
        <is>
          <t>导入新型活动客户</t>
        </is>
      </c>
      <c r="D22" s="13" t="inlineStr">
        <is>
          <t>非核心档期产品</t>
        </is>
      </c>
    </row>
    <row r="23" ht="32" customHeight="1">
      <c r="A23" s="6" t="inlineStr">
        <is>
          <t>角色生日会</t>
        </is>
      </c>
      <c r="B23" s="7" t="inlineStr">
        <is>
          <t>主题包场、餐饮、装饰</t>
        </is>
      </c>
      <c r="C23" s="7" t="inlineStr">
        <is>
          <t>形成细分活动产品</t>
        </is>
      </c>
      <c r="D23" s="11" t="inlineStr">
        <is>
          <t>非核心档期产品</t>
        </is>
      </c>
    </row>
    <row r="24" ht="32" customHeight="1">
      <c r="A24" s="8" t="inlineStr">
        <is>
          <t>主题摄影</t>
        </is>
      </c>
      <c r="B24" s="9" t="inlineStr">
        <is>
          <t>空间租赁、摄影合作</t>
        </is>
      </c>
      <c r="C24" s="9" t="inlineStr">
        <is>
          <t>提高空间利用率</t>
        </is>
      </c>
      <c r="D24" s="13" t="inlineStr">
        <is>
          <t>非核心档期产品</t>
        </is>
      </c>
    </row>
    <row r="25" ht="32" customHeight="1">
      <c r="A25" s="6" t="inlineStr">
        <is>
          <t>游戏文化沙龙</t>
        </is>
      </c>
      <c r="B25" s="7" t="inlineStr">
        <is>
          <t>会议、餐饮、品牌合作</t>
        </is>
      </c>
      <c r="C25" s="7" t="inlineStr">
        <is>
          <t>丰富商务活动类型</t>
        </is>
      </c>
      <c r="D25" s="11" t="inlineStr">
        <is>
          <t>非核心档期产品</t>
        </is>
      </c>
    </row>
    <row r="26" ht="32" customHeight="1">
      <c r="A26" s="8" t="inlineStr">
        <is>
          <t>主题夜间活动</t>
        </is>
      </c>
      <c r="B26" s="9" t="inlineStr">
        <is>
          <t>餐饮、演出、包场</t>
        </is>
      </c>
      <c r="C26" s="9" t="inlineStr">
        <is>
          <t>拓展夜间经营</t>
        </is>
      </c>
      <c r="D26" s="13" t="inlineStr">
        <is>
          <t>非核心档期产品</t>
        </is>
      </c>
    </row>
    <row r="27" ht="32" customHeight="1">
      <c r="A27" s="6" t="inlineStr">
        <is>
          <t>品牌快闪活动</t>
        </is>
      </c>
      <c r="B27" s="7" t="inlineStr">
        <is>
          <t>场租、活动执行、品牌展示</t>
        </is>
      </c>
      <c r="C27" s="7" t="inlineStr">
        <is>
          <t>引入品牌客户</t>
        </is>
      </c>
      <c r="D27" s="11" t="inlineStr">
        <is>
          <t>非核心档期产品</t>
        </is>
      </c>
    </row>
    <row r="28" ht="32" customHeight="1">
      <c r="A28" s="8" t="inlineStr">
        <is>
          <t>01</t>
        </is>
      </c>
      <c r="B28" s="9" t="inlineStr">
        <is>
          <t>特色婚礼展示</t>
        </is>
      </c>
      <c r="C28" s="9" t="inlineStr">
        <is>
          <t>现场展示一滴水可提供的主题婚礼产品。</t>
        </is>
      </c>
      <c r="D28" s="13" t="inlineStr">
        <is>
          <t>现场转化动作</t>
        </is>
      </c>
    </row>
    <row r="29" ht="32" customHeight="1">
      <c r="A29" s="6" t="inlineStr">
        <is>
          <t>02</t>
        </is>
      </c>
      <c r="B29" s="7" t="inlineStr">
        <is>
          <t>宴会与餐饮</t>
        </is>
      </c>
      <c r="C29" s="7" t="inlineStr">
        <is>
          <t>介绍江景宴会和主题餐饮。</t>
        </is>
      </c>
      <c r="D29" s="11" t="inlineStr">
        <is>
          <t>现场转化动作</t>
        </is>
      </c>
    </row>
    <row r="30" ht="32" customHeight="1">
      <c r="A30" s="8" t="inlineStr">
        <is>
          <t>03</t>
        </is>
      </c>
      <c r="B30" s="9" t="inlineStr">
        <is>
          <t>官方咨询入口</t>
        </is>
      </c>
      <c r="C30" s="9" t="inlineStr">
        <is>
          <t>设置一滴水官方咨询入口，方便场地后续跟进有明确意向的客人。</t>
        </is>
      </c>
      <c r="D30" s="13" t="inlineStr">
        <is>
          <t>现场转化动作</t>
        </is>
      </c>
    </row>
    <row r="31" ht="32" customHeight="1">
      <c r="A31" s="6" t="inlineStr">
        <is>
          <t>04</t>
        </is>
      </c>
      <c r="B31" s="7" t="inlineStr">
        <is>
          <t>后续活动预约</t>
        </is>
      </c>
      <c r="C31" s="7" t="inlineStr">
        <is>
          <t>开放后续主题活动的预约渠道。</t>
        </is>
      </c>
      <c r="D31" s="11" t="inlineStr">
        <is>
          <t>现场转化动作</t>
        </is>
      </c>
    </row>
    <row r="32" ht="32" customHeight="1">
      <c r="A32" s="8" t="inlineStr">
        <is>
          <t>05</t>
        </is>
      </c>
      <c r="B32" s="9" t="inlineStr">
        <is>
          <t>体验活动报名</t>
        </is>
      </c>
      <c r="C32" s="9" t="inlineStr">
        <is>
          <t>收集场地开放日及婚礼体验活动的报名。</t>
        </is>
      </c>
      <c r="D32" s="13" t="inlineStr">
        <is>
          <t>现场转化动作</t>
        </is>
      </c>
    </row>
    <row r="33" ht="32" customHeight="1">
      <c r="A33" s="6" t="inlineStr">
        <is>
          <t>VIP 江景套餐</t>
        </is>
      </c>
      <c r="B33" s="7" t="inlineStr">
        <is>
          <t>优先由一滴水提供，收入分配写入合同</t>
        </is>
      </c>
      <c r="C33" s="7" t="inlineStr">
        <is>
          <t>餐饮</t>
        </is>
      </c>
      <c r="D33" s="11" t="n"/>
    </row>
    <row r="34" ht="32" customHeight="1">
      <c r="A34" s="8" t="inlineStr">
        <is>
          <t>主题晚宴</t>
        </is>
      </c>
      <c r="B34" s="9" t="inlineStr">
        <is>
          <t>优先由一滴水提供，收入分配写入合同</t>
        </is>
      </c>
      <c r="C34" s="9" t="inlineStr">
        <is>
          <t>餐饮</t>
        </is>
      </c>
      <c r="D34" s="13" t="n"/>
    </row>
    <row r="35" ht="32" customHeight="1">
      <c r="A35" s="6" t="inlineStr">
        <is>
          <t>下午茶及茶歇</t>
        </is>
      </c>
      <c r="B35" s="7" t="inlineStr">
        <is>
          <t>优先由一滴水提供，收入分配写入合同</t>
        </is>
      </c>
      <c r="C35" s="7" t="inlineStr">
        <is>
          <t>餐饮</t>
        </is>
      </c>
      <c r="D35" s="11" t="n"/>
    </row>
    <row r="36" ht="32" customHeight="1">
      <c r="A36" s="8" t="inlineStr">
        <is>
          <t>活动工作人员餐饮</t>
        </is>
      </c>
      <c r="B36" s="9" t="inlineStr">
        <is>
          <t>优先由一滴水提供，收入分配写入合同</t>
        </is>
      </c>
      <c r="C36" s="9" t="inlineStr">
        <is>
          <t>餐饮</t>
        </is>
      </c>
      <c r="D36" s="13" t="n"/>
    </row>
    <row r="37" ht="32" customHeight="1">
      <c r="A37" s="6" t="inlineStr">
        <is>
          <t>嘉宾接待餐饮</t>
        </is>
      </c>
      <c r="B37" s="7" t="inlineStr">
        <is>
          <t>优先由一滴水提供，收入分配写入合同</t>
        </is>
      </c>
      <c r="C37" s="7" t="inlineStr">
        <is>
          <t>餐饮</t>
        </is>
      </c>
      <c r="D37" s="11" t="n"/>
    </row>
    <row r="38" ht="32" customHeight="1">
      <c r="A38" s="8" t="inlineStr">
        <is>
          <t>特色饮品及轻餐饮</t>
        </is>
      </c>
      <c r="B38" s="9" t="inlineStr">
        <is>
          <t>优先由一滴水提供，收入分配写入合同</t>
        </is>
      </c>
      <c r="C38" s="9" t="inlineStr">
        <is>
          <t>餐饮</t>
        </is>
      </c>
      <c r="D38" s="13" t="n"/>
    </row>
    <row r="39" ht="32" customHeight="1">
      <c r="A39" s="6" t="inlineStr">
        <is>
          <t>其他符合场地经营条件的配套服务</t>
        </is>
      </c>
      <c r="B39" s="7" t="inlineStr">
        <is>
          <t>优先由一滴水提供，收入分配写入合同</t>
        </is>
      </c>
      <c r="C39" s="7" t="inlineStr">
        <is>
          <t>餐饮</t>
        </is>
      </c>
      <c r="D39" s="11" t="n"/>
    </row>
    <row r="40" ht="32" customHeight="1">
      <c r="A40" s="8" t="inlineStr">
        <is>
          <t>场地主题摄影作品</t>
        </is>
      </c>
      <c r="B40" s="9" t="inlineStr">
        <is>
          <t>取得授权后可用于宣传、推广和招商</t>
        </is>
      </c>
      <c r="C40" s="9" t="inlineStr">
        <is>
          <t>品牌资产</t>
        </is>
      </c>
      <c r="D40" s="13" t="n"/>
    </row>
    <row r="41" ht="32" customHeight="1">
      <c r="A41" s="6" t="inlineStr">
        <is>
          <t>活动现场精修照片</t>
        </is>
      </c>
      <c r="B41" s="7" t="inlineStr">
        <is>
          <t>取得授权后可用于宣传、推广和招商</t>
        </is>
      </c>
      <c r="C41" s="7" t="inlineStr">
        <is>
          <t>品牌资产</t>
        </is>
      </c>
      <c r="D41" s="11" t="n"/>
    </row>
    <row r="42" ht="32" customHeight="1">
      <c r="A42" s="8" t="inlineStr">
        <is>
          <t>主题宣传视频</t>
        </is>
      </c>
      <c r="B42" s="9" t="inlineStr">
        <is>
          <t>取得授权后可用于宣传、推广和招商</t>
        </is>
      </c>
      <c r="C42" s="9" t="inlineStr">
        <is>
          <t>品牌资产</t>
        </is>
      </c>
      <c r="D42" s="13" t="n"/>
    </row>
    <row r="43" ht="32" customHeight="1">
      <c r="A43" s="6" t="inlineStr">
        <is>
          <t>场地介绍及体验短视频</t>
        </is>
      </c>
      <c r="B43" s="7" t="inlineStr">
        <is>
          <t>取得授权后可用于宣传、推广和招商</t>
        </is>
      </c>
      <c r="C43" s="7" t="inlineStr">
        <is>
          <t>品牌资产</t>
        </is>
      </c>
      <c r="D43" s="11" t="n"/>
    </row>
    <row r="44" ht="32" customHeight="1">
      <c r="A44" s="8" t="inlineStr">
        <is>
          <t>社交平台内容</t>
        </is>
      </c>
      <c r="B44" s="9" t="inlineStr">
        <is>
          <t>取得授权后可用于宣传、推广和招商</t>
        </is>
      </c>
      <c r="C44" s="9" t="inlineStr">
        <is>
          <t>品牌资产</t>
        </is>
      </c>
      <c r="D44" s="13" t="n"/>
    </row>
    <row r="45" ht="32" customHeight="1">
      <c r="A45" s="6" t="inlineStr">
        <is>
          <t>品牌联名案例</t>
        </is>
      </c>
      <c r="B45" s="7" t="inlineStr">
        <is>
          <t>取得授权后可用于宣传、推广和招商</t>
        </is>
      </c>
      <c r="C45" s="7" t="inlineStr">
        <is>
          <t>品牌资产</t>
        </is>
      </c>
      <c r="D45" s="11" t="n"/>
    </row>
    <row r="46" ht="32" customHeight="1">
      <c r="A46" s="8" t="inlineStr">
        <is>
          <t>青年文化活动运营数据</t>
        </is>
      </c>
      <c r="B46" s="9" t="inlineStr">
        <is>
          <t>取得授权后可用于宣传、推广和招商</t>
        </is>
      </c>
      <c r="C46" s="9" t="inlineStr">
        <is>
          <t>品牌资产</t>
        </is>
      </c>
      <c r="D46" s="13" t="n"/>
    </row>
    <row r="47" ht="32" customHeight="1">
      <c r="A47" s="6" t="inlineStr">
        <is>
          <t>特色活动产品开发经验</t>
        </is>
      </c>
      <c r="B47" s="7" t="inlineStr">
        <is>
          <t>取得授权后可用于宣传、推广和招商</t>
        </is>
      </c>
      <c r="C47" s="7" t="inlineStr">
        <is>
          <t>品牌资产</t>
        </is>
      </c>
      <c r="D47" s="11" t="n"/>
    </row>
  </sheetData>
  <autoFilter ref="A4:D47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北外滩尚9·一滴水&amp;C&amp;R对一滴水的商业价值</oddHeader>
    <oddFooter>&amp;L内部研讨稿  ·  计划目标不等于已兑现结果&amp;R第 &amp;P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3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55" customWidth="1" min="2" max="2"/>
    <col width="40" customWidth="1" min="3" max="3"/>
    <col width="16" customWidth="1" min="4" max="4"/>
  </cols>
  <sheetData>
    <row r="1" ht="28" customHeight="1">
      <c r="A1" s="1" t="inlineStr">
        <is>
          <t>长期业务方向</t>
        </is>
      </c>
      <c r="B1" s="2" t="n"/>
      <c r="C1" s="2" t="n"/>
      <c r="D1" s="2" t="n"/>
    </row>
    <row r="2" ht="32" customHeight="1">
      <c r="A2" s="3" t="inlineStr">
        <is>
          <t>这些是试点之后才产品化的方向。使用特定商业 IP、角色形象或虚拟角色庆典前，先取得授权。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编号或名称</t>
        </is>
      </c>
      <c r="B4" s="5" t="inlineStr">
        <is>
          <t>内容</t>
        </is>
      </c>
      <c r="C4" s="5" t="inlineStr">
        <is>
          <t>经营说明</t>
        </is>
      </c>
      <c r="D4" s="5" t="inlineStr">
        <is>
          <t>类别</t>
        </is>
      </c>
    </row>
    <row r="5" ht="32" customHeight="1">
      <c r="A5" s="6" t="inlineStr">
        <is>
          <t>01</t>
        </is>
      </c>
      <c r="B5" s="7" t="inlineStr">
        <is>
          <t>主题婚礼及特色婚庆</t>
        </is>
      </c>
      <c r="C5" s="7" t="inlineStr">
        <is>
          <t>二次元主题婚礼、虚拟角色主题庆典、主题婚礼开放日。知识产权许可是前提。</t>
        </is>
      </c>
      <c r="D5" s="11" t="inlineStr">
        <is>
          <t>方向总览</t>
        </is>
      </c>
    </row>
    <row r="6" ht="32" customHeight="1">
      <c r="A6" s="8" t="inlineStr">
        <is>
          <t>02</t>
        </is>
      </c>
      <c r="B6" s="9" t="inlineStr">
        <is>
          <t>主题茶话会与社交</t>
        </is>
      </c>
      <c r="C6" s="9" t="inlineStr">
        <is>
          <t>Lolita 下午茶、特色服装聚会、《无限暖暖》等审美主题、女性向文化聚会、生日下午茶和年轻员工团建。</t>
        </is>
      </c>
      <c r="D6" s="13" t="inlineStr">
        <is>
          <t>方向总览</t>
        </is>
      </c>
    </row>
    <row r="7" ht="32" customHeight="1">
      <c r="A7" s="6" t="inlineStr">
        <is>
          <t>03</t>
        </is>
      </c>
      <c r="B7" s="7" t="inlineStr">
        <is>
          <t>创作者签售会</t>
        </is>
      </c>
      <c r="C7" s="7" t="inlineStr">
        <is>
          <t>签售、主题摄影、粉丝见面、现场问答、创作分享、联合展示和品牌交流。</t>
        </is>
      </c>
      <c r="D7" s="11" t="inlineStr">
        <is>
          <t>方向总览</t>
        </is>
      </c>
    </row>
    <row r="8" ht="32" customHeight="1">
      <c r="A8" s="8" t="inlineStr">
        <is>
          <t>04</t>
        </is>
      </c>
      <c r="B8" s="9" t="inlineStr">
        <is>
          <t>角色生日会与纪念</t>
        </is>
      </c>
      <c r="C8" s="9" t="inlineStr">
        <is>
          <t>角色生日会、作品周年、粉丝庆典和定制主题晚宴，可逐步做成标准包场产品。</t>
        </is>
      </c>
      <c r="D8" s="13" t="inlineStr">
        <is>
          <t>方向总览</t>
        </is>
      </c>
    </row>
    <row r="9" ht="32" customHeight="1">
      <c r="A9" s="6" t="inlineStr">
        <is>
          <t>05</t>
        </is>
      </c>
      <c r="B9" s="7" t="inlineStr">
        <is>
          <t>主题摄影及商拍</t>
        </is>
      </c>
      <c r="C9" s="7" t="inlineStr">
        <is>
          <t>Coser、角色扮演、年轻婚礼、个人纪念、品牌宣传和青年文化主题摄影。</t>
        </is>
      </c>
      <c r="D9" s="11" t="inlineStr">
        <is>
          <t>方向总览</t>
        </is>
      </c>
    </row>
    <row r="10" ht="32" customHeight="1">
      <c r="A10" s="8" t="inlineStr">
        <is>
          <t>06</t>
        </is>
      </c>
      <c r="B10" s="9" t="inlineStr">
        <is>
          <t>主题餐饮及宴会</t>
        </is>
      </c>
      <c r="C10" s="9" t="inlineStr">
        <is>
          <t>江景套餐、下午茶、创作者晚宴、小型主题宴会和生日纪念餐饮。使用商业 IP 前先取得授权。</t>
        </is>
      </c>
      <c r="D10" s="13" t="inlineStr">
        <is>
          <t>方向总览</t>
        </is>
      </c>
    </row>
    <row r="11" ht="32" customHeight="1">
      <c r="A11" s="6" t="inlineStr">
        <is>
          <t>07</t>
        </is>
      </c>
      <c r="B11" s="7" t="inlineStr">
        <is>
          <t>品牌快闪与沉浸式</t>
        </is>
      </c>
      <c r="C11" s="7" t="inlineStr">
        <is>
          <t>与潮玩、饮品、数码、美妆、文创研究快闪、限时展览和互动展示。</t>
        </is>
      </c>
      <c r="D11" s="11" t="inlineStr">
        <is>
          <t>方向总览</t>
        </is>
      </c>
    </row>
    <row r="12" ht="32" customHeight="1">
      <c r="A12" s="8" t="inlineStr">
        <is>
          <t>08</t>
        </is>
      </c>
      <c r="B12" s="9" t="inlineStr">
        <is>
          <t>夜间文化与音乐</t>
        </is>
      </c>
      <c r="C12" s="9" t="inlineStr">
        <is>
          <t>江景音乐沙龙、主题派对、小型乐队、艺术交流和夜间餐饮。以许可、消防、噪声和演出管理为前提。</t>
        </is>
      </c>
      <c r="D12" s="13" t="inlineStr">
        <is>
          <t>方向总览</t>
        </is>
      </c>
    </row>
    <row r="13" ht="32" customHeight="1">
      <c r="A13" s="6" t="inlineStr">
        <is>
          <t>层次一</t>
        </is>
      </c>
      <c r="B13" s="7" t="inlineStr">
        <is>
          <t>二次元主题婚礼</t>
        </is>
      </c>
      <c r="C13" s="7" t="inlineStr">
        <is>
          <t>在传统仪式和宴会服务上，增加动漫、游戏、角色扮演和特色美陈，组合策划、服装、摄影和舞美。</t>
        </is>
      </c>
      <c r="D13" s="11" t="inlineStr">
        <is>
          <t>婚礼产品</t>
        </is>
      </c>
    </row>
    <row r="14" ht="32" customHeight="1">
      <c r="A14" s="8" t="inlineStr">
        <is>
          <t>层次二</t>
        </is>
      </c>
      <c r="B14" s="9" t="inlineStr">
        <is>
          <t>虚拟角色主题庆典</t>
        </is>
      </c>
      <c r="C14" s="9" t="inlineStr">
        <is>
          <t>研究虚拟角色纪念、仪式体验和互动庆典。开展前须明确相关知识产权使用权限。</t>
        </is>
      </c>
      <c r="D14" s="13" t="inlineStr">
        <is>
          <t>婚礼产品</t>
        </is>
      </c>
    </row>
    <row r="15" ht="32" customHeight="1">
      <c r="A15" s="6" t="inlineStr">
        <is>
          <t>层次三</t>
        </is>
      </c>
      <c r="B15" s="7" t="inlineStr">
        <is>
          <t>主题婚礼开放日</t>
        </is>
      </c>
      <c r="C15" s="7" t="inlineStr">
        <is>
          <t>定期邀请潜在新人、摄影机构、策划机构和文化社群，展示一滴水的特色婚礼服务。</t>
        </is>
      </c>
      <c r="D15" s="11" t="inlineStr">
        <is>
          <t>婚礼产品</t>
        </is>
      </c>
    </row>
    <row r="16" ht="32" customHeight="1">
      <c r="A16" s="8" t="inlineStr">
        <is>
          <t>Lolita 主题下午茶</t>
        </is>
      </c>
      <c r="B16" s="9" t="inlineStr">
        <is>
          <t>预约制、小规模、主题化，优先非核心时段</t>
        </is>
      </c>
      <c r="C16" s="9" t="inlineStr"/>
      <c r="D16" s="13" t="inlineStr">
        <is>
          <t>主题社交</t>
        </is>
      </c>
    </row>
    <row r="17" ht="32" customHeight="1">
      <c r="A17" s="6" t="inlineStr">
        <is>
          <t>特色服装主题聚会</t>
        </is>
      </c>
      <c r="B17" s="7" t="inlineStr">
        <is>
          <t>预约制、小规模、主题化，优先非核心时段</t>
        </is>
      </c>
      <c r="C17" s="7" t="inlineStr"/>
      <c r="D17" s="11" t="inlineStr">
        <is>
          <t>主题社交</t>
        </is>
      </c>
    </row>
    <row r="18" ht="32" customHeight="1">
      <c r="A18" s="8" t="inlineStr">
        <is>
          <t>《无限暖暖》等作品风格启发的审美主题活动</t>
        </is>
      </c>
      <c r="B18" s="9" t="inlineStr">
        <is>
          <t>预约制、小规模、主题化，优先非核心时段</t>
        </is>
      </c>
      <c r="C18" s="9" t="inlineStr"/>
      <c r="D18" s="13" t="inlineStr">
        <is>
          <t>主题社交</t>
        </is>
      </c>
    </row>
    <row r="19" ht="32" customHeight="1">
      <c r="A19" s="6" t="inlineStr">
        <is>
          <t>青年文化社交茶会</t>
        </is>
      </c>
      <c r="B19" s="7" t="inlineStr">
        <is>
          <t>预约制、小规模、主题化，优先非核心时段</t>
        </is>
      </c>
      <c r="C19" s="7" t="inlineStr"/>
      <c r="D19" s="11" t="inlineStr">
        <is>
          <t>主题社交</t>
        </is>
      </c>
    </row>
    <row r="20" ht="32" customHeight="1">
      <c r="A20" s="8" t="inlineStr">
        <is>
          <t>女性向文化主题聚会</t>
        </is>
      </c>
      <c r="B20" s="9" t="inlineStr">
        <is>
          <t>预约制、小规模、主题化，优先非核心时段</t>
        </is>
      </c>
      <c r="C20" s="9" t="inlineStr"/>
      <c r="D20" s="13" t="inlineStr">
        <is>
          <t>主题社交</t>
        </is>
      </c>
    </row>
    <row r="21" ht="32" customHeight="1">
      <c r="A21" s="6" t="inlineStr">
        <is>
          <t>特色生日下午茶</t>
        </is>
      </c>
      <c r="B21" s="7" t="inlineStr">
        <is>
          <t>预约制、小规模、主题化，优先非核心时段</t>
        </is>
      </c>
      <c r="C21" s="7" t="inlineStr"/>
      <c r="D21" s="11" t="inlineStr">
        <is>
          <t>主题社交</t>
        </is>
      </c>
    </row>
    <row r="22" ht="32" customHeight="1">
      <c r="A22" s="8" t="inlineStr">
        <is>
          <t>企业年轻员工主题团建</t>
        </is>
      </c>
      <c r="B22" s="9" t="inlineStr">
        <is>
          <t>预约制、小规模、主题化，优先非核心时段</t>
        </is>
      </c>
      <c r="C22" s="9" t="inlineStr"/>
      <c r="D22" s="13" t="inlineStr">
        <is>
          <t>主题社交</t>
        </is>
      </c>
    </row>
    <row r="23" ht="32" customHeight="1">
      <c r="A23" s="6" t="inlineStr">
        <is>
          <t>创作者签售</t>
        </is>
      </c>
      <c r="B23" s="7" t="inlineStr">
        <is>
          <t>团队负责嘉宾、粉丝、票务和传播；一滴水提供场地及配套</t>
        </is>
      </c>
      <c r="C23" s="7" t="inlineStr"/>
      <c r="D23" s="11" t="inlineStr">
        <is>
          <t>创作者活动</t>
        </is>
      </c>
    </row>
    <row r="24" ht="32" customHeight="1">
      <c r="A24" s="8" t="inlineStr">
        <is>
          <t>主题摄影</t>
        </is>
      </c>
      <c r="B24" s="9" t="inlineStr">
        <is>
          <t>团队负责嘉宾、粉丝、票务和传播；一滴水提供场地及配套</t>
        </is>
      </c>
      <c r="C24" s="9" t="inlineStr"/>
      <c r="D24" s="13" t="inlineStr">
        <is>
          <t>创作者活动</t>
        </is>
      </c>
    </row>
    <row r="25" ht="32" customHeight="1">
      <c r="A25" s="6" t="inlineStr">
        <is>
          <t>粉丝见面</t>
        </is>
      </c>
      <c r="B25" s="7" t="inlineStr">
        <is>
          <t>团队负责嘉宾、粉丝、票务和传播；一滴水提供场地及配套</t>
        </is>
      </c>
      <c r="C25" s="7" t="inlineStr"/>
      <c r="D25" s="11" t="inlineStr">
        <is>
          <t>创作者活动</t>
        </is>
      </c>
    </row>
    <row r="26" ht="32" customHeight="1">
      <c r="A26" s="8" t="inlineStr">
        <is>
          <t>现场问答</t>
        </is>
      </c>
      <c r="B26" s="9" t="inlineStr">
        <is>
          <t>团队负责嘉宾、粉丝、票务和传播；一滴水提供场地及配套</t>
        </is>
      </c>
      <c r="C26" s="9" t="inlineStr"/>
      <c r="D26" s="13" t="inlineStr">
        <is>
          <t>创作者活动</t>
        </is>
      </c>
    </row>
    <row r="27" ht="32" customHeight="1">
      <c r="A27" s="6" t="inlineStr">
        <is>
          <t>创作分享</t>
        </is>
      </c>
      <c r="B27" s="7" t="inlineStr">
        <is>
          <t>团队负责嘉宾、粉丝、票务和传播；一滴水提供场地及配套</t>
        </is>
      </c>
      <c r="C27" s="7" t="inlineStr"/>
      <c r="D27" s="11" t="inlineStr">
        <is>
          <t>创作者活动</t>
        </is>
      </c>
    </row>
    <row r="28" ht="32" customHeight="1">
      <c r="A28" s="8" t="inlineStr">
        <is>
          <t>联合展示</t>
        </is>
      </c>
      <c r="B28" s="9" t="inlineStr">
        <is>
          <t>团队负责嘉宾、粉丝、票务和传播；一滴水提供场地及配套</t>
        </is>
      </c>
      <c r="C28" s="9" t="inlineStr"/>
      <c r="D28" s="13" t="inlineStr">
        <is>
          <t>创作者活动</t>
        </is>
      </c>
    </row>
    <row r="29" ht="32" customHeight="1">
      <c r="A29" s="6" t="inlineStr">
        <is>
          <t>品牌交流活动</t>
        </is>
      </c>
      <c r="B29" s="7" t="inlineStr">
        <is>
          <t>团队负责嘉宾、粉丝、票务和传播；一滴水提供场地及配套</t>
        </is>
      </c>
      <c r="C29" s="7" t="inlineStr"/>
      <c r="D29" s="11" t="inlineStr">
        <is>
          <t>创作者活动</t>
        </is>
      </c>
    </row>
    <row r="30" ht="32" customHeight="1">
      <c r="A30" s="8" t="inlineStr">
        <is>
          <t>Coser 主题摄影</t>
        </is>
      </c>
      <c r="B30" s="9" t="inlineStr">
        <is>
          <t>可与专业摄影机构做成不同档次的场地套餐</t>
        </is>
      </c>
      <c r="C30" s="9" t="inlineStr"/>
      <c r="D30" s="13" t="inlineStr">
        <is>
          <t>摄影</t>
        </is>
      </c>
    </row>
    <row r="31" ht="32" customHeight="1">
      <c r="A31" s="6" t="inlineStr">
        <is>
          <t>角色扮演摄影</t>
        </is>
      </c>
      <c r="B31" s="7" t="inlineStr">
        <is>
          <t>可与专业摄影机构做成不同档次的场地套餐</t>
        </is>
      </c>
      <c r="C31" s="7" t="inlineStr"/>
      <c r="D31" s="11" t="inlineStr">
        <is>
          <t>摄影</t>
        </is>
      </c>
    </row>
    <row r="32" ht="32" customHeight="1">
      <c r="A32" s="8" t="inlineStr">
        <is>
          <t>年轻婚礼摄影</t>
        </is>
      </c>
      <c r="B32" s="9" t="inlineStr">
        <is>
          <t>可与专业摄影机构做成不同档次的场地套餐</t>
        </is>
      </c>
      <c r="C32" s="9" t="inlineStr"/>
      <c r="D32" s="13" t="inlineStr">
        <is>
          <t>摄影</t>
        </is>
      </c>
    </row>
    <row r="33" ht="32" customHeight="1">
      <c r="A33" s="6" t="inlineStr">
        <is>
          <t>特色个人纪念摄影</t>
        </is>
      </c>
      <c r="B33" s="7" t="inlineStr">
        <is>
          <t>可与专业摄影机构做成不同档次的场地套餐</t>
        </is>
      </c>
      <c r="C33" s="7" t="inlineStr"/>
      <c r="D33" s="11" t="inlineStr">
        <is>
          <t>摄影</t>
        </is>
      </c>
    </row>
    <row r="34" ht="32" customHeight="1">
      <c r="A34" s="8" t="inlineStr">
        <is>
          <t>商业品牌宣传拍摄</t>
        </is>
      </c>
      <c r="B34" s="9" t="inlineStr">
        <is>
          <t>可与专业摄影机构做成不同档次的场地套餐</t>
        </is>
      </c>
      <c r="C34" s="9" t="inlineStr"/>
      <c r="D34" s="13" t="inlineStr">
        <is>
          <t>摄影</t>
        </is>
      </c>
    </row>
    <row r="35" ht="32" customHeight="1">
      <c r="A35" s="6" t="inlineStr">
        <is>
          <t>青年文化主题摄影活动</t>
        </is>
      </c>
      <c r="B35" s="7" t="inlineStr">
        <is>
          <t>可与专业摄影机构做成不同档次的场地套餐</t>
        </is>
      </c>
      <c r="C35" s="7" t="inlineStr"/>
      <c r="D35" s="11" t="inlineStr">
        <is>
          <t>摄影</t>
        </is>
      </c>
    </row>
  </sheetData>
  <autoFilter ref="A4:D35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北外滩尚9·一滴水&amp;C&amp;R长期业务方向</oddHeader>
    <oddFooter>&amp;L内部研讨稿  ·  计划目标不等于已兑现结果&amp;R第 &amp;P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E3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32" customWidth="1" min="1" max="1"/>
    <col width="18" customWidth="1" min="2" max="2"/>
    <col width="18" customWidth="1" min="3" max="3"/>
    <col width="18" customWidth="1" min="4" max="4"/>
    <col width="42" customWidth="1" min="5" max="5"/>
  </cols>
  <sheetData>
    <row r="1" ht="28" customHeight="1">
      <c r="A1" s="1" t="inlineStr">
        <is>
          <t>赞助权益对照</t>
        </is>
      </c>
      <c r="B1" s="2" t="n"/>
      <c r="C1" s="2" t="n"/>
      <c r="D1" s="2" t="n"/>
      <c r="E1" s="2" t="n"/>
    </row>
    <row r="2" ht="32" customHeight="1">
      <c r="A2" s="3" t="inlineStr">
        <is>
          <t>建议金额：白银 5,000 元，黄金 15,000 元，钻石 30,000 元。并非已确认订单。高一档包含前一档。结案报告拟含照片、触达、阅读量、互动和效果总结。</t>
        </is>
      </c>
      <c r="B2" s="2" t="n"/>
      <c r="C2" s="2" t="n"/>
      <c r="D2" s="2" t="n"/>
      <c r="E2" s="2" t="n"/>
    </row>
    <row r="3" ht="6" customHeight="1">
      <c r="A3" s="4" t="inlineStr"/>
      <c r="B3" s="4" t="n"/>
      <c r="C3" s="4" t="n"/>
      <c r="D3" s="4" t="n"/>
      <c r="E3" s="4" t="n"/>
    </row>
    <row r="4" ht="24" customHeight="1">
      <c r="A4" s="5" t="inlineStr">
        <is>
          <t>权益</t>
        </is>
      </c>
      <c r="B4" s="5" t="inlineStr">
        <is>
          <t>白银 5,000元</t>
        </is>
      </c>
      <c r="C4" s="5" t="inlineStr">
        <is>
          <t>黄金 15,000元</t>
        </is>
      </c>
      <c r="D4" s="5" t="inlineStr">
        <is>
          <t>钻石 30,000元</t>
        </is>
      </c>
      <c r="E4" s="5" t="inlineStr">
        <is>
          <t>备注</t>
        </is>
      </c>
    </row>
    <row r="5" ht="32" customHeight="1">
      <c r="A5" s="6" t="inlineStr">
        <is>
          <t>现场商业摊位</t>
        </is>
      </c>
      <c r="B5" s="11" t="inlineStr">
        <is>
          <t>有</t>
        </is>
      </c>
      <c r="C5" s="11" t="inlineStr">
        <is>
          <t>有</t>
        </is>
      </c>
      <c r="D5" s="11" t="inlineStr">
        <is>
          <t>有</t>
        </is>
      </c>
      <c r="E5" s="7" t="inlineStr">
        <is>
          <t>白银未约定尺寸；黄金起为约 3 米 × 3 米品牌展位</t>
        </is>
      </c>
    </row>
    <row r="6" ht="32" customHeight="1">
      <c r="A6" s="8" t="inlineStr">
        <is>
          <t>宣传物料 LOGO</t>
        </is>
      </c>
      <c r="B6" s="13" t="inlineStr">
        <is>
          <t>有</t>
        </is>
      </c>
      <c r="C6" s="13" t="inlineStr">
        <is>
          <t>有</t>
        </is>
      </c>
      <c r="D6" s="13" t="inlineStr">
        <is>
          <t>有</t>
        </is>
      </c>
      <c r="E6" s="9" t="inlineStr">
        <is>
          <t>具体位置在合同中确定</t>
        </is>
      </c>
    </row>
    <row r="7" ht="32" customHeight="1">
      <c r="A7" s="6" t="inlineStr">
        <is>
          <t>活动后感谢发布</t>
        </is>
      </c>
      <c r="B7" s="11" t="inlineStr">
        <is>
          <t>有</t>
        </is>
      </c>
      <c r="C7" s="11" t="inlineStr">
        <is>
          <t>有</t>
        </is>
      </c>
      <c r="D7" s="11" t="inlineStr">
        <is>
          <t>有</t>
        </is>
      </c>
      <c r="E7" s="7" t="inlineStr">
        <is>
          <t>官方社群或相关平台</t>
        </is>
      </c>
    </row>
    <row r="8" ht="32" customHeight="1">
      <c r="A8" s="8" t="inlineStr">
        <is>
          <t>约 3 米 × 3 米品牌展位</t>
        </is>
      </c>
      <c r="B8" s="13" t="inlineStr">
        <is>
          <t>—</t>
        </is>
      </c>
      <c r="C8" s="13" t="inlineStr">
        <is>
          <t>有</t>
        </is>
      </c>
      <c r="D8" s="13" t="inlineStr">
        <is>
          <t>有</t>
        </is>
      </c>
      <c r="E8" s="9" t="inlineStr">
        <is>
          <t>黄金档新增，钻石档继承</t>
        </is>
      </c>
    </row>
    <row r="9" ht="32" customHeight="1">
      <c r="A9" s="6" t="inlineStr">
        <is>
          <t>主题区域品牌植入</t>
        </is>
      </c>
      <c r="B9" s="11" t="inlineStr">
        <is>
          <t>—</t>
        </is>
      </c>
      <c r="C9" s="11" t="inlineStr">
        <is>
          <t>有</t>
        </is>
      </c>
      <c r="D9" s="11" t="inlineStr">
        <is>
          <t>有</t>
        </is>
      </c>
      <c r="E9" s="7" t="inlineStr">
        <is>
          <t>钻石档为深度合作</t>
        </is>
      </c>
    </row>
    <row r="10" ht="32" customHeight="1">
      <c r="A10" s="8" t="inlineStr">
        <is>
          <t>主题互动环节合作</t>
        </is>
      </c>
      <c r="B10" s="13" t="inlineStr">
        <is>
          <t>—</t>
        </is>
      </c>
      <c r="C10" s="13" t="inlineStr">
        <is>
          <t>有</t>
        </is>
      </c>
      <c r="D10" s="13" t="inlineStr">
        <is>
          <t>有</t>
        </is>
      </c>
      <c r="E10" s="9" t="inlineStr"/>
    </row>
    <row r="11" ht="32" customHeight="1">
      <c r="A11" s="6" t="inlineStr">
        <is>
          <t>道具、任务或补给站命名</t>
        </is>
      </c>
      <c r="B11" s="11" t="inlineStr">
        <is>
          <t>—</t>
        </is>
      </c>
      <c r="C11" s="11" t="inlineStr">
        <is>
          <t>有</t>
        </is>
      </c>
      <c r="D11" s="11" t="inlineStr">
        <is>
          <t>有</t>
        </is>
      </c>
      <c r="E11" s="7" t="inlineStr"/>
    </row>
    <row r="12" ht="32" customHeight="1">
      <c r="A12" s="8" t="inlineStr">
        <is>
          <t>VIP 餐饮产品展示</t>
        </is>
      </c>
      <c r="B12" s="13" t="inlineStr">
        <is>
          <t>—</t>
        </is>
      </c>
      <c r="C12" s="13" t="inlineStr">
        <is>
          <t>有</t>
        </is>
      </c>
      <c r="D12" s="13" t="inlineStr">
        <is>
          <t>有</t>
        </is>
      </c>
      <c r="E12" s="9" t="inlineStr"/>
    </row>
    <row r="13" ht="32" customHeight="1">
      <c r="A13" s="6" t="inlineStr">
        <is>
          <t>餐饮、饮品、伴手礼合作</t>
        </is>
      </c>
      <c r="B13" s="11" t="inlineStr">
        <is>
          <t>—</t>
        </is>
      </c>
      <c r="C13" s="11" t="inlineStr">
        <is>
          <t>有</t>
        </is>
      </c>
      <c r="D13" s="11" t="inlineStr">
        <is>
          <t>有</t>
        </is>
      </c>
      <c r="E13" s="7" t="inlineStr"/>
    </row>
    <row r="14" ht="32" customHeight="1">
      <c r="A14" s="8" t="inlineStr">
        <is>
          <t>舞台主持人口播</t>
        </is>
      </c>
      <c r="B14" s="13" t="inlineStr">
        <is>
          <t>—</t>
        </is>
      </c>
      <c r="C14" s="13" t="inlineStr">
        <is>
          <t>有</t>
        </is>
      </c>
      <c r="D14" s="13" t="inlineStr">
        <is>
          <t>有</t>
        </is>
      </c>
      <c r="E14" s="9" t="inlineStr"/>
    </row>
    <row r="15" ht="32" customHeight="1">
      <c r="A15" s="6" t="inlineStr">
        <is>
          <t>社交平台品牌露出</t>
        </is>
      </c>
      <c r="B15" s="11" t="inlineStr">
        <is>
          <t>—</t>
        </is>
      </c>
      <c r="C15" s="11" t="inlineStr">
        <is>
          <t>有</t>
        </is>
      </c>
      <c r="D15" s="11" t="inlineStr">
        <is>
          <t>有</t>
        </is>
      </c>
      <c r="E15" s="7" t="inlineStr">
        <is>
          <t>钻石档为重点宣传</t>
        </is>
      </c>
    </row>
    <row r="16" ht="32" customHeight="1">
      <c r="A16" s="8" t="inlineStr">
        <is>
          <t>活动独家冠名</t>
        </is>
      </c>
      <c r="B16" s="13" t="inlineStr">
        <is>
          <t>—</t>
        </is>
      </c>
      <c r="C16" s="13" t="inlineStr">
        <is>
          <t>—</t>
        </is>
      </c>
      <c r="D16" s="13" t="inlineStr">
        <is>
          <t>有</t>
        </is>
      </c>
      <c r="E16" s="9" t="inlineStr">
        <is>
          <t>同一活动仅一席</t>
        </is>
      </c>
    </row>
    <row r="17" ht="32" customHeight="1">
      <c r="A17" s="6" t="inlineStr">
        <is>
          <t>活动名称中的品牌展示</t>
        </is>
      </c>
      <c r="B17" s="11" t="inlineStr">
        <is>
          <t>—</t>
        </is>
      </c>
      <c r="C17" s="11" t="inlineStr">
        <is>
          <t>—</t>
        </is>
      </c>
      <c r="D17" s="11" t="inlineStr">
        <is>
          <t>有</t>
        </is>
      </c>
      <c r="E17" s="7" t="inlineStr"/>
    </row>
    <row r="18" ht="32" customHeight="1">
      <c r="A18" s="8" t="inlineStr">
        <is>
          <t>主背景板核心 LOGO</t>
        </is>
      </c>
      <c r="B18" s="13" t="inlineStr">
        <is>
          <t>—</t>
        </is>
      </c>
      <c r="C18" s="13" t="inlineStr">
        <is>
          <t>—</t>
        </is>
      </c>
      <c r="D18" s="13" t="inlineStr">
        <is>
          <t>有</t>
        </is>
      </c>
      <c r="E18" s="9" t="inlineStr"/>
    </row>
    <row r="19" ht="32" customHeight="1">
      <c r="A19" s="6" t="inlineStr">
        <is>
          <t>全渠道重点展示</t>
        </is>
      </c>
      <c r="B19" s="11" t="inlineStr">
        <is>
          <t>—</t>
        </is>
      </c>
      <c r="C19" s="11" t="inlineStr">
        <is>
          <t>—</t>
        </is>
      </c>
      <c r="D19" s="11" t="inlineStr">
        <is>
          <t>有</t>
        </is>
      </c>
      <c r="E19" s="7" t="inlineStr"/>
    </row>
    <row r="20" ht="32" customHeight="1">
      <c r="A20" s="8" t="inlineStr">
        <is>
          <t>定制互动环节</t>
        </is>
      </c>
      <c r="B20" s="13" t="inlineStr">
        <is>
          <t>—</t>
        </is>
      </c>
      <c r="C20" s="13" t="inlineStr">
        <is>
          <t>—</t>
        </is>
      </c>
      <c r="D20" s="13" t="inlineStr">
        <is>
          <t>有</t>
        </is>
      </c>
      <c r="E20" s="9" t="inlineStr"/>
    </row>
    <row r="21" ht="32" customHeight="1">
      <c r="A21" s="6" t="inlineStr">
        <is>
          <t>VIP 江景餐饮品牌合作</t>
        </is>
      </c>
      <c r="B21" s="11" t="inlineStr">
        <is>
          <t>—</t>
        </is>
      </c>
      <c r="C21" s="11" t="inlineStr">
        <is>
          <t>—</t>
        </is>
      </c>
      <c r="D21" s="11" t="inlineStr">
        <is>
          <t>有</t>
        </is>
      </c>
      <c r="E21" s="7" t="inlineStr"/>
    </row>
    <row r="22" ht="32" customHeight="1">
      <c r="A22" s="8" t="inlineStr">
        <is>
          <t>完整结案报告</t>
        </is>
      </c>
      <c r="B22" s="13" t="inlineStr">
        <is>
          <t>—</t>
        </is>
      </c>
      <c r="C22" s="13" t="inlineStr">
        <is>
          <t>—</t>
        </is>
      </c>
      <c r="D22" s="13" t="inlineStr">
        <is>
          <t>有</t>
        </is>
      </c>
      <c r="E22" s="9" t="inlineStr">
        <is>
          <t>拟含照片、触达、阅读量、互动和效果总结</t>
        </is>
      </c>
    </row>
    <row r="25">
      <c r="A25" s="10" t="inlineStr">
        <is>
          <t>实物、资源置换与一滴水自有权益</t>
        </is>
      </c>
    </row>
    <row r="26">
      <c r="A26" s="17" t="inlineStr">
        <is>
          <t>类型</t>
        </is>
      </c>
      <c r="B26" s="17" t="inlineStr">
        <is>
          <t>内容</t>
        </is>
      </c>
      <c r="C26" s="17" t="inlineStr"/>
      <c r="D26" s="17" t="inlineStr"/>
      <c r="E26" s="17" t="inlineStr">
        <is>
          <t>类别</t>
        </is>
      </c>
    </row>
    <row r="27" ht="32" customHeight="1">
      <c r="A27" s="6" t="inlineStr">
        <is>
          <t>产品赞助</t>
        </is>
      </c>
      <c r="B27" s="7" t="inlineStr">
        <is>
          <t>品牌提供饮品、食品、周边或纪念品，用于现场体验、福利和互动奖励。</t>
        </is>
      </c>
      <c r="C27" s="7" t="n"/>
      <c r="D27" s="7" t="n"/>
      <c r="E27" s="11" t="inlineStr">
        <is>
          <t>置换合作</t>
        </is>
      </c>
    </row>
    <row r="28" ht="32" customHeight="1">
      <c r="A28" s="8" t="inlineStr">
        <is>
          <t>平台资源置换</t>
        </is>
      </c>
      <c r="B28" s="9" t="inlineStr">
        <is>
          <t>以广告位、流量位、开屏或活动专题，换取品牌露出和现场权益。</t>
        </is>
      </c>
      <c r="C28" s="9" t="n"/>
      <c r="D28" s="9" t="n"/>
      <c r="E28" s="13" t="inlineStr">
        <is>
          <t>置换合作</t>
        </is>
      </c>
    </row>
    <row r="29" ht="32" customHeight="1">
      <c r="A29" s="6" t="inlineStr">
        <is>
          <t>内容共创</t>
        </is>
      </c>
      <c r="B29" s="7" t="inlineStr">
        <is>
          <t>产品进入主题互动、限量体验和抽奖。联名周边须同时满足知识产权和商业合作要求。</t>
        </is>
      </c>
      <c r="C29" s="7" t="n"/>
      <c r="D29" s="7" t="n"/>
      <c r="E29" s="11" t="inlineStr">
        <is>
          <t>置换合作</t>
        </is>
      </c>
    </row>
    <row r="30" ht="32" customHeight="1">
      <c r="A30" s="8" t="inlineStr">
        <is>
          <t>品牌展位合作</t>
        </is>
      </c>
      <c r="B30" s="9" t="inlineStr">
        <is>
          <t>设置展示区、产品体验区、消费者互动区和相关营销空间。</t>
        </is>
      </c>
      <c r="C30" s="9" t="n"/>
      <c r="D30" s="9" t="n"/>
      <c r="E30" s="13" t="inlineStr">
        <is>
          <t>置换合作</t>
        </is>
      </c>
    </row>
    <row r="31" ht="32" customHeight="1">
      <c r="A31" s="6" t="inlineStr">
        <is>
          <t>场地品牌露出</t>
        </is>
      </c>
      <c r="B31" s="7" t="inlineStr">
        <is>
          <t>在主视觉、票务介绍、入场指引和官方宣传中合理体现一滴水名称。</t>
        </is>
      </c>
      <c r="C31" s="7" t="n"/>
      <c r="D31" s="7" t="n"/>
      <c r="E31" s="11" t="inlineStr">
        <is>
          <t>一滴水权益</t>
        </is>
      </c>
    </row>
    <row r="32" ht="32" customHeight="1">
      <c r="A32" s="8" t="inlineStr">
        <is>
          <t>场地产品推广</t>
        </is>
      </c>
      <c r="B32" s="9" t="inlineStr">
        <is>
          <t>设置婚庆、主题宴会和江景餐饮服务介绍。</t>
        </is>
      </c>
      <c r="C32" s="9" t="n"/>
      <c r="D32" s="9" t="n"/>
      <c r="E32" s="13" t="inlineStr">
        <is>
          <t>一滴水权益</t>
        </is>
      </c>
    </row>
    <row r="33" ht="32" customHeight="1">
      <c r="A33" s="6" t="inlineStr">
        <is>
          <t>联合内容传播</t>
        </is>
      </c>
      <c r="B33" s="7" t="inlineStr">
        <is>
          <t>共同制作场地摄影、活动预告和回顾视频。</t>
        </is>
      </c>
      <c r="C33" s="7" t="n"/>
      <c r="D33" s="7" t="n"/>
      <c r="E33" s="11" t="inlineStr">
        <is>
          <t>一滴水权益</t>
        </is>
      </c>
    </row>
    <row r="34" ht="32" customHeight="1">
      <c r="A34" s="8" t="inlineStr">
        <is>
          <t>客户转化</t>
        </is>
      </c>
      <c r="B34" s="9" t="inlineStr">
        <is>
          <t>通过现场展示和官方咨询入口，获取有明确意愿的业务咨询。</t>
        </is>
      </c>
      <c r="C34" s="9" t="n"/>
      <c r="D34" s="9" t="n"/>
      <c r="E34" s="13" t="inlineStr">
        <is>
          <t>一滴水权益</t>
        </is>
      </c>
    </row>
    <row r="35" ht="32" customHeight="1">
      <c r="A35" s="6" t="inlineStr">
        <is>
          <t>后续商务引荐</t>
        </is>
      </c>
      <c r="B35" s="7" t="inlineStr">
        <is>
          <t>由活动团队引荐适合在一滴水举办品牌活动、社群聚会和商务活动的客户。</t>
        </is>
      </c>
      <c r="C35" s="7" t="n"/>
      <c r="D35" s="7" t="n"/>
      <c r="E35" s="11" t="inlineStr">
        <is>
          <t>一滴水权益</t>
        </is>
      </c>
    </row>
  </sheetData>
  <autoFilter ref="A4:E22"/>
  <mergeCells count="13">
    <mergeCell ref="B33:D33"/>
    <mergeCell ref="B28:D28"/>
    <mergeCell ref="A2:E2"/>
    <mergeCell ref="B31:D31"/>
    <mergeCell ref="A25:E25"/>
    <mergeCell ref="B32:D32"/>
    <mergeCell ref="B35:D35"/>
    <mergeCell ref="B27:D27"/>
    <mergeCell ref="A1:E1"/>
    <mergeCell ref="B30:D30"/>
    <mergeCell ref="B29:D29"/>
    <mergeCell ref="B34:D34"/>
    <mergeCell ref="A3:E3"/>
  </mergeCells>
  <conditionalFormatting sqref="B5:B22">
    <cfRule type="expression" priority="1" dxfId="0">
      <formula>ISNUMBER(SEARCH("已过",B5))</formula>
    </cfRule>
    <cfRule type="expression" priority="2" dxfId="1">
      <formula>ISNUMBER(SEARCH("进行中",B5))</formula>
    </cfRule>
    <cfRule type="expression" priority="3" dxfId="0">
      <formula>ISNUMBER(SEARCH("高",B5))</formula>
    </cfRule>
    <cfRule type="expression" priority="4" dxfId="2">
      <formula>B5="有"</formula>
    </cfRule>
  </conditionalFormatting>
  <conditionalFormatting sqref="C5:C22">
    <cfRule type="expression" priority="5" dxfId="0">
      <formula>ISNUMBER(SEARCH("已过",C5))</formula>
    </cfRule>
    <cfRule type="expression" priority="6" dxfId="1">
      <formula>ISNUMBER(SEARCH("进行中",C5))</formula>
    </cfRule>
    <cfRule type="expression" priority="7" dxfId="0">
      <formula>ISNUMBER(SEARCH("高",C5))</formula>
    </cfRule>
    <cfRule type="expression" priority="8" dxfId="2">
      <formula>C5="有"</formula>
    </cfRule>
  </conditionalFormatting>
  <conditionalFormatting sqref="D5:D22">
    <cfRule type="expression" priority="9" dxfId="0">
      <formula>ISNUMBER(SEARCH("已过",D5))</formula>
    </cfRule>
    <cfRule type="expression" priority="10" dxfId="1">
      <formula>ISNUMBER(SEARCH("进行中",D5))</formula>
    </cfRule>
    <cfRule type="expression" priority="11" dxfId="0">
      <formula>ISNUMBER(SEARCH("高",D5))</formula>
    </cfRule>
    <cfRule type="expression" priority="12" dxfId="2">
      <formula>D5="有"</formula>
    </cfRule>
  </conditionalFormatting>
  <pageMargins left="0.5" right="0.5" top="0.7" bottom="0.6" header="0.3" footer="0.3"/>
  <pageSetup orientation="landscape" paperSize="9" fitToHeight="0" fitToWidth="1"/>
  <headerFooter>
    <oddHeader>&amp;L潮起潮落 TIDELINE × 北外滩尚9·一滴水&amp;C&amp;R赞助权益对照</oddHeader>
    <oddFooter>&amp;L内部研讨稿  ·  计划目标不等于已兑现结果&amp;R第 &amp;P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3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28" customWidth="1" min="2" max="2"/>
    <col width="62" customWidth="1" min="3" max="3"/>
    <col width="18" customWidth="1" min="4" max="4"/>
  </cols>
  <sheetData>
    <row r="1" ht="28" customHeight="1">
      <c r="A1" s="1" t="inlineStr">
        <is>
          <t>传播计划与目标</t>
        </is>
      </c>
      <c r="B1" s="2" t="n"/>
      <c r="C1" s="2" t="n"/>
      <c r="D1" s="2" t="n"/>
    </row>
    <row r="2" ht="32" customHeight="1">
      <c r="A2" s="3" t="inlineStr">
        <is>
          <t>各渠道数字是计划覆盖或曝光。合计约 70,000+ 有用户重叠，不是独立消费者。粉丝 10 万至 1,000 万、百大 UP主、卡游、杭州银行均待确认清单。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项目</t>
        </is>
      </c>
      <c r="B4" s="5" t="inlineStr">
        <is>
          <t>目标或时间</t>
        </is>
      </c>
      <c r="C4" s="5" t="inlineStr">
        <is>
          <t>内容</t>
        </is>
      </c>
      <c r="D4" s="5" t="inlineStr">
        <is>
          <t>类别</t>
        </is>
      </c>
    </row>
    <row r="5" ht="32" customHeight="1">
      <c r="A5" s="6" t="inlineStr">
        <is>
          <t>B站</t>
        </is>
      </c>
      <c r="B5" s="7" t="inlineStr">
        <is>
          <t>25,000+</t>
        </is>
      </c>
      <c r="C5" s="7" t="inlineStr">
        <is>
          <t>主题预告、场地实拍、玩法、嘉宾、回顾和体验视频</t>
        </is>
      </c>
      <c r="D5" s="11" t="inlineStr">
        <is>
          <t>计入原稿合计</t>
        </is>
      </c>
    </row>
    <row r="6" ht="32" customHeight="1">
      <c r="A6" s="8" t="inlineStr">
        <is>
          <t>微博</t>
        </is>
      </c>
      <c r="B6" s="9" t="inlineStr">
        <is>
          <t>15,000+</t>
        </is>
      </c>
      <c r="C6" s="9" t="inlineStr">
        <is>
          <t>主视觉、嘉宾、倒计时、活动动态和现场内容</t>
        </is>
      </c>
      <c r="D6" s="13" t="inlineStr">
        <is>
          <t>计入原稿合计</t>
        </is>
      </c>
    </row>
    <row r="7" ht="32" customHeight="1">
      <c r="A7" s="6" t="inlineStr">
        <is>
          <t>小红书</t>
        </is>
      </c>
      <c r="B7" s="7" t="inlineStr">
        <is>
          <t>15,000+</t>
        </is>
      </c>
      <c r="C7" s="7" t="inlineStr">
        <is>
          <t>打卡攻略、摄影、妆造、活动体验、江景餐饮和特色婚庆场景</t>
        </is>
      </c>
      <c r="D7" s="11" t="inlineStr">
        <is>
          <t>计入原稿合计</t>
        </is>
      </c>
    </row>
    <row r="8" ht="32" customHeight="1">
      <c r="A8" s="8" t="inlineStr">
        <is>
          <t>微信群及 QQ 群</t>
        </is>
      </c>
      <c r="B8" s="9" t="inlineStr">
        <is>
          <t>5,000+</t>
        </is>
      </c>
      <c r="C8" s="9" t="inlineStr">
        <is>
          <t>票务、摊位招募、入场须知和现场服务</t>
        </is>
      </c>
      <c r="D8" s="13" t="inlineStr">
        <is>
          <t>计入原稿合计</t>
        </is>
      </c>
    </row>
    <row r="9" ht="32" customHeight="1">
      <c r="A9" s="6" t="inlineStr">
        <is>
          <t>CPP、千岛等</t>
        </is>
      </c>
      <c r="B9" s="7" t="inlineStr">
        <is>
          <t>10,000+</t>
        </is>
      </c>
      <c r="C9" s="7" t="inlineStr">
        <is>
          <t>定向触达创作者、摊主、核心玩家和文化兴趣群体</t>
        </is>
      </c>
      <c r="D9" s="11" t="inlineStr">
        <is>
          <t>计入原稿合计</t>
        </is>
      </c>
    </row>
    <row r="10" ht="32" customHeight="1">
      <c r="A10" s="8" t="inlineStr">
        <is>
          <t>合计</t>
        </is>
      </c>
      <c r="B10" s="9" t="inlineStr">
        <is>
          <t>约 70,000+</t>
        </is>
      </c>
      <c r="C10" s="9" t="inlineStr">
        <is>
          <t>各渠道曝光或触达合计，用户有重叠，不是独立消费者人数</t>
        </is>
      </c>
      <c r="D10" s="13" t="inlineStr">
        <is>
          <t>计入原稿合计</t>
        </is>
      </c>
    </row>
    <row r="11" ht="32" customHeight="1">
      <c r="A11" s="6" t="inlineStr">
        <is>
          <t>抖音及短视频</t>
        </is>
      </c>
      <c r="B11" s="7" t="inlineStr">
        <is>
          <t>原稿未单列数值</t>
        </is>
      </c>
      <c r="C11" s="7" t="inlineStr">
        <is>
          <t>展示主题场景、江景建筑、嘉宾互动和活动体验</t>
        </is>
      </c>
      <c r="D11" s="11" t="inlineStr">
        <is>
          <t>不计入 7 万合计</t>
        </is>
      </c>
    </row>
    <row r="12" ht="32" customHeight="1">
      <c r="A12" s="8" t="inlineStr">
        <is>
          <t>综合平台</t>
        </is>
      </c>
      <c r="B12" s="9" t="inlineStr">
        <is>
          <t>视招商资源而定</t>
        </is>
      </c>
      <c r="C12" s="9" t="inlineStr">
        <is>
          <t>研究 B站会员购、社交平台活动专题页及其他传播资源</t>
        </is>
      </c>
      <c r="D12" s="13" t="inlineStr">
        <is>
          <t>不计入 7 万合计</t>
        </is>
      </c>
    </row>
    <row r="13" ht="32" customHeight="1">
      <c r="A13" s="6" t="inlineStr">
        <is>
          <t>第一轮</t>
        </is>
      </c>
      <c r="B13" s="7" t="inlineStr">
        <is>
          <t>展前约 6 周</t>
        </is>
      </c>
      <c r="C13" s="7" t="inlineStr">
        <is>
          <t>公布主题、时间、场地和主视觉</t>
        </is>
      </c>
      <c r="D13" s="11" t="inlineStr">
        <is>
          <t>宣传节奏</t>
        </is>
      </c>
    </row>
    <row r="14" ht="32" customHeight="1">
      <c r="A14" s="8" t="inlineStr">
        <is>
          <t>第二轮</t>
        </is>
      </c>
      <c r="B14" s="9" t="inlineStr">
        <is>
          <t>展前约 4 周</t>
        </is>
      </c>
      <c r="C14" s="9" t="inlineStr">
        <is>
          <t>摊位招募、嘉宾信息、创作者招募</t>
        </is>
      </c>
      <c r="D14" s="13" t="inlineStr">
        <is>
          <t>宣传节奏</t>
        </is>
      </c>
    </row>
    <row r="15" ht="32" customHeight="1">
      <c r="A15" s="6" t="inlineStr">
        <is>
          <t>第三轮</t>
        </is>
      </c>
      <c r="B15" s="7" t="inlineStr">
        <is>
          <t>展前约 2 周</t>
        </is>
      </c>
      <c r="C15" s="7" t="inlineStr">
        <is>
          <t>票务信息、互动玩法、场地动线</t>
        </is>
      </c>
      <c r="D15" s="11" t="inlineStr">
        <is>
          <t>宣传节奏</t>
        </is>
      </c>
    </row>
    <row r="16" ht="32" customHeight="1">
      <c r="A16" s="8" t="inlineStr">
        <is>
          <t>第四轮</t>
        </is>
      </c>
      <c r="B16" s="9" t="inlineStr">
        <is>
          <t>展前约 1 周</t>
        </is>
      </c>
      <c r="C16" s="9" t="inlineStr">
        <is>
          <t>交通指引、入场须知、安检要求</t>
        </is>
      </c>
      <c r="D16" s="13" t="inlineStr">
        <is>
          <t>宣传节奏</t>
        </is>
      </c>
    </row>
    <row r="17" ht="32" customHeight="1">
      <c r="A17" s="6" t="inlineStr">
        <is>
          <t>活动期间</t>
        </is>
      </c>
      <c r="B17" s="7" t="inlineStr">
        <is>
          <t>活动当天</t>
        </is>
      </c>
      <c r="C17" s="7" t="inlineStr">
        <is>
          <t>现场摄影、短视频、话题互动</t>
        </is>
      </c>
      <c r="D17" s="11" t="inlineStr">
        <is>
          <t>宣传节奏</t>
        </is>
      </c>
    </row>
    <row r="18" ht="32" customHeight="1">
      <c r="A18" s="8" t="inlineStr">
        <is>
          <t>活动结束后</t>
        </is>
      </c>
      <c r="B18" s="9" t="inlineStr">
        <is>
          <t>3—7 天内</t>
        </is>
      </c>
      <c r="C18" s="9" t="inlineStr">
        <is>
          <t>活动回顾、数据报告、品牌传播总结</t>
        </is>
      </c>
      <c r="D18" s="13" t="inlineStr">
        <is>
          <t>宣传节奏</t>
        </is>
      </c>
    </row>
    <row r="19" ht="32" customHeight="1">
      <c r="A19" s="6" t="inlineStr">
        <is>
          <t>拟邀请嘉宾与 KOL 清单</t>
        </is>
      </c>
      <c r="B19" s="7" t="inlineStr">
        <is>
          <t>签约前由活动团队提供</t>
        </is>
      </c>
      <c r="C19" s="7" t="inlineStr"/>
      <c r="D19" s="11" t="inlineStr">
        <is>
          <t>资源核验</t>
        </is>
      </c>
    </row>
    <row r="20" ht="32" customHeight="1">
      <c r="A20" s="8" t="inlineStr">
        <is>
          <t>相关账号及粉丝数据</t>
        </is>
      </c>
      <c r="B20" s="9" t="inlineStr">
        <is>
          <t>签约前由活动团队提供</t>
        </is>
      </c>
      <c r="C20" s="9" t="inlineStr"/>
      <c r="D20" s="13" t="inlineStr">
        <is>
          <t>资源核验</t>
        </is>
      </c>
    </row>
    <row r="21" ht="32" customHeight="1">
      <c r="A21" s="6" t="inlineStr">
        <is>
          <t>已确认的合作证明</t>
        </is>
      </c>
      <c r="B21" s="7" t="inlineStr">
        <is>
          <t>签约前由活动团队提供</t>
        </is>
      </c>
      <c r="C21" s="7" t="inlineStr"/>
      <c r="D21" s="11" t="inlineStr">
        <is>
          <t>资源核验</t>
        </is>
      </c>
    </row>
    <row r="22" ht="32" customHeight="1">
      <c r="A22" s="8" t="inlineStr">
        <is>
          <t>具体宣传内容</t>
        </is>
      </c>
      <c r="B22" s="9" t="inlineStr">
        <is>
          <t>签约前由活动团队提供</t>
        </is>
      </c>
      <c r="C22" s="9" t="inlineStr"/>
      <c r="D22" s="13" t="inlineStr">
        <is>
          <t>资源核验</t>
        </is>
      </c>
    </row>
    <row r="23" ht="32" customHeight="1">
      <c r="A23" s="6" t="inlineStr">
        <is>
          <t>计划发布时间</t>
        </is>
      </c>
      <c r="B23" s="7" t="inlineStr">
        <is>
          <t>签约前由活动团队提供</t>
        </is>
      </c>
      <c r="C23" s="7" t="inlineStr"/>
      <c r="D23" s="11" t="inlineStr">
        <is>
          <t>资源核验</t>
        </is>
      </c>
    </row>
    <row r="24" ht="32" customHeight="1">
      <c r="A24" s="8" t="inlineStr">
        <is>
          <t>可提供给一滴水的场地露出权益</t>
        </is>
      </c>
      <c r="B24" s="9" t="inlineStr">
        <is>
          <t>签约前由活动团队提供</t>
        </is>
      </c>
      <c r="C24" s="9" t="inlineStr"/>
      <c r="D24" s="13" t="inlineStr">
        <is>
          <t>资源核验</t>
        </is>
      </c>
    </row>
    <row r="25" ht="32" customHeight="1">
      <c r="A25" s="6" t="inlineStr">
        <is>
          <t>活动后可核查的传播数据</t>
        </is>
      </c>
      <c r="B25" s="7" t="inlineStr">
        <is>
          <t>签约前由活动团队提供</t>
        </is>
      </c>
      <c r="C25" s="7" t="inlineStr"/>
      <c r="D25" s="11" t="inlineStr">
        <is>
          <t>资源核验</t>
        </is>
      </c>
    </row>
    <row r="26" ht="32" customHeight="1">
      <c r="A26" s="8" t="inlineStr">
        <is>
          <t>高校动漫社及摄影社团联动</t>
        </is>
      </c>
      <c r="B26" s="9" t="inlineStr">
        <is>
          <t>线下传播动作</t>
        </is>
      </c>
      <c r="C26" s="9" t="inlineStr"/>
      <c r="D26" s="13" t="inlineStr">
        <is>
          <t>线下</t>
        </is>
      </c>
    </row>
    <row r="27" ht="32" customHeight="1">
      <c r="A27" s="6" t="inlineStr">
        <is>
          <t>同人社团定向邀请</t>
        </is>
      </c>
      <c r="B27" s="7" t="inlineStr">
        <is>
          <t>线下传播动作</t>
        </is>
      </c>
      <c r="C27" s="7" t="inlineStr"/>
      <c r="D27" s="11" t="inlineStr">
        <is>
          <t>线下</t>
        </is>
      </c>
    </row>
    <row r="28" ht="32" customHeight="1">
      <c r="A28" s="8" t="inlineStr">
        <is>
          <t>合作商户联合宣传</t>
        </is>
      </c>
      <c r="B28" s="9" t="inlineStr">
        <is>
          <t>线下传播动作</t>
        </is>
      </c>
      <c r="C28" s="9" t="inlineStr"/>
      <c r="D28" s="13" t="inlineStr">
        <is>
          <t>线下</t>
        </is>
      </c>
    </row>
    <row r="29" ht="32" customHeight="1">
      <c r="A29" s="6" t="inlineStr">
        <is>
          <t>北外滩商圈合规宣传展示</t>
        </is>
      </c>
      <c r="B29" s="7" t="inlineStr">
        <is>
          <t>线下传播动作</t>
        </is>
      </c>
      <c r="C29" s="7" t="inlineStr"/>
      <c r="D29" s="11" t="inlineStr">
        <is>
          <t>线下</t>
        </is>
      </c>
    </row>
    <row r="30" ht="32" customHeight="1">
      <c r="A30" s="8" t="inlineStr">
        <is>
          <t>场地入口和公共区域活动指引</t>
        </is>
      </c>
      <c r="B30" s="9" t="inlineStr">
        <is>
          <t>线下传播动作</t>
        </is>
      </c>
      <c r="C30" s="9" t="inlineStr"/>
      <c r="D30" s="13" t="inlineStr">
        <is>
          <t>线下</t>
        </is>
      </c>
    </row>
    <row r="31" ht="32" customHeight="1">
      <c r="A31" s="6" t="inlineStr">
        <is>
          <t>品牌展位及现场互动推广</t>
        </is>
      </c>
      <c r="B31" s="7" t="inlineStr">
        <is>
          <t>线下传播动作</t>
        </is>
      </c>
      <c r="C31" s="7" t="inlineStr"/>
      <c r="D31" s="11" t="inlineStr">
        <is>
          <t>线下</t>
        </is>
      </c>
    </row>
    <row r="32" ht="32" customHeight="1">
      <c r="A32" s="8" t="inlineStr">
        <is>
          <t>#尚9一滴水</t>
        </is>
      </c>
      <c r="B32" s="9" t="inlineStr">
        <is>
          <t>建议统一使用的话题</t>
        </is>
      </c>
      <c r="C32" s="9" t="inlineStr"/>
      <c r="D32" s="13" t="inlineStr">
        <is>
          <t>话题</t>
        </is>
      </c>
    </row>
    <row r="33" ht="32" customHeight="1">
      <c r="A33" s="6" t="inlineStr">
        <is>
          <t>#潮起潮落TIDELINE</t>
        </is>
      </c>
      <c r="B33" s="7" t="inlineStr">
        <is>
          <t>建议统一使用的话题</t>
        </is>
      </c>
      <c r="C33" s="7" t="inlineStr"/>
      <c r="D33" s="11" t="inlineStr">
        <is>
          <t>话题</t>
        </is>
      </c>
    </row>
    <row r="34" ht="32" customHeight="1">
      <c r="A34" s="8" t="inlineStr">
        <is>
          <t>#北外滩青年文化</t>
        </is>
      </c>
      <c r="B34" s="9" t="inlineStr">
        <is>
          <t>建议统一使用的话题</t>
        </is>
      </c>
      <c r="C34" s="9" t="inlineStr"/>
      <c r="D34" s="13" t="inlineStr">
        <is>
          <t>话题</t>
        </is>
      </c>
    </row>
    <row r="35" ht="32" customHeight="1">
      <c r="A35" s="6" t="inlineStr">
        <is>
          <t>#一滴水主题活动</t>
        </is>
      </c>
      <c r="B35" s="7" t="inlineStr">
        <is>
          <t>建议统一使用的话题</t>
        </is>
      </c>
      <c r="C35" s="7" t="inlineStr"/>
      <c r="D35" s="11" t="inlineStr">
        <is>
          <t>话题</t>
        </is>
      </c>
    </row>
  </sheetData>
  <autoFilter ref="A4:D35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北外滩尚9·一滴水&amp;C&amp;R传播计划与目标</oddHeader>
    <oddFooter>&amp;L内部研讨稿  ·  计划目标不等于已兑现结果&amp;R第 &amp;P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2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8" customWidth="1" min="1" max="1"/>
    <col width="70" customWidth="1" min="2" max="2"/>
    <col width="20" customWidth="1" min="3" max="3"/>
    <col width="16" customWidth="1" min="4" max="4"/>
  </cols>
  <sheetData>
    <row r="1" ht="28" customHeight="1">
      <c r="A1" s="1" t="inlineStr">
        <is>
          <t>空间需求</t>
        </is>
      </c>
      <c r="B1" s="2" t="n"/>
      <c r="C1" s="2" t="n"/>
      <c r="D1" s="2" t="n"/>
    </row>
    <row r="2" ht="32" customHeight="1">
      <c r="A2" s="3" t="inlineStr">
        <is>
          <t>使用范围以最新平面图、使用权限、消防条件和核定容量为准。三楼需同时确认电梯、楼梯、消防通道和露台安全。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区域或事项</t>
        </is>
      </c>
      <c r="B4" s="5" t="inlineStr">
        <is>
          <t>位置或说明</t>
        </is>
      </c>
      <c r="C4" s="5" t="inlineStr">
        <is>
          <t>计划面积（㎡）</t>
        </is>
      </c>
      <c r="D4" s="5" t="inlineStr">
        <is>
          <t>类别</t>
        </is>
      </c>
    </row>
    <row r="5" ht="32" customHeight="1">
      <c r="A5" s="6" t="inlineStr">
        <is>
          <t>地面 G层</t>
        </is>
      </c>
      <c r="B5" s="7" t="inlineStr">
        <is>
          <t>签到、安检、同人集市、深海猎人、伊比利亚、海嗣、互动体验和部分休息。</t>
        </is>
      </c>
      <c r="C5" s="11" t="inlineStr"/>
      <c r="D5" s="11" t="inlineStr">
        <is>
          <t>楼层用途</t>
        </is>
      </c>
    </row>
    <row r="6" ht="32" customHeight="1">
      <c r="A6" s="8" t="inlineStr">
        <is>
          <t>一楼宴会空间</t>
        </is>
      </c>
      <c r="B6" s="9" t="inlineStr">
        <is>
          <t>原稿提及 A·风岚厅、B·水韵厅、C·月海厅。拟用于舞台、嘉宾互动、签售、餐饮、VIP 套餐、夜间乐队和合影。厅室划分待确认。</t>
        </is>
      </c>
      <c r="C6" s="13" t="inlineStr"/>
      <c r="D6" s="13" t="inlineStr">
        <is>
          <t>楼层用途</t>
        </is>
      </c>
    </row>
    <row r="7" ht="32" customHeight="1">
      <c r="A7" s="6" t="inlineStr">
        <is>
          <t>三楼全景空间</t>
        </is>
      </c>
      <c r="B7" s="7" t="inlineStr">
        <is>
          <t>原稿提及城市之眼宴会厅、观景露台等。拟用于 VIP、江景、嘉宾休息、摄影、更衣化妆、小型文化交流和特色餐饮。须同时看电梯、楼梯、消防、露台和人流。</t>
        </is>
      </c>
      <c r="C7" s="11" t="inlineStr"/>
      <c r="D7" s="11" t="inlineStr">
        <is>
          <t>楼层用途</t>
        </is>
      </c>
    </row>
    <row r="8" ht="32" customHeight="1">
      <c r="A8" s="8" t="inlineStr">
        <is>
          <t>签到区</t>
        </is>
      </c>
      <c r="B8" s="9" t="inlineStr">
        <is>
          <t>G层入口</t>
        </is>
      </c>
      <c r="C8" s="18" t="n">
        <v>100</v>
      </c>
      <c r="D8" s="13" t="inlineStr">
        <is>
          <t>面积需求</t>
        </is>
      </c>
    </row>
    <row r="9" ht="32" customHeight="1">
      <c r="A9" s="6" t="inlineStr">
        <is>
          <t>摊位区</t>
        </is>
      </c>
      <c r="B9" s="7" t="inlineStr">
        <is>
          <t>G层</t>
        </is>
      </c>
      <c r="C9" s="19" t="n">
        <v>300</v>
      </c>
      <c r="D9" s="11" t="inlineStr">
        <is>
          <t>面积需求</t>
        </is>
      </c>
    </row>
    <row r="10" ht="32" customHeight="1">
      <c r="A10" s="8" t="inlineStr">
        <is>
          <t>深海猎人主题区</t>
        </is>
      </c>
      <c r="B10" s="9" t="inlineStr">
        <is>
          <t>G层</t>
        </is>
      </c>
      <c r="C10" s="18" t="n">
        <v>150</v>
      </c>
      <c r="D10" s="13" t="inlineStr">
        <is>
          <t>面积需求</t>
        </is>
      </c>
    </row>
    <row r="11" ht="32" customHeight="1">
      <c r="A11" s="6" t="inlineStr">
        <is>
          <t>伊比利亚主题区</t>
        </is>
      </c>
      <c r="B11" s="7" t="inlineStr">
        <is>
          <t>G层及一楼</t>
        </is>
      </c>
      <c r="C11" s="19" t="n">
        <v>200</v>
      </c>
      <c r="D11" s="11" t="inlineStr">
        <is>
          <t>面积需求</t>
        </is>
      </c>
    </row>
    <row r="12" ht="32" customHeight="1">
      <c r="A12" s="8" t="inlineStr">
        <is>
          <t>海嗣主题区</t>
        </is>
      </c>
      <c r="B12" s="9" t="inlineStr">
        <is>
          <t>G层</t>
        </is>
      </c>
      <c r="C12" s="18" t="n">
        <v>150</v>
      </c>
      <c r="D12" s="13" t="inlineStr">
        <is>
          <t>面积需求</t>
        </is>
      </c>
    </row>
    <row r="13" ht="32" customHeight="1">
      <c r="A13" s="6" t="inlineStr">
        <is>
          <t>互动体验区</t>
        </is>
      </c>
      <c r="B13" s="7" t="inlineStr">
        <is>
          <t>G层</t>
        </is>
      </c>
      <c r="C13" s="19" t="n">
        <v>100</v>
      </c>
      <c r="D13" s="11" t="inlineStr">
        <is>
          <t>面积需求</t>
        </is>
      </c>
    </row>
    <row r="14" ht="32" customHeight="1">
      <c r="A14" s="8" t="inlineStr">
        <is>
          <t>舞台区</t>
        </is>
      </c>
      <c r="B14" s="9" t="inlineStr">
        <is>
          <t>一楼宴会厅</t>
        </is>
      </c>
      <c r="C14" s="18" t="n">
        <v>200</v>
      </c>
      <c r="D14" s="13" t="inlineStr">
        <is>
          <t>面积需求</t>
        </is>
      </c>
    </row>
    <row r="15" ht="32" customHeight="1">
      <c r="A15" s="6" t="inlineStr">
        <is>
          <t>摄影区</t>
        </is>
      </c>
      <c r="B15" s="7" t="inlineStr">
        <is>
          <t>一楼及 G层</t>
        </is>
      </c>
      <c r="C15" s="19" t="n">
        <v>100</v>
      </c>
      <c r="D15" s="11" t="inlineStr">
        <is>
          <t>面积需求</t>
        </is>
      </c>
    </row>
    <row r="16" ht="32" customHeight="1">
      <c r="A16" s="8" t="inlineStr">
        <is>
          <t>休息区</t>
        </is>
      </c>
      <c r="B16" s="9" t="inlineStr">
        <is>
          <t>一楼及 G层</t>
        </is>
      </c>
      <c r="C16" s="18" t="n">
        <v>100</v>
      </c>
      <c r="D16" s="13" t="inlineStr">
        <is>
          <t>面积需求</t>
        </is>
      </c>
    </row>
    <row r="17" ht="32" customHeight="1">
      <c r="A17" s="6" t="inlineStr">
        <is>
          <t>后勤区</t>
        </is>
      </c>
      <c r="B17" s="7" t="inlineStr">
        <is>
          <t>指定区域</t>
        </is>
      </c>
      <c r="C17" s="19" t="n">
        <v>50</v>
      </c>
      <c r="D17" s="11" t="inlineStr">
        <is>
          <t>面积需求</t>
        </is>
      </c>
    </row>
    <row r="18" ht="32" customHeight="1">
      <c r="A18" s="8" t="inlineStr">
        <is>
          <t>三楼 VIP 体验区</t>
        </is>
      </c>
      <c r="B18" s="9" t="inlineStr">
        <is>
          <t>三楼全景厅</t>
        </is>
      </c>
      <c r="C18" s="18" t="n">
        <v>150</v>
      </c>
      <c r="D18" s="13" t="inlineStr">
        <is>
          <t>面积需求</t>
        </is>
      </c>
    </row>
    <row r="19" ht="32" customHeight="1">
      <c r="A19" s="6" t="inlineStr">
        <is>
          <t>江景观景区</t>
        </is>
      </c>
      <c r="B19" s="7" t="inlineStr">
        <is>
          <t>三楼露台</t>
        </is>
      </c>
      <c r="C19" s="19" t="n">
        <v>100</v>
      </c>
      <c r="D19" s="11" t="inlineStr">
        <is>
          <t>面积需求</t>
        </is>
      </c>
    </row>
    <row r="20" ht="32" customHeight="1">
      <c r="A20" s="8" t="inlineStr">
        <is>
          <t>三楼摄影区</t>
        </is>
      </c>
      <c r="B20" s="9" t="inlineStr">
        <is>
          <t>三楼全景厅</t>
        </is>
      </c>
      <c r="C20" s="18" t="n">
        <v>80</v>
      </c>
      <c r="D20" s="13" t="inlineStr">
        <is>
          <t>面积需求</t>
        </is>
      </c>
    </row>
    <row r="21" ht="32" customHeight="1">
      <c r="A21" s="20" t="inlineStr">
        <is>
          <t>合计</t>
        </is>
      </c>
      <c r="B21" s="20" t="inlineStr">
        <is>
          <t>需求简单加总，不是净面积，也不能判断承载</t>
        </is>
      </c>
      <c r="C21" s="21" t="n">
        <v>1780</v>
      </c>
      <c r="D21" s="22" t="inlineStr">
        <is>
          <t>面积需求</t>
        </is>
      </c>
    </row>
    <row r="22" ht="32" customHeight="1">
      <c r="A22" s="8" t="inlineStr">
        <is>
          <t>动线</t>
        </is>
      </c>
      <c r="B22" s="9" t="inlineStr">
        <is>
          <t>G层签到 → 安检 → 手环 → 摊位 → 主题互动 → 一楼宴会 → 三楼体验</t>
        </is>
      </c>
      <c r="C22" s="13" t="inlineStr"/>
      <c r="D22" s="13" t="inlineStr">
        <is>
          <t>动线</t>
        </is>
      </c>
    </row>
    <row r="23" ht="32" customHeight="1">
      <c r="A23" s="6" t="inlineStr">
        <is>
          <t>散场</t>
        </is>
      </c>
      <c r="B23" s="7" t="inlineStr">
        <is>
          <t>分批离场、单向流动、合理分流。须经场地和安全人员审核。</t>
        </is>
      </c>
      <c r="C23" s="11" t="inlineStr"/>
      <c r="D23" s="11" t="inlineStr">
        <is>
          <t>动线</t>
        </is>
      </c>
    </row>
  </sheetData>
  <autoFilter ref="A4:D23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北外滩尚9·一滴水&amp;C&amp;R空间需求</oddHeader>
    <oddFooter>&amp;L内部研讨稿  ·  计划目标不等于已兑现结果&amp;R第 &amp;P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2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42" customWidth="1" min="2" max="2"/>
    <col width="50" customWidth="1" min="3" max="3"/>
    <col width="14" customWidth="1" min="4" max="4"/>
  </cols>
  <sheetData>
    <row r="1" ht="28" customHeight="1">
      <c r="A1" s="1" t="inlineStr">
        <is>
          <t>活动日程</t>
        </is>
      </c>
      <c r="B1" s="2" t="n"/>
      <c r="C1" s="2" t="n"/>
      <c r="D1" s="2" t="n"/>
    </row>
    <row r="2" ht="32" customHeight="1">
      <c r="A2" s="3" t="inlineStr">
        <is>
          <t>时间表保留原稿，部分环节并行，例如签售与夜间灯光启动重叠。正式执行时按动线重排。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时间或事项</t>
        </is>
      </c>
      <c r="B4" s="5" t="inlineStr">
        <is>
          <t>内容</t>
        </is>
      </c>
      <c r="C4" s="5" t="inlineStr">
        <is>
          <t>场地方配合或说明</t>
        </is>
      </c>
      <c r="D4" s="5" t="inlineStr">
        <is>
          <t>类别</t>
        </is>
      </c>
    </row>
    <row r="5" ht="32" customHeight="1">
      <c r="A5" s="6" t="inlineStr">
        <is>
          <t>07:30—09:00</t>
        </is>
      </c>
      <c r="B5" s="7" t="inlineStr">
        <is>
          <t>现场布场</t>
        </is>
      </c>
      <c r="C5" s="7" t="inlineStr">
        <is>
          <t>开放货梯、装卸区及指定施工通道</t>
        </is>
      </c>
      <c r="D5" s="11" t="inlineStr">
        <is>
          <t>活动日</t>
        </is>
      </c>
    </row>
    <row r="6" ht="32" customHeight="1">
      <c r="A6" s="8" t="inlineStr">
        <is>
          <t>09:00—09:30</t>
        </is>
      </c>
      <c r="B6" s="9" t="inlineStr">
        <is>
          <t>工作人员进场</t>
        </is>
      </c>
      <c r="C6" s="9" t="inlineStr">
        <is>
          <t>开放工作人员通道</t>
        </is>
      </c>
      <c r="D6" s="13" t="inlineStr">
        <is>
          <t>活动日</t>
        </is>
      </c>
    </row>
    <row r="7" ht="32" customHeight="1">
      <c r="A7" s="6" t="inlineStr">
        <is>
          <t>09:30—10:00</t>
        </is>
      </c>
      <c r="B7" s="7" t="inlineStr">
        <is>
          <t>VIP 入场</t>
        </is>
      </c>
      <c r="C7" s="7" t="inlineStr">
        <is>
          <t>专属核销及引导</t>
        </is>
      </c>
      <c r="D7" s="11" t="inlineStr">
        <is>
          <t>活动日</t>
        </is>
      </c>
    </row>
    <row r="8" ht="32" customHeight="1">
      <c r="A8" s="8" t="inlineStr">
        <is>
          <t>10:00—10:30</t>
        </is>
      </c>
      <c r="B8" s="9" t="inlineStr">
        <is>
          <t>第一批普通观众入场</t>
        </is>
      </c>
      <c r="C8" s="9" t="inlineStr">
        <is>
          <t>开放主入口、安检及核销</t>
        </is>
      </c>
      <c r="D8" s="13" t="inlineStr">
        <is>
          <t>活动日</t>
        </is>
      </c>
    </row>
    <row r="9" ht="32" customHeight="1">
      <c r="A9" s="6" t="inlineStr">
        <is>
          <t>10:30—11:00</t>
        </is>
      </c>
      <c r="B9" s="7" t="inlineStr">
        <is>
          <t>第二批普通观众入场</t>
        </is>
      </c>
      <c r="C9" s="7" t="inlineStr">
        <is>
          <t>分批放行与秩序维护</t>
        </is>
      </c>
      <c r="D9" s="11" t="inlineStr">
        <is>
          <t>活动日</t>
        </is>
      </c>
    </row>
    <row r="10" ht="32" customHeight="1">
      <c r="A10" s="8" t="inlineStr">
        <is>
          <t>10:00—12:00</t>
        </is>
      </c>
      <c r="B10" s="9" t="inlineStr">
        <is>
          <t>主题集市、互动、打卡</t>
        </is>
      </c>
      <c r="C10" s="9" t="inlineStr">
        <is>
          <t>保障电力、网络及基础服务</t>
        </is>
      </c>
      <c r="D10" s="13" t="inlineStr">
        <is>
          <t>活动日</t>
        </is>
      </c>
    </row>
    <row r="11" ht="32" customHeight="1">
      <c r="A11" s="6" t="inlineStr">
        <is>
          <t>12:00—13:00</t>
        </is>
      </c>
      <c r="B11" s="7" t="inlineStr">
        <is>
          <t>痛车展示、主题摄影及互动</t>
        </is>
      </c>
      <c r="C11" s="7" t="inlineStr">
        <is>
          <t>协调指定展示区域</t>
        </is>
      </c>
      <c r="D11" s="11" t="inlineStr">
        <is>
          <t>活动日</t>
        </is>
      </c>
    </row>
    <row r="12" ht="32" customHeight="1">
      <c r="A12" s="8" t="inlineStr">
        <is>
          <t>13:00—13:30</t>
        </is>
      </c>
      <c r="B12" s="9" t="inlineStr">
        <is>
          <t>舞台互动</t>
        </is>
      </c>
      <c r="C12" s="9" t="inlineStr">
        <is>
          <t>灯光音响及嘉宾候场</t>
        </is>
      </c>
      <c r="D12" s="13" t="inlineStr">
        <is>
          <t>活动日</t>
        </is>
      </c>
    </row>
    <row r="13" ht="32" customHeight="1">
      <c r="A13" s="6" t="inlineStr">
        <is>
          <t>13:30—18:00</t>
        </is>
      </c>
      <c r="B13" s="7" t="inlineStr">
        <is>
          <t>创作者签售</t>
        </is>
      </c>
      <c r="C13" s="7" t="inlineStr">
        <is>
          <t>签售区域及秩序维护</t>
        </is>
      </c>
      <c r="D13" s="11" t="inlineStr">
        <is>
          <t>活动日</t>
        </is>
      </c>
    </row>
    <row r="14" ht="32" customHeight="1">
      <c r="A14" s="8" t="inlineStr">
        <is>
          <t>17:30—18:00</t>
        </is>
      </c>
      <c r="B14" s="9" t="inlineStr">
        <is>
          <t>夜间主题灯光启动</t>
        </is>
      </c>
      <c r="C14" s="9" t="inlineStr">
        <is>
          <t>配合灯光及技术要求</t>
        </is>
      </c>
      <c r="D14" s="13" t="inlineStr">
        <is>
          <t>活动日</t>
        </is>
      </c>
    </row>
    <row r="15" ht="32" customHeight="1">
      <c r="A15" s="6" t="inlineStr">
        <is>
          <t>18:30—19:30</t>
        </is>
      </c>
      <c r="B15" s="7" t="inlineStr">
        <is>
          <t>VIP 江景套餐宴会</t>
        </is>
      </c>
      <c r="C15" s="7" t="inlineStr">
        <is>
          <t>餐饮服务及宴会布置</t>
        </is>
      </c>
      <c r="D15" s="11" t="inlineStr">
        <is>
          <t>活动日</t>
        </is>
      </c>
    </row>
    <row r="16" ht="32" customHeight="1">
      <c r="A16" s="8" t="inlineStr">
        <is>
          <t>19:45—20:15</t>
        </is>
      </c>
      <c r="B16" s="9" t="inlineStr">
        <is>
          <t>乐队演奏、全场合影</t>
        </is>
      </c>
      <c r="C16" s="9" t="inlineStr">
        <is>
          <t>舞台灯光、音响配合</t>
        </is>
      </c>
      <c r="D16" s="13" t="inlineStr">
        <is>
          <t>活动日</t>
        </is>
      </c>
    </row>
    <row r="17" ht="32" customHeight="1">
      <c r="A17" s="6" t="inlineStr">
        <is>
          <t>20:15—20:30</t>
        </is>
      </c>
      <c r="B17" s="7" t="inlineStr">
        <is>
          <t>抽奖、总结及散场</t>
        </is>
      </c>
      <c r="C17" s="7" t="inlineStr">
        <is>
          <t>广播提示、分批离场</t>
        </is>
      </c>
      <c r="D17" s="11" t="inlineStr">
        <is>
          <t>活动日</t>
        </is>
      </c>
    </row>
    <row r="18" ht="32" customHeight="1">
      <c r="A18" s="8" t="inlineStr">
        <is>
          <t>20:30—21:30</t>
        </is>
      </c>
      <c r="B18" s="9" t="inlineStr">
        <is>
          <t>撤场及清洁</t>
        </is>
      </c>
      <c r="C18" s="9" t="inlineStr">
        <is>
          <t>开放货梯、装卸区及清洁安排</t>
        </is>
      </c>
      <c r="D18" s="13" t="inlineStr">
        <is>
          <t>活动日</t>
        </is>
      </c>
    </row>
    <row r="19" ht="32" customHeight="1">
      <c r="A19" s="6" t="inlineStr">
        <is>
          <t>布展</t>
        </is>
      </c>
      <c r="B19" s="7" t="inlineStr">
        <is>
          <t>原稿拟 11月26日至28日</t>
        </is>
      </c>
      <c r="C19" s="7" t="inlineStr">
        <is>
          <t>与 28日、29日的活动日期冲突并存，确定活动日后再排</t>
        </is>
      </c>
      <c r="D19" s="11" t="inlineStr">
        <is>
          <t>布撤展</t>
        </is>
      </c>
    </row>
    <row r="20" ht="32" customHeight="1">
      <c r="A20" s="8" t="inlineStr">
        <is>
          <t>撤展</t>
        </is>
      </c>
      <c r="B20" s="9" t="inlineStr">
        <is>
          <t>活动结束后</t>
        </is>
      </c>
      <c r="C20" s="9" t="inlineStr">
        <is>
          <t>开放货梯、装卸区，完成清洁和场地恢复</t>
        </is>
      </c>
      <c r="D20" s="13" t="inlineStr">
        <is>
          <t>布撤展</t>
        </is>
      </c>
    </row>
    <row r="21" ht="32" customHeight="1">
      <c r="A21" s="6" t="inlineStr">
        <is>
          <t>占用周期</t>
        </is>
      </c>
      <c r="B21" s="7" t="inlineStr">
        <is>
          <t>不按一天活动计算</t>
        </is>
      </c>
      <c r="C21" s="7" t="inlineStr">
        <is>
          <t>多楼层、多空间和布景装置，要核算完整占用</t>
        </is>
      </c>
      <c r="D21" s="11" t="inlineStr">
        <is>
          <t>布撤展</t>
        </is>
      </c>
    </row>
    <row r="22" ht="32" customHeight="1">
      <c r="A22" s="8" t="inlineStr">
        <is>
          <t>人数</t>
        </is>
      </c>
      <c r="B22" s="9" t="inlineStr">
        <is>
          <t>原稿另列 VIP 约 200 人、普通观众分批入场</t>
        </is>
      </c>
      <c r="C22" s="9" t="inlineStr">
        <is>
          <t>必须按票务、空间和安全容量调整</t>
        </is>
      </c>
      <c r="D22" s="13" t="inlineStr">
        <is>
          <t>人数</t>
        </is>
      </c>
    </row>
  </sheetData>
  <autoFilter ref="A4:D22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北外滩尚9·一滴水&amp;C&amp;R活动日程</oddHeader>
    <oddFooter>&amp;L内部研讨稿  ·  计划目标不等于已兑现结果&amp;R第 &amp;P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5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42" customWidth="1" min="2" max="2"/>
    <col width="42" customWidth="1" min="3" max="3"/>
    <col width="14" customWidth="1" min="4" max="4"/>
  </cols>
  <sheetData>
    <row r="1" ht="28" customHeight="1">
      <c r="A1" s="1" t="inlineStr">
        <is>
          <t>北京惠迪：自述规模与案例</t>
        </is>
      </c>
      <c r="B1" s="2" t="n"/>
      <c r="C1" s="2" t="n"/>
      <c r="D1" s="2" t="n"/>
    </row>
    <row r="2" ht="32" customHeight="1">
      <c r="A2" s="3" t="inlineStr">
        <is>
          <t>公司成立于 2016 年。案例人数和传播数据均来自公司材料，正式合作前核验项目角色与可核查资料。ACF 1.0 约 20 万人气、ACF 2.0 单话题 140 万以上曝光，均以可核查资料为准。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项目或指标</t>
        </is>
      </c>
      <c r="B4" s="5" t="inlineStr">
        <is>
          <t>材料所列内容</t>
        </is>
      </c>
      <c r="C4" s="5" t="inlineStr">
        <is>
          <t>核验说明</t>
        </is>
      </c>
      <c r="D4" s="5" t="inlineStr">
        <is>
          <t>类别</t>
        </is>
      </c>
    </row>
    <row r="5" ht="32" customHeight="1">
      <c r="A5" s="6" t="inlineStr">
        <is>
          <t>300+</t>
        </is>
      </c>
      <c r="B5" s="7" t="inlineStr">
        <is>
          <t>活动全案项目</t>
        </is>
      </c>
      <c r="C5" s="7" t="inlineStr">
        <is>
          <t>公司自述，签约前核验</t>
        </is>
      </c>
      <c r="D5" s="11" t="inlineStr">
        <is>
          <t>自述规模</t>
        </is>
      </c>
    </row>
    <row r="6" ht="32" customHeight="1">
      <c r="A6" s="8" t="inlineStr">
        <is>
          <t>200+</t>
        </is>
      </c>
      <c r="B6" s="9" t="inlineStr">
        <is>
          <t>大型线下活动</t>
        </is>
      </c>
      <c r="C6" s="9" t="inlineStr">
        <is>
          <t>公司自述，签约前核验</t>
        </is>
      </c>
      <c r="D6" s="13" t="inlineStr">
        <is>
          <t>自述规模</t>
        </is>
      </c>
    </row>
    <row r="7" ht="32" customHeight="1">
      <c r="A7" s="6" t="inlineStr">
        <is>
          <t>13座</t>
        </is>
      </c>
      <c r="B7" s="7" t="inlineStr">
        <is>
          <t>业务涉及城市</t>
        </is>
      </c>
      <c r="C7" s="7" t="inlineStr">
        <is>
          <t>公司自述，签约前核验</t>
        </is>
      </c>
      <c r="D7" s="11" t="inlineStr">
        <is>
          <t>自述规模</t>
        </is>
      </c>
    </row>
    <row r="8" ht="32" customHeight="1">
      <c r="A8" s="8" t="inlineStr">
        <is>
          <t>70+</t>
        </is>
      </c>
      <c r="B8" s="9" t="inlineStr">
        <is>
          <t>合作品牌</t>
        </is>
      </c>
      <c r="C8" s="9" t="inlineStr">
        <is>
          <t>公司自述，签约前核验</t>
        </is>
      </c>
      <c r="D8" s="13" t="inlineStr">
        <is>
          <t>自述规模</t>
        </is>
      </c>
    </row>
    <row r="9" ht="32" customHeight="1">
      <c r="A9" s="6" t="inlineStr">
        <is>
          <t>40+</t>
        </is>
      </c>
      <c r="B9" s="7" t="inlineStr">
        <is>
          <t>合作商业综合体</t>
        </is>
      </c>
      <c r="C9" s="7" t="inlineStr">
        <is>
          <t>公司自述，签约前核验</t>
        </is>
      </c>
      <c r="D9" s="11" t="inlineStr">
        <is>
          <t>自述规模</t>
        </is>
      </c>
    </row>
    <row r="10" ht="32" customHeight="1">
      <c r="A10" s="8" t="inlineStr">
        <is>
          <t>50+</t>
        </is>
      </c>
      <c r="B10" s="9" t="inlineStr">
        <is>
          <t>年均展会及演出</t>
        </is>
      </c>
      <c r="C10" s="9" t="inlineStr">
        <is>
          <t>公司自述，签约前核验</t>
        </is>
      </c>
      <c r="D10" s="13" t="inlineStr">
        <is>
          <t>自述规模</t>
        </is>
      </c>
    </row>
    <row r="11" ht="32" customHeight="1">
      <c r="A11" s="6" t="inlineStr">
        <is>
          <t>大型展会及文化活动策划</t>
        </is>
      </c>
      <c r="B11" s="7" t="inlineStr">
        <is>
          <t>公司介绍所列业务</t>
        </is>
      </c>
      <c r="C11" s="7" t="inlineStr"/>
      <c r="D11" s="11" t="inlineStr">
        <is>
          <t>业务范围</t>
        </is>
      </c>
    </row>
    <row r="12" ht="32" customHeight="1">
      <c r="A12" s="8" t="inlineStr">
        <is>
          <t>活动组织与执行</t>
        </is>
      </c>
      <c r="B12" s="9" t="inlineStr">
        <is>
          <t>公司介绍所列业务</t>
        </is>
      </c>
      <c r="C12" s="9" t="inlineStr"/>
      <c r="D12" s="13" t="inlineStr">
        <is>
          <t>业务范围</t>
        </is>
      </c>
    </row>
    <row r="13" ht="32" customHeight="1">
      <c r="A13" s="6" t="inlineStr">
        <is>
          <t>商业活动运营</t>
        </is>
      </c>
      <c r="B13" s="7" t="inlineStr">
        <is>
          <t>公司介绍所列业务</t>
        </is>
      </c>
      <c r="C13" s="7" t="inlineStr"/>
      <c r="D13" s="11" t="inlineStr">
        <is>
          <t>业务范围</t>
        </is>
      </c>
    </row>
    <row r="14" ht="32" customHeight="1">
      <c r="A14" s="8" t="inlineStr">
        <is>
          <t>演出承办</t>
        </is>
      </c>
      <c r="B14" s="9" t="inlineStr">
        <is>
          <t>公司介绍所列业务</t>
        </is>
      </c>
      <c r="C14" s="9" t="inlineStr"/>
      <c r="D14" s="13" t="inlineStr">
        <is>
          <t>业务范围</t>
        </is>
      </c>
    </row>
    <row r="15" ht="32" customHeight="1">
      <c r="A15" s="6" t="inlineStr">
        <is>
          <t>艺人及创作者合作</t>
        </is>
      </c>
      <c r="B15" s="7" t="inlineStr">
        <is>
          <t>公司介绍所列业务</t>
        </is>
      </c>
      <c r="C15" s="7" t="inlineStr"/>
      <c r="D15" s="11" t="inlineStr">
        <is>
          <t>业务范围</t>
        </is>
      </c>
    </row>
    <row r="16" ht="32" customHeight="1">
      <c r="A16" s="8" t="inlineStr">
        <is>
          <t>品牌整合营销</t>
        </is>
      </c>
      <c r="B16" s="9" t="inlineStr">
        <is>
          <t>公司介绍所列业务</t>
        </is>
      </c>
      <c r="C16" s="9" t="inlineStr"/>
      <c r="D16" s="13" t="inlineStr">
        <is>
          <t>业务范围</t>
        </is>
      </c>
    </row>
    <row r="17" ht="32" customHeight="1">
      <c r="A17" s="6" t="inlineStr">
        <is>
          <t>商业空间主题打造</t>
        </is>
      </c>
      <c r="B17" s="7" t="inlineStr">
        <is>
          <t>公司介绍所列业务</t>
        </is>
      </c>
      <c r="C17" s="7" t="inlineStr"/>
      <c r="D17" s="11" t="inlineStr">
        <is>
          <t>业务范围</t>
        </is>
      </c>
    </row>
    <row r="18" ht="32" customHeight="1">
      <c r="A18" s="8" t="inlineStr">
        <is>
          <t>舞美设计与设备施工</t>
        </is>
      </c>
      <c r="B18" s="9" t="inlineStr">
        <is>
          <t>公司介绍所列业务</t>
        </is>
      </c>
      <c r="C18" s="9" t="inlineStr"/>
      <c r="D18" s="13" t="inlineStr">
        <is>
          <t>业务范围</t>
        </is>
      </c>
    </row>
    <row r="19" ht="32" customHeight="1">
      <c r="A19" s="6" t="inlineStr">
        <is>
          <t>票务运营</t>
        </is>
      </c>
      <c r="B19" s="7" t="inlineStr">
        <is>
          <t>公司介绍所列业务</t>
        </is>
      </c>
      <c r="C19" s="7" t="inlineStr"/>
      <c r="D19" s="11" t="inlineStr">
        <is>
          <t>业务范围</t>
        </is>
      </c>
    </row>
    <row r="20" ht="32" customHeight="1">
      <c r="A20" s="8" t="inlineStr">
        <is>
          <t>活动宣传</t>
        </is>
      </c>
      <c r="B20" s="9" t="inlineStr">
        <is>
          <t>公司介绍所列业务</t>
        </is>
      </c>
      <c r="C20" s="9" t="inlineStr"/>
      <c r="D20" s="13" t="inlineStr">
        <is>
          <t>业务范围</t>
        </is>
      </c>
    </row>
    <row r="21" ht="32" customHeight="1">
      <c r="A21" s="6" t="inlineStr">
        <is>
          <t>IP 主题内容开发</t>
        </is>
      </c>
      <c r="B21" s="7" t="inlineStr">
        <is>
          <t>公司介绍所列业务</t>
        </is>
      </c>
      <c r="C21" s="7" t="inlineStr"/>
      <c r="D21" s="11" t="inlineStr">
        <is>
          <t>业务范围</t>
        </is>
      </c>
    </row>
    <row r="22" ht="32" customHeight="1">
      <c r="A22" s="8" t="inlineStr">
        <is>
          <t>周边产品策划与销售</t>
        </is>
      </c>
      <c r="B22" s="9" t="inlineStr">
        <is>
          <t>公司介绍所列业务</t>
        </is>
      </c>
      <c r="C22" s="9" t="inlineStr"/>
      <c r="D22" s="13" t="inlineStr">
        <is>
          <t>业务范围</t>
        </is>
      </c>
    </row>
    <row r="23" ht="32" customHeight="1">
      <c r="A23" s="6" t="inlineStr">
        <is>
          <t>海外艺人演出对接</t>
        </is>
      </c>
      <c r="B23" s="7" t="inlineStr">
        <is>
          <t>公司介绍所列业务</t>
        </is>
      </c>
      <c r="C23" s="7" t="inlineStr"/>
      <c r="D23" s="11" t="inlineStr">
        <is>
          <t>业务范围</t>
        </is>
      </c>
    </row>
    <row r="24" ht="32" customHeight="1">
      <c r="A24" s="8" t="inlineStr">
        <is>
          <t>相关活动审批与执行协调</t>
        </is>
      </c>
      <c r="B24" s="9" t="inlineStr">
        <is>
          <t>公司介绍所列业务</t>
        </is>
      </c>
      <c r="C24" s="9" t="inlineStr"/>
      <c r="D24" s="13" t="inlineStr">
        <is>
          <t>业务范围</t>
        </is>
      </c>
    </row>
    <row r="25" ht="32" customHeight="1">
      <c r="A25" s="6" t="inlineStr">
        <is>
          <t>策划统筹</t>
        </is>
      </c>
      <c r="B25" s="7" t="inlineStr"/>
      <c r="C25" s="7" t="inlineStr">
        <is>
          <t>八个职能模块之一</t>
        </is>
      </c>
      <c r="D25" s="11" t="inlineStr">
        <is>
          <t>职能</t>
        </is>
      </c>
    </row>
    <row r="26" ht="32" customHeight="1">
      <c r="A26" s="8" t="inlineStr">
        <is>
          <t>商务与对外合作</t>
        </is>
      </c>
      <c r="B26" s="9" t="inlineStr"/>
      <c r="C26" s="9" t="inlineStr">
        <is>
          <t>八个职能模块之一</t>
        </is>
      </c>
      <c r="D26" s="13" t="inlineStr">
        <is>
          <t>职能</t>
        </is>
      </c>
    </row>
    <row r="27" ht="32" customHeight="1">
      <c r="A27" s="6" t="inlineStr">
        <is>
          <t>内容及活动策划</t>
        </is>
      </c>
      <c r="B27" s="7" t="inlineStr"/>
      <c r="C27" s="7" t="inlineStr">
        <is>
          <t>八个职能模块之一</t>
        </is>
      </c>
      <c r="D27" s="11" t="inlineStr">
        <is>
          <t>职能</t>
        </is>
      </c>
    </row>
    <row r="28" ht="32" customHeight="1">
      <c r="A28" s="8" t="inlineStr">
        <is>
          <t>线上运营与宣传</t>
        </is>
      </c>
      <c r="B28" s="9" t="inlineStr"/>
      <c r="C28" s="9" t="inlineStr">
        <is>
          <t>八个职能模块之一</t>
        </is>
      </c>
      <c r="D28" s="13" t="inlineStr">
        <is>
          <t>职能</t>
        </is>
      </c>
    </row>
    <row r="29" ht="32" customHeight="1">
      <c r="A29" s="6" t="inlineStr">
        <is>
          <t>美术与设计</t>
        </is>
      </c>
      <c r="B29" s="7" t="inlineStr"/>
      <c r="C29" s="7" t="inlineStr">
        <is>
          <t>八个职能模块之一</t>
        </is>
      </c>
      <c r="D29" s="11" t="inlineStr">
        <is>
          <t>职能</t>
        </is>
      </c>
    </row>
    <row r="30" ht="32" customHeight="1">
      <c r="A30" s="8" t="inlineStr">
        <is>
          <t>行政与后勤</t>
        </is>
      </c>
      <c r="B30" s="9" t="inlineStr"/>
      <c r="C30" s="9" t="inlineStr">
        <is>
          <t>八个职能模块之一</t>
        </is>
      </c>
      <c r="D30" s="13" t="inlineStr">
        <is>
          <t>职能</t>
        </is>
      </c>
    </row>
    <row r="31" ht="32" customHeight="1">
      <c r="A31" s="6" t="inlineStr">
        <is>
          <t>现场执行</t>
        </is>
      </c>
      <c r="B31" s="7" t="inlineStr"/>
      <c r="C31" s="7" t="inlineStr">
        <is>
          <t>八个职能模块之一</t>
        </is>
      </c>
      <c r="D31" s="11" t="inlineStr">
        <is>
          <t>职能</t>
        </is>
      </c>
    </row>
    <row r="32" ht="32" customHeight="1">
      <c r="A32" s="8" t="inlineStr">
        <is>
          <t>展后收尾</t>
        </is>
      </c>
      <c r="B32" s="9" t="inlineStr"/>
      <c r="C32" s="9" t="inlineStr">
        <is>
          <t>八个职能模块之一</t>
        </is>
      </c>
      <c r="D32" s="13" t="inlineStr">
        <is>
          <t>职能</t>
        </is>
      </c>
    </row>
    <row r="33" ht="32" customHeight="1">
      <c r="A33" s="6" t="inlineStr">
        <is>
          <t>孕育期</t>
        </is>
      </c>
      <c r="B33" s="7" t="inlineStr">
        <is>
          <t>立项、排期、预算框架、场地落实、主题确定、招商、嘉宾邀请及合作签约</t>
        </is>
      </c>
      <c r="C33" s="7" t="inlineStr"/>
      <c r="D33" s="11" t="inlineStr">
        <is>
          <t>管理阶段</t>
        </is>
      </c>
    </row>
    <row r="34" ht="32" customHeight="1">
      <c r="A34" s="8" t="inlineStr">
        <is>
          <t>生长期</t>
        </is>
      </c>
      <c r="B34" s="9" t="inlineStr">
        <is>
          <t>内容规划、宣传推广、票务上线、设计交付和社群运营</t>
        </is>
      </c>
      <c r="C34" s="9" t="inlineStr"/>
      <c r="D34" s="13" t="inlineStr">
        <is>
          <t>管理阶段</t>
        </is>
      </c>
    </row>
    <row r="35" ht="32" customHeight="1">
      <c r="A35" s="6" t="inlineStr">
        <is>
          <t>执行期</t>
        </is>
      </c>
      <c r="B35" s="7" t="inlineStr">
        <is>
          <t>现场方案、合规报批、采购物流、人员到位、展前检查、搭建、入场、运营及撤展</t>
        </is>
      </c>
      <c r="C35" s="7" t="inlineStr"/>
      <c r="D35" s="11" t="inlineStr">
        <is>
          <t>管理阶段</t>
        </is>
      </c>
    </row>
    <row r="36" ht="32" customHeight="1">
      <c r="A36" s="8" t="inlineStr">
        <is>
          <t>沉淀期</t>
        </is>
      </c>
      <c r="B36" s="9" t="inlineStr">
        <is>
          <t>数据总结、活动复盘、客户维护</t>
        </is>
      </c>
      <c r="C36" s="9" t="inlineStr"/>
      <c r="D36" s="13" t="inlineStr">
        <is>
          <t>管理阶段</t>
        </is>
      </c>
    </row>
    <row r="37" ht="32" customHeight="1">
      <c r="A37" s="6" t="inlineStr">
        <is>
          <t>ACF 明日方舟创作者庆典 1.0</t>
        </is>
      </c>
      <c r="B37" s="7" t="inlineStr">
        <is>
          <t>10,000人</t>
        </is>
      </c>
      <c r="C37" s="7" t="inlineStr">
        <is>
          <t>B站直播约 20 万人气</t>
        </is>
      </c>
      <c r="D37" s="11" t="inlineStr">
        <is>
          <t>代表项目</t>
        </is>
      </c>
    </row>
    <row r="38" ht="32" customHeight="1">
      <c r="A38" s="8" t="inlineStr">
        <is>
          <t>ACF 明日方舟创作者庆典 2.0</t>
        </is>
      </c>
      <c r="B38" s="9" t="inlineStr">
        <is>
          <t>12,000人</t>
        </is>
      </c>
      <c r="C38" s="9" t="inlineStr">
        <is>
          <t>B站单一话题 140 万以上曝光</t>
        </is>
      </c>
      <c r="D38" s="13" t="inlineStr">
        <is>
          <t>代表项目</t>
        </is>
      </c>
    </row>
    <row r="39" ht="32" customHeight="1">
      <c r="A39" s="6" t="inlineStr">
        <is>
          <t>姑苏梦行高校联展 2.0</t>
        </is>
      </c>
      <c r="B39" s="7" t="inlineStr">
        <is>
          <t>3,000人</t>
        </is>
      </c>
      <c r="C39" s="7" t="inlineStr">
        <is>
          <t>材料未单列传播数据</t>
        </is>
      </c>
      <c r="D39" s="11" t="inlineStr">
        <is>
          <t>代表项目</t>
        </is>
      </c>
    </row>
    <row r="40" ht="32" customHeight="1">
      <c r="A40" s="8" t="inlineStr">
        <is>
          <t>北京·正阳象限明日方舟 ONLY 4.0《京穗流年》</t>
        </is>
      </c>
      <c r="B40" s="9" t="inlineStr">
        <is>
          <t>3,000人</t>
        </is>
      </c>
      <c r="C40" s="9" t="inlineStr">
        <is>
          <t>材料未单列传播数据</t>
        </is>
      </c>
      <c r="D40" s="13" t="inlineStr">
        <is>
          <t>代表项目</t>
        </is>
      </c>
    </row>
    <row r="41" ht="32" customHeight="1">
      <c r="A41" s="6" t="inlineStr">
        <is>
          <t>北京·明日方舟 ONLY 3.0《京春华章》</t>
        </is>
      </c>
      <c r="B41" s="7" t="inlineStr">
        <is>
          <t>2,500人</t>
        </is>
      </c>
      <c r="C41" s="7" t="inlineStr">
        <is>
          <t>材料未单列传播数据</t>
        </is>
      </c>
      <c r="D41" s="11" t="inlineStr">
        <is>
          <t>代表项目</t>
        </is>
      </c>
    </row>
    <row r="42" ht="32" customHeight="1">
      <c r="A42" s="8" t="inlineStr">
        <is>
          <t>北京·明日方舟 ONLY 2.0《京台夕照》</t>
        </is>
      </c>
      <c r="B42" s="9" t="inlineStr">
        <is>
          <t>2,000人</t>
        </is>
      </c>
      <c r="C42" s="9" t="inlineStr">
        <is>
          <t>材料未单列传播数据</t>
        </is>
      </c>
      <c r="D42" s="13" t="inlineStr">
        <is>
          <t>代表项目</t>
        </is>
      </c>
    </row>
    <row r="43" ht="32" customHeight="1">
      <c r="A43" s="6" t="inlineStr">
        <is>
          <t>北京·首届明日方舟 ONLY《春和京明》</t>
        </is>
      </c>
      <c r="B43" s="7" t="inlineStr">
        <is>
          <t>1,500人</t>
        </is>
      </c>
      <c r="C43" s="7" t="inlineStr">
        <is>
          <t>材料未单列传播数据</t>
        </is>
      </c>
      <c r="D43" s="11" t="inlineStr">
        <is>
          <t>代表项目</t>
        </is>
      </c>
    </row>
    <row r="44" ht="32" customHeight="1">
      <c r="A44" s="8" t="inlineStr">
        <is>
          <t>武汉·明日方舟与狼共舞同人 ONLY</t>
        </is>
      </c>
      <c r="B44" s="9" t="inlineStr">
        <is>
          <t>1,500人</t>
        </is>
      </c>
      <c r="C44" s="9" t="inlineStr">
        <is>
          <t>材料未单列传播数据</t>
        </is>
      </c>
      <c r="D44" s="13" t="inlineStr">
        <is>
          <t>代表项目</t>
        </is>
      </c>
    </row>
    <row r="45" ht="32" customHeight="1">
      <c r="A45" s="6" t="inlineStr">
        <is>
          <t>广州·天时地利明日方舟同人 ONLY</t>
        </is>
      </c>
      <c r="B45" s="7" t="inlineStr">
        <is>
          <t>6,000人</t>
        </is>
      </c>
      <c r="C45" s="7" t="inlineStr">
        <is>
          <t>材料未单列传播数据</t>
        </is>
      </c>
      <c r="D45" s="11" t="inlineStr">
        <is>
          <t>代表项目</t>
        </is>
      </c>
    </row>
    <row r="46" ht="32" customHeight="1">
      <c r="A46" s="8" t="inlineStr">
        <is>
          <t>广州·风华粤韵明日方舟同人 ONLY</t>
        </is>
      </c>
      <c r="B46" s="9" t="inlineStr">
        <is>
          <t>6,000人</t>
        </is>
      </c>
      <c r="C46" s="9" t="inlineStr">
        <is>
          <t>材料未单列传播数据</t>
        </is>
      </c>
      <c r="D46" s="13" t="inlineStr">
        <is>
          <t>代表项目</t>
        </is>
      </c>
    </row>
    <row r="47" ht="32" customHeight="1">
      <c r="A47" s="6" t="inlineStr">
        <is>
          <t>缀梦音游展</t>
        </is>
      </c>
      <c r="B47" s="7" t="inlineStr">
        <is>
          <t>需确认是主办、承办、联合执行还是单项供应商</t>
        </is>
      </c>
      <c r="C47" s="7" t="inlineStr"/>
      <c r="D47" s="11" t="inlineStr">
        <is>
          <t>其他案例</t>
        </is>
      </c>
    </row>
    <row r="48" ht="32" customHeight="1">
      <c r="A48" s="8" t="inlineStr">
        <is>
          <t>2025《明日方舟》音律联觉相关舞美激光设计施工</t>
        </is>
      </c>
      <c r="B48" s="9" t="inlineStr">
        <is>
          <t>需确认是主办、承办、联合执行还是单项供应商</t>
        </is>
      </c>
      <c r="C48" s="9" t="inlineStr"/>
      <c r="D48" s="13" t="inlineStr">
        <is>
          <t>其他案例</t>
        </is>
      </c>
    </row>
    <row r="49" ht="32" customHeight="1">
      <c r="A49" s="6" t="inlineStr">
        <is>
          <t>《主播女孩重度依赖》主题展台搭建</t>
        </is>
      </c>
      <c r="B49" s="7" t="inlineStr">
        <is>
          <t>需确认是主办、承办、联合执行还是单项供应商</t>
        </is>
      </c>
      <c r="C49" s="7" t="inlineStr"/>
      <c r="D49" s="11" t="inlineStr">
        <is>
          <t>其他案例</t>
        </is>
      </c>
    </row>
    <row r="50" ht="32" customHeight="1">
      <c r="A50" s="8" t="inlineStr">
        <is>
          <t>上海公共交通卡展台项目</t>
        </is>
      </c>
      <c r="B50" s="9" t="inlineStr">
        <is>
          <t>需确认是主办、承办、联合执行还是单项供应商</t>
        </is>
      </c>
      <c r="C50" s="9" t="inlineStr"/>
      <c r="D50" s="13" t="inlineStr">
        <is>
          <t>其他案例</t>
        </is>
      </c>
    </row>
    <row r="51" ht="32" customHeight="1">
      <c r="A51" s="6" t="inlineStr">
        <is>
          <t>旗忠网球中心劳力士大奖赛相关功能展台</t>
        </is>
      </c>
      <c r="B51" s="7" t="inlineStr">
        <is>
          <t>需确认是主办、承办、联合执行还是单项供应商</t>
        </is>
      </c>
      <c r="C51" s="7" t="inlineStr"/>
      <c r="D51" s="11" t="inlineStr">
        <is>
          <t>其他案例</t>
        </is>
      </c>
    </row>
    <row r="52" ht="32" customHeight="1">
      <c r="A52" s="8" t="inlineStr">
        <is>
          <t>上海马文化周开幕式相关项目</t>
        </is>
      </c>
      <c r="B52" s="9" t="inlineStr">
        <is>
          <t>需确认是主办、承办、联合执行还是单项供应商</t>
        </is>
      </c>
      <c r="C52" s="9" t="inlineStr"/>
      <c r="D52" s="13" t="inlineStr">
        <is>
          <t>其他案例</t>
        </is>
      </c>
    </row>
    <row r="53" ht="32" customHeight="1">
      <c r="A53" s="6" t="inlineStr">
        <is>
          <t>上海舞马秀相关演出</t>
        </is>
      </c>
      <c r="B53" s="7" t="inlineStr">
        <is>
          <t>需确认是主办、承办、联合执行还是单项供应商</t>
        </is>
      </c>
      <c r="C53" s="7" t="inlineStr"/>
      <c r="D53" s="11" t="inlineStr">
        <is>
          <t>其他案例</t>
        </is>
      </c>
    </row>
    <row r="54" ht="32" customHeight="1">
      <c r="A54" s="8" t="inlineStr">
        <is>
          <t>马匹拍卖会舞美施工</t>
        </is>
      </c>
      <c r="B54" s="9" t="inlineStr">
        <is>
          <t>需确认是主办、承办、联合执行还是单项供应商</t>
        </is>
      </c>
      <c r="C54" s="9" t="inlineStr"/>
      <c r="D54" s="13" t="inlineStr">
        <is>
          <t>其他案例</t>
        </is>
      </c>
    </row>
    <row r="55" ht="32" customHeight="1">
      <c r="A55" s="6" t="inlineStr">
        <is>
          <t>上海城市沙地马球邀请赛相关现场执行</t>
        </is>
      </c>
      <c r="B55" s="7" t="inlineStr">
        <is>
          <t>需确认是主办、承办、联合执行还是单项供应商</t>
        </is>
      </c>
      <c r="C55" s="7" t="inlineStr"/>
      <c r="D55" s="11" t="inlineStr">
        <is>
          <t>其他案例</t>
        </is>
      </c>
    </row>
    <row r="56" ht="32" customHeight="1">
      <c r="A56" s="8" t="inlineStr">
        <is>
          <t>商业综合体</t>
        </is>
      </c>
      <c r="B56" s="9" t="inlineStr">
        <is>
          <t>万达广场、大悦城、吾悦广场、爱琴海、永旺梦乐城、印象城、环宇城等</t>
        </is>
      </c>
      <c r="C56" s="9" t="inlineStr">
        <is>
          <t>能否用于本项目需另行确认</t>
        </is>
      </c>
      <c r="D56" s="13" t="inlineStr">
        <is>
          <t>资源</t>
        </is>
      </c>
    </row>
  </sheetData>
  <autoFilter ref="A4:D56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北外滩尚9·一滴水&amp;C&amp;R北京惠迪：自述规模与案例</oddHeader>
    <oddFooter>&amp;L内部研讨稿  ·  计划目标不等于已兑现结果&amp;R第 &amp;P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26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55" customWidth="1" min="2" max="2"/>
    <col width="40" customWidth="1" min="3" max="3"/>
    <col width="14" customWidth="1" min="4" max="4"/>
  </cols>
  <sheetData>
    <row r="1" ht="28" customHeight="1">
      <c r="A1" s="1" t="inlineStr">
        <is>
          <t>人员与现场保障</t>
        </is>
      </c>
      <c r="B1" s="2" t="n"/>
      <c r="C1" s="2" t="n"/>
      <c r="D1" s="2" t="n"/>
    </row>
    <row r="2" ht="32" customHeight="1">
      <c r="A2" s="3" t="inlineStr">
        <is>
          <t>人员数量是策划阶段的初步安排。资质、专业安保和医疗配置，按场地条件、人数和管理要求确定。噪声投诉的 30 分钟、垃圾两小时清运，均为原稿提出的内部目标。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事项</t>
        </is>
      </c>
      <c r="B4" s="5" t="inlineStr">
        <is>
          <t>内容</t>
        </is>
      </c>
      <c r="C4" s="5" t="inlineStr">
        <is>
          <t>补充</t>
        </is>
      </c>
      <c r="D4" s="5" t="inlineStr">
        <is>
          <t>类别</t>
        </is>
      </c>
    </row>
    <row r="5" ht="32" customHeight="1">
      <c r="A5" s="6" t="inlineStr">
        <is>
          <t>策划组</t>
        </is>
      </c>
      <c r="B5" s="7" t="inlineStr">
        <is>
          <t>整体策划、主题设计、流程管理</t>
        </is>
      </c>
      <c r="C5" s="7" t="inlineStr">
        <is>
          <t>3—5人</t>
        </is>
      </c>
      <c r="D5" s="11" t="inlineStr">
        <is>
          <t>人员配置</t>
        </is>
      </c>
    </row>
    <row r="6" ht="32" customHeight="1">
      <c r="A6" s="8" t="inlineStr">
        <is>
          <t>宣传组</t>
        </is>
      </c>
      <c r="B6" s="9" t="inlineStr">
        <is>
          <t>宣发、媒体、内容制作、UGC 征集</t>
        </is>
      </c>
      <c r="C6" s="9" t="inlineStr">
        <is>
          <t>3—4人</t>
        </is>
      </c>
      <c r="D6" s="13" t="inlineStr">
        <is>
          <t>人员配置</t>
        </is>
      </c>
    </row>
    <row r="7" ht="32" customHeight="1">
      <c r="A7" s="6" t="inlineStr">
        <is>
          <t>舞台组</t>
        </is>
      </c>
      <c r="B7" s="7" t="inlineStr">
        <is>
          <t>舞台流程、嘉宾对接、灯光音响</t>
        </is>
      </c>
      <c r="C7" s="7" t="inlineStr">
        <is>
          <t>3—4人</t>
        </is>
      </c>
      <c r="D7" s="11" t="inlineStr">
        <is>
          <t>人员配置</t>
        </is>
      </c>
    </row>
    <row r="8" ht="32" customHeight="1">
      <c r="A8" s="8" t="inlineStr">
        <is>
          <t>执行组</t>
        </is>
      </c>
      <c r="B8" s="9" t="inlineStr">
        <is>
          <t>现场运营、互动点位、动线管理</t>
        </is>
      </c>
      <c r="C8" s="9" t="inlineStr">
        <is>
          <t>10—15人</t>
        </is>
      </c>
      <c r="D8" s="13" t="inlineStr">
        <is>
          <t>人员配置</t>
        </is>
      </c>
    </row>
    <row r="9" ht="32" customHeight="1">
      <c r="A9" s="6" t="inlineStr">
        <is>
          <t>后勤组</t>
        </is>
      </c>
      <c r="B9" s="7" t="inlineStr">
        <is>
          <t>物料、餐饮、现场保障</t>
        </is>
      </c>
      <c r="C9" s="7" t="inlineStr">
        <is>
          <t>3—4人</t>
        </is>
      </c>
      <c r="D9" s="11" t="inlineStr">
        <is>
          <t>人员配置</t>
        </is>
      </c>
    </row>
    <row r="10" ht="32" customHeight="1">
      <c r="A10" s="8" t="inlineStr">
        <is>
          <t>安全组</t>
        </is>
      </c>
      <c r="B10" s="9" t="inlineStr">
        <is>
          <t>安检、人流管理、应急协调</t>
        </is>
      </c>
      <c r="C10" s="9" t="inlineStr">
        <is>
          <t>5—8人</t>
        </is>
      </c>
      <c r="D10" s="13" t="inlineStr">
        <is>
          <t>人员配置</t>
        </is>
      </c>
    </row>
    <row r="11" ht="32" customHeight="1">
      <c r="A11" s="6" t="inlineStr">
        <is>
          <t>招商组</t>
        </is>
      </c>
      <c r="B11" s="7" t="inlineStr">
        <is>
          <t>摊位招募、赞助对接及合同管理</t>
        </is>
      </c>
      <c r="C11" s="7" t="inlineStr">
        <is>
          <t>来自品牌赞助方案，人数未单列</t>
        </is>
      </c>
      <c r="D11" s="11" t="inlineStr">
        <is>
          <t>人员配置</t>
        </is>
      </c>
    </row>
    <row r="12" ht="32" customHeight="1">
      <c r="A12" s="8" t="inlineStr">
        <is>
          <t>入口与安检</t>
        </is>
      </c>
      <c r="B12" s="9" t="inlineStr">
        <is>
          <t>票务核销、违禁物品规则、入口排队和高峰秩序。</t>
        </is>
      </c>
      <c r="C12" s="9" t="inlineStr"/>
      <c r="D12" s="13" t="inlineStr">
        <is>
          <t>安全保障</t>
        </is>
      </c>
    </row>
    <row r="13" ht="32" customHeight="1">
      <c r="A13" s="6" t="inlineStr">
        <is>
          <t>人流组织</t>
        </is>
      </c>
      <c r="B13" s="7" t="inlineStr">
        <is>
          <t>VIP 与普通观众错峰，分时入场，电梯楼梯分流，重点区域限流，签售区秩序，分批散场。</t>
        </is>
      </c>
      <c r="C13" s="7" t="inlineStr"/>
      <c r="D13" s="11" t="inlineStr">
        <is>
          <t>安全保障</t>
        </is>
      </c>
    </row>
    <row r="14" ht="32" customHeight="1">
      <c r="A14" s="8" t="inlineStr">
        <is>
          <t>消防与应急</t>
        </is>
      </c>
      <c r="B14" s="9" t="inlineStr">
        <is>
          <t>疏散、人员伤害、设备故障预案；应急照明、广播、对讲、急救和消防设施按需配置。</t>
        </is>
      </c>
      <c r="C14" s="9" t="inlineStr"/>
      <c r="D14" s="13" t="inlineStr">
        <is>
          <t>安全保障</t>
        </is>
      </c>
    </row>
    <row r="15" ht="32" customHeight="1">
      <c r="A15" s="6" t="inlineStr">
        <is>
          <t>医疗</t>
        </is>
      </c>
      <c r="B15" s="7" t="inlineStr">
        <is>
          <t>设置医疗应急点，明确物资、紧急转运和医疗联系机制。</t>
        </is>
      </c>
      <c r="C15" s="7" t="inlineStr"/>
      <c r="D15" s="11" t="inlineStr">
        <is>
          <t>安全保障</t>
        </is>
      </c>
    </row>
    <row r="16" ht="32" customHeight="1">
      <c r="A16" s="8" t="inlineStr">
        <is>
          <t>噪声</t>
        </is>
      </c>
      <c r="B16" s="9" t="inlineStr">
        <is>
          <t>管理舞台、乐队和音响的时间与音量。原稿以 30 分钟作为投诉的内部响应目标之一。</t>
        </is>
      </c>
      <c r="C16" s="9" t="inlineStr"/>
      <c r="D16" s="13" t="inlineStr">
        <is>
          <t>安全保障</t>
        </is>
      </c>
    </row>
    <row r="17" ht="32" customHeight="1">
      <c r="A17" s="6" t="inlineStr">
        <is>
          <t>卫生</t>
        </is>
      </c>
      <c r="B17" s="7" t="inlineStr">
        <is>
          <t>分类收集。常规每两小时清运一次，午间和高峰加密；加强卫生间巡检。结束后恢复场地。</t>
        </is>
      </c>
      <c r="C17" s="7" t="inlineStr"/>
      <c r="D17" s="11" t="inlineStr">
        <is>
          <t>安全保障</t>
        </is>
      </c>
    </row>
    <row r="18" ht="32" customHeight="1">
      <c r="A18" s="8" t="inlineStr">
        <is>
          <t>布展时间</t>
        </is>
      </c>
      <c r="B18" s="9" t="inlineStr">
        <is>
          <t>布展前与场地方确认</t>
        </is>
      </c>
      <c r="C18" s="9" t="inlineStr"/>
      <c r="D18" s="13" t="inlineStr">
        <is>
          <t>布撤展</t>
        </is>
      </c>
    </row>
    <row r="19" ht="32" customHeight="1">
      <c r="A19" s="6" t="inlineStr">
        <is>
          <t>施工要求</t>
        </is>
      </c>
      <c r="B19" s="7" t="inlineStr">
        <is>
          <t>布展前与场地方确认</t>
        </is>
      </c>
      <c r="C19" s="7" t="inlineStr"/>
      <c r="D19" s="11" t="inlineStr">
        <is>
          <t>布撤展</t>
        </is>
      </c>
    </row>
    <row r="20" ht="32" customHeight="1">
      <c r="A20" s="8" t="inlineStr">
        <is>
          <t>物料运输</t>
        </is>
      </c>
      <c r="B20" s="9" t="inlineStr">
        <is>
          <t>布展前与场地方确认</t>
        </is>
      </c>
      <c r="C20" s="9" t="inlineStr"/>
      <c r="D20" s="13" t="inlineStr">
        <is>
          <t>布撤展</t>
        </is>
      </c>
    </row>
    <row r="21" ht="32" customHeight="1">
      <c r="A21" s="6" t="inlineStr">
        <is>
          <t>货梯使用</t>
        </is>
      </c>
      <c r="B21" s="7" t="inlineStr">
        <is>
          <t>布展前与场地方确认</t>
        </is>
      </c>
      <c r="C21" s="7" t="inlineStr"/>
      <c r="D21" s="11" t="inlineStr">
        <is>
          <t>布撤展</t>
        </is>
      </c>
    </row>
    <row r="22" ht="32" customHeight="1">
      <c r="A22" s="8" t="inlineStr">
        <is>
          <t>设备用电</t>
        </is>
      </c>
      <c r="B22" s="9" t="inlineStr">
        <is>
          <t>布展前与场地方确认</t>
        </is>
      </c>
      <c r="C22" s="9" t="inlineStr"/>
      <c r="D22" s="13" t="inlineStr">
        <is>
          <t>布撤展</t>
        </is>
      </c>
    </row>
    <row r="23" ht="32" customHeight="1">
      <c r="A23" s="6" t="inlineStr">
        <is>
          <t>场地保护</t>
        </is>
      </c>
      <c r="B23" s="7" t="inlineStr">
        <is>
          <t>布展前与场地方确认</t>
        </is>
      </c>
      <c r="C23" s="7" t="inlineStr"/>
      <c r="D23" s="11" t="inlineStr">
        <is>
          <t>布撤展</t>
        </is>
      </c>
    </row>
    <row r="24" ht="32" customHeight="1">
      <c r="A24" s="8" t="inlineStr">
        <is>
          <t>撤展期限</t>
        </is>
      </c>
      <c r="B24" s="9" t="inlineStr">
        <is>
          <t>布展前与场地方确认</t>
        </is>
      </c>
      <c r="C24" s="9" t="inlineStr"/>
      <c r="D24" s="13" t="inlineStr">
        <is>
          <t>布撤展</t>
        </is>
      </c>
    </row>
    <row r="25" ht="32" customHeight="1">
      <c r="A25" s="6" t="inlineStr">
        <is>
          <t>垃圾清运</t>
        </is>
      </c>
      <c r="B25" s="7" t="inlineStr">
        <is>
          <t>布展前与场地方确认</t>
        </is>
      </c>
      <c r="C25" s="7" t="inlineStr"/>
      <c r="D25" s="11" t="inlineStr">
        <is>
          <t>布撤展</t>
        </is>
      </c>
    </row>
    <row r="26" ht="32" customHeight="1">
      <c r="A26" s="8" t="inlineStr">
        <is>
          <t>场地恢复标准</t>
        </is>
      </c>
      <c r="B26" s="9" t="inlineStr">
        <is>
          <t>布展前与场地方确认</t>
        </is>
      </c>
      <c r="C26" s="9" t="inlineStr"/>
      <c r="D26" s="13" t="inlineStr">
        <is>
          <t>布撤展</t>
        </is>
      </c>
    </row>
  </sheetData>
  <autoFilter ref="A4:D26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北外滩尚9·一滴水&amp;C&amp;R人员与现场保障</oddHeader>
    <oddFooter>&amp;L内部研讨稿  ·  计划目标不等于已兑现结果&amp;R第 &amp;P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1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0" customWidth="1" min="1" max="1"/>
    <col width="20" customWidth="1" min="2" max="2"/>
    <col width="78" customWidth="1" min="3" max="3"/>
    <col width="16" customWidth="1" min="4" max="4"/>
  </cols>
  <sheetData>
    <row r="1" ht="28" customHeight="1">
      <c r="A1" s="1" t="inlineStr">
        <is>
          <t>场地方配合清单</t>
        </is>
      </c>
      <c r="B1" s="2" t="n"/>
      <c r="C1" s="2" t="n"/>
      <c r="D1" s="2" t="n"/>
    </row>
    <row r="2" ht="32" customHeight="1">
      <c r="A2" s="3" t="inlineStr">
        <is>
          <t>本清单用于商务谈判和现场踏勘，不表示一滴水已经承诺提供全部条件。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序号</t>
        </is>
      </c>
      <c r="B4" s="5" t="inlineStr">
        <is>
          <t>事项</t>
        </is>
      </c>
      <c r="C4" s="5" t="inlineStr">
        <is>
          <t>需要确认的内容</t>
        </is>
      </c>
      <c r="D4" s="5" t="inlineStr">
        <is>
          <t>状态</t>
        </is>
      </c>
    </row>
    <row r="5" ht="32" customHeight="1">
      <c r="A5" s="11" t="inlineStr">
        <is>
          <t>01</t>
        </is>
      </c>
      <c r="B5" s="6" t="inlineStr">
        <is>
          <t>电梯数量</t>
        </is>
      </c>
      <c r="C5" s="7" t="inlineStr">
        <is>
          <t>核实 G层至一楼及其他楼层电梯数量、载重和运输能力</t>
        </is>
      </c>
      <c r="D5" s="11" t="inlineStr">
        <is>
          <t>待踏勘确认</t>
        </is>
      </c>
    </row>
    <row r="6" ht="32" customHeight="1">
      <c r="A6" s="13" t="inlineStr">
        <is>
          <t>02</t>
        </is>
      </c>
      <c r="B6" s="8" t="inlineStr">
        <is>
          <t>楼梯通道</t>
        </is>
      </c>
      <c r="C6" s="9" t="inlineStr">
        <is>
          <t>确认适合的楼梯是否可用于人员分流</t>
        </is>
      </c>
      <c r="D6" s="13" t="inlineStr">
        <is>
          <t>待踏勘确认</t>
        </is>
      </c>
    </row>
    <row r="7" ht="32" customHeight="1">
      <c r="A7" s="11" t="inlineStr">
        <is>
          <t>03</t>
        </is>
      </c>
      <c r="B7" s="6" t="inlineStr">
        <is>
          <t>货梯使用</t>
        </is>
      </c>
      <c r="C7" s="7" t="inlineStr">
        <is>
          <t>明确货梯使用权限和时间</t>
        </is>
      </c>
      <c r="D7" s="11" t="inlineStr">
        <is>
          <t>待踏勘确认</t>
        </is>
      </c>
    </row>
    <row r="8" ht="32" customHeight="1">
      <c r="A8" s="13" t="inlineStr">
        <is>
          <t>04</t>
        </is>
      </c>
      <c r="B8" s="8" t="inlineStr">
        <is>
          <t>电梯运行</t>
        </is>
      </c>
      <c r="C8" s="9" t="inlineStr">
        <is>
          <t>研究高峰期合理分流方案</t>
        </is>
      </c>
      <c r="D8" s="13" t="inlineStr">
        <is>
          <t>待踏勘确认</t>
        </is>
      </c>
    </row>
    <row r="9" ht="32" customHeight="1">
      <c r="A9" s="11" t="inlineStr">
        <is>
          <t>05</t>
        </is>
      </c>
      <c r="B9" s="6" t="inlineStr">
        <is>
          <t>场地承载</t>
        </is>
      </c>
      <c r="C9" s="7" t="inlineStr">
        <is>
          <t>核实各楼层及区域允许同时容纳人数</t>
        </is>
      </c>
      <c r="D9" s="11" t="inlineStr">
        <is>
          <t>待踏勘确认</t>
        </is>
      </c>
    </row>
    <row r="10" ht="32" customHeight="1">
      <c r="A10" s="13" t="inlineStr">
        <is>
          <t>06</t>
        </is>
      </c>
      <c r="B10" s="8" t="inlineStr">
        <is>
          <t>排队等候</t>
        </is>
      </c>
      <c r="C10" s="9" t="inlineStr">
        <is>
          <t>确认入口及等候区设置条件</t>
        </is>
      </c>
      <c r="D10" s="13" t="inlineStr">
        <is>
          <t>待踏勘确认</t>
        </is>
      </c>
    </row>
    <row r="11" ht="32" customHeight="1">
      <c r="A11" s="11" t="inlineStr">
        <is>
          <t>07</t>
        </is>
      </c>
      <c r="B11" s="6" t="inlineStr">
        <is>
          <t>嘉宾通道</t>
        </is>
      </c>
      <c r="C11" s="7" t="inlineStr">
        <is>
          <t>研究嘉宾独立通道及休息区域</t>
        </is>
      </c>
      <c r="D11" s="11" t="inlineStr">
        <is>
          <t>待踏勘确认</t>
        </is>
      </c>
    </row>
    <row r="12" ht="32" customHeight="1">
      <c r="A12" s="13" t="inlineStr">
        <is>
          <t>08</t>
        </is>
      </c>
      <c r="B12" s="8" t="inlineStr">
        <is>
          <t>安保协调</t>
        </is>
      </c>
      <c r="C12" s="9" t="inlineStr">
        <is>
          <t>明确双方现场安保和秩序管理接口</t>
        </is>
      </c>
      <c r="D12" s="13" t="inlineStr">
        <is>
          <t>待踏勘确认</t>
        </is>
      </c>
    </row>
    <row r="13" ht="32" customHeight="1">
      <c r="A13" s="11" t="inlineStr">
        <is>
          <t>09</t>
        </is>
      </c>
      <c r="B13" s="6" t="inlineStr">
        <is>
          <t>停车及装卸</t>
        </is>
      </c>
      <c r="C13" s="7" t="inlineStr">
        <is>
          <t>确认停车、货车进出及物料装卸要求</t>
        </is>
      </c>
      <c r="D13" s="11" t="inlineStr">
        <is>
          <t>待踏勘确认</t>
        </is>
      </c>
    </row>
    <row r="14" ht="32" customHeight="1">
      <c r="A14" s="13" t="inlineStr">
        <is>
          <t>10</t>
        </is>
      </c>
      <c r="B14" s="8" t="inlineStr">
        <is>
          <t>物业管理</t>
        </is>
      </c>
      <c r="C14" s="9" t="inlineStr">
        <is>
          <t>指定物业联系人，协调水电、空调和保洁</t>
        </is>
      </c>
      <c r="D14" s="13" t="inlineStr">
        <is>
          <t>待踏勘确认</t>
        </is>
      </c>
    </row>
    <row r="15" ht="32" customHeight="1">
      <c r="A15" s="11" t="inlineStr">
        <is>
          <t>11</t>
        </is>
      </c>
      <c r="B15" s="6" t="inlineStr">
        <is>
          <t>网络支持</t>
        </is>
      </c>
      <c r="C15" s="7" t="inlineStr">
        <is>
          <t>确认无线网络及票务核销网络需求</t>
        </is>
      </c>
      <c r="D15" s="11" t="inlineStr">
        <is>
          <t>待踏勘确认</t>
        </is>
      </c>
    </row>
    <row r="16" ht="32" customHeight="1">
      <c r="A16" s="13" t="inlineStr">
        <is>
          <t>12</t>
        </is>
      </c>
      <c r="B16" s="8" t="inlineStr">
        <is>
          <t>消防安全</t>
        </is>
      </c>
      <c r="C16" s="9" t="inlineStr">
        <is>
          <t>配合必要的安全检查和场地条件核实</t>
        </is>
      </c>
      <c r="D16" s="13" t="inlineStr">
        <is>
          <t>待踏勘确认</t>
        </is>
      </c>
    </row>
    <row r="17" ht="32" customHeight="1">
      <c r="A17" s="11" t="inlineStr">
        <is>
          <t>13</t>
        </is>
      </c>
      <c r="B17" s="6" t="inlineStr">
        <is>
          <t>三楼全景厅</t>
        </is>
      </c>
      <c r="C17" s="7" t="inlineStr">
        <is>
          <t>确认全景厅、露台及相关空间使用权限</t>
        </is>
      </c>
      <c r="D17" s="11" t="inlineStr">
        <is>
          <t>待踏勘确认</t>
        </is>
      </c>
    </row>
    <row r="18" ht="32" customHeight="1">
      <c r="A18" s="13" t="inlineStr">
        <is>
          <t>14</t>
        </is>
      </c>
      <c r="B18" s="8" t="inlineStr">
        <is>
          <t>三楼交通</t>
        </is>
      </c>
      <c r="C18" s="9" t="inlineStr">
        <is>
          <t>核实三楼电梯及楼梯通行条件</t>
        </is>
      </c>
      <c r="D18" s="13" t="inlineStr">
        <is>
          <t>待踏勘确认</t>
        </is>
      </c>
    </row>
    <row r="19" ht="32" customHeight="1">
      <c r="A19" s="11" t="inlineStr">
        <is>
          <t>15</t>
        </is>
      </c>
      <c r="B19" s="6" t="inlineStr">
        <is>
          <t>现有设备</t>
        </is>
      </c>
      <c r="C19" s="7" t="inlineStr">
        <is>
          <t>确认灯光、音响、餐饮及其他配套，哪些可用现有设备，哪些需另购或租赁</t>
        </is>
      </c>
      <c r="D19" s="11" t="inlineStr">
        <is>
          <t>待踏勘确认</t>
        </is>
      </c>
    </row>
  </sheetData>
  <autoFilter ref="A4:D19"/>
  <mergeCells count="3">
    <mergeCell ref="A1:D1"/>
    <mergeCell ref="A3:D3"/>
    <mergeCell ref="A2:D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北外滩尚9·一滴水&amp;C&amp;R场地方配合清单</oddHeader>
    <oddFooter>&amp;L内部研讨稿  ·  计划目标不等于已兑现结果&amp;R第 &amp;P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C2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32" customWidth="1" min="1" max="1"/>
    <col width="70" customWidth="1" min="2" max="2"/>
    <col width="28" customWidth="1" min="3" max="3"/>
  </cols>
  <sheetData>
    <row r="1" ht="28" customHeight="1">
      <c r="A1" s="1" t="inlineStr">
        <is>
          <t>收入与成本科目</t>
        </is>
      </c>
      <c r="B1" s="2" t="n"/>
      <c r="C1" s="2" t="n"/>
    </row>
    <row r="2" ht="32" customHeight="1">
      <c r="A2" s="3" t="inlineStr">
        <is>
          <t>本表只列科目和口径。一滴水本次金额请填写在「17-收益测算」。后续订单不并入本次利润。</t>
        </is>
      </c>
      <c r="B2" s="2" t="n"/>
      <c r="C2" s="2" t="n"/>
    </row>
    <row r="3" ht="6" customHeight="1">
      <c r="A3" s="4" t="inlineStr"/>
      <c r="B3" s="4" t="n"/>
      <c r="C3" s="4" t="n"/>
    </row>
    <row r="4" ht="24" customHeight="1">
      <c r="A4" s="5" t="inlineStr">
        <is>
          <t>科目</t>
        </is>
      </c>
      <c r="B4" s="5" t="inlineStr">
        <is>
          <t>口径</t>
        </is>
      </c>
      <c r="C4" s="5" t="inlineStr">
        <is>
          <t>归属</t>
        </is>
      </c>
    </row>
    <row r="5" ht="32" customHeight="1">
      <c r="A5" s="6" t="inlineStr">
        <is>
          <t>门票收入</t>
        </is>
      </c>
      <c r="B5" s="7" t="inlineStr">
        <is>
          <t>普通票、VIP 票及其他主题体验票，可按内容设计差异化权益。</t>
        </is>
      </c>
      <c r="C5" s="7" t="inlineStr">
        <is>
          <t>主办方收入，不与场地方混同</t>
        </is>
      </c>
    </row>
    <row r="6" ht="32" customHeight="1">
      <c r="A6" s="8" t="inlineStr">
        <is>
          <t>摊位收入</t>
        </is>
      </c>
      <c r="B6" s="9" t="inlineStr">
        <is>
          <t>同人创作者摊位、商业摊位及相关展示空间费用。</t>
        </is>
      </c>
      <c r="C6" s="9" t="inlineStr">
        <is>
          <t>主办方收入，不与场地方混同</t>
        </is>
      </c>
    </row>
    <row r="7" ht="32" customHeight="1">
      <c r="A7" s="6" t="inlineStr">
        <is>
          <t>品牌赞助收入</t>
        </is>
      </c>
      <c r="B7" s="7" t="inlineStr">
        <is>
          <t>白银、黄金、钻石等建议档位及其他商业合作。</t>
        </is>
      </c>
      <c r="C7" s="7" t="inlineStr">
        <is>
          <t>主办方收入，不与场地方混同</t>
        </is>
      </c>
    </row>
    <row r="8" ht="32" customHeight="1">
      <c r="A8" s="8" t="inlineStr">
        <is>
          <t>现场服务收入</t>
        </is>
      </c>
      <c r="B8" s="9" t="inlineStr">
        <is>
          <t>摄影、妆造、主题物料及其他符合规定的现场服务。</t>
        </is>
      </c>
      <c r="C8" s="9" t="inlineStr">
        <is>
          <t>主办方收入，不与场地方混同</t>
        </is>
      </c>
    </row>
    <row r="9" ht="32" customHeight="1">
      <c r="A9" s="6" t="inlineStr">
        <is>
          <t>场地使用收入</t>
        </is>
      </c>
      <c r="B9" s="7" t="inlineStr">
        <is>
          <t>按活动规模、使用面积、布撤展时间和档期确定。计入本次。</t>
        </is>
      </c>
      <c r="C9" s="7" t="inlineStr">
        <is>
          <t>场地方收入</t>
        </is>
      </c>
    </row>
    <row r="10" ht="32" customHeight="1">
      <c r="A10" s="8" t="inlineStr">
        <is>
          <t>餐饮收入</t>
        </is>
      </c>
      <c r="B10" s="9" t="inlineStr">
        <is>
          <t>VIP 江景套餐、工作人员餐饮、主题茶歇及其他餐饮。计入本次。</t>
        </is>
      </c>
      <c r="C10" s="9" t="inlineStr">
        <is>
          <t>场地方收入</t>
        </is>
      </c>
    </row>
    <row r="11" ht="32" customHeight="1">
      <c r="A11" s="6" t="inlineStr">
        <is>
          <t>设备及配套收入</t>
        </is>
      </c>
      <c r="B11" s="7" t="inlineStr">
        <is>
          <t>在具备条件时提供设备、停车、仓储及其他配套。计入本次。</t>
        </is>
      </c>
      <c r="C11" s="7" t="inlineStr">
        <is>
          <t>场地方收入</t>
        </is>
      </c>
    </row>
    <row r="12" ht="32" customHeight="1">
      <c r="A12" s="8" t="inlineStr">
        <is>
          <t>后续业务收入</t>
        </is>
      </c>
      <c r="B12" s="9" t="inlineStr">
        <is>
          <t>未来婚宴、生日宴、文化活动、品牌包场和摄影订单。单独列示，不并入本次利润。</t>
        </is>
      </c>
      <c r="C12" s="9" t="inlineStr">
        <is>
          <t>场地方收入</t>
        </is>
      </c>
    </row>
    <row r="13" ht="32" customHeight="1">
      <c r="A13" s="6" t="inlineStr">
        <is>
          <t>商业合作收益</t>
        </is>
      </c>
      <c r="B13" s="7" t="inlineStr">
        <is>
          <t>联合招商、品牌联名或其他合作的分配。按合同约定，避免与本次场地费重复计算。</t>
        </is>
      </c>
      <c r="C13" s="7" t="inlineStr">
        <is>
          <t>场地方收入</t>
        </is>
      </c>
    </row>
    <row r="14" ht="32" customHeight="1">
      <c r="A14" s="8" t="inlineStr">
        <is>
          <t>场地租金</t>
        </is>
      </c>
      <c r="B14" s="9" t="inlineStr">
        <is>
          <t>活动主要支出科目，金额在《17-收益测算》按承担主体填写</t>
        </is>
      </c>
      <c r="C14" s="9" t="inlineStr">
        <is>
          <t>成本科目</t>
        </is>
      </c>
    </row>
    <row r="15" ht="32" customHeight="1">
      <c r="A15" s="6" t="inlineStr">
        <is>
          <t>布展及撤展费用</t>
        </is>
      </c>
      <c r="B15" s="7" t="inlineStr">
        <is>
          <t>活动主要支出科目，金额在《17-收益测算》按承担主体填写</t>
        </is>
      </c>
      <c r="C15" s="7" t="inlineStr">
        <is>
          <t>成本科目</t>
        </is>
      </c>
    </row>
    <row r="16" ht="32" customHeight="1">
      <c r="A16" s="8" t="inlineStr">
        <is>
          <t>舞台、灯光、音响及展陈设备</t>
        </is>
      </c>
      <c r="B16" s="9" t="inlineStr">
        <is>
          <t>活动主要支出科目，金额在《17-收益测算》按承担主体填写</t>
        </is>
      </c>
      <c r="C16" s="9" t="inlineStr">
        <is>
          <t>成本科目</t>
        </is>
      </c>
    </row>
    <row r="17" ht="32" customHeight="1">
      <c r="A17" s="6" t="inlineStr">
        <is>
          <t>主题美陈及活动道具</t>
        </is>
      </c>
      <c r="B17" s="7" t="inlineStr">
        <is>
          <t>活动主要支出科目，金额在《17-收益测算》按承担主体填写</t>
        </is>
      </c>
      <c r="C17" s="7" t="inlineStr">
        <is>
          <t>成本科目</t>
        </is>
      </c>
    </row>
    <row r="18" ht="32" customHeight="1">
      <c r="A18" s="8" t="inlineStr">
        <is>
          <t>印刷品、手环、指引牌等物料</t>
        </is>
      </c>
      <c r="B18" s="9" t="inlineStr">
        <is>
          <t>活动主要支出科目，金额在《17-收益测算》按承担主体填写</t>
        </is>
      </c>
      <c r="C18" s="9" t="inlineStr">
        <is>
          <t>成本科目</t>
        </is>
      </c>
    </row>
    <row r="19" ht="32" customHeight="1">
      <c r="A19" s="6" t="inlineStr">
        <is>
          <t>嘉宾出场、交通及住宿</t>
        </is>
      </c>
      <c r="B19" s="7" t="inlineStr">
        <is>
          <t>活动主要支出科目，金额在《17-收益测算》按承担主体填写</t>
        </is>
      </c>
      <c r="C19" s="7" t="inlineStr">
        <is>
          <t>成本科目</t>
        </is>
      </c>
    </row>
    <row r="20" ht="32" customHeight="1">
      <c r="A20" s="8" t="inlineStr">
        <is>
          <t>安保、消防和医疗保障</t>
        </is>
      </c>
      <c r="B20" s="9" t="inlineStr">
        <is>
          <t>活动主要支出科目，金额在《17-收益测算》按承担主体填写</t>
        </is>
      </c>
      <c r="C20" s="9" t="inlineStr">
        <is>
          <t>成本科目</t>
        </is>
      </c>
    </row>
    <row r="21" ht="32" customHeight="1">
      <c r="A21" s="6" t="inlineStr">
        <is>
          <t>工作人员及志愿者费用</t>
        </is>
      </c>
      <c r="B21" s="7" t="inlineStr">
        <is>
          <t>活动主要支出科目，金额在《17-收益测算》按承担主体填写</t>
        </is>
      </c>
      <c r="C21" s="7" t="inlineStr">
        <is>
          <t>成本科目</t>
        </is>
      </c>
    </row>
    <row r="22" ht="32" customHeight="1">
      <c r="A22" s="8" t="inlineStr">
        <is>
          <t>宣传推广</t>
        </is>
      </c>
      <c r="B22" s="9" t="inlineStr">
        <is>
          <t>活动主要支出科目，金额在《17-收益测算》按承担主体填写</t>
        </is>
      </c>
      <c r="C22" s="9" t="inlineStr">
        <is>
          <t>成本科目</t>
        </is>
      </c>
    </row>
    <row r="23" ht="32" customHeight="1">
      <c r="A23" s="6" t="inlineStr">
        <is>
          <t>设备运输和物料采购</t>
        </is>
      </c>
      <c r="B23" s="7" t="inlineStr">
        <is>
          <t>活动主要支出科目，金额在《17-收益测算》按承担主体填写</t>
        </is>
      </c>
      <c r="C23" s="7" t="inlineStr">
        <is>
          <t>成本科目</t>
        </is>
      </c>
    </row>
    <row r="24" ht="32" customHeight="1">
      <c r="A24" s="8" t="inlineStr">
        <is>
          <t>其他现场运营成本</t>
        </is>
      </c>
      <c r="B24" s="9" t="inlineStr">
        <is>
          <t>活动主要支出科目，金额在《17-收益测算》按承担主体填写</t>
        </is>
      </c>
      <c r="C24" s="9" t="inlineStr">
        <is>
          <t>成本科目</t>
        </is>
      </c>
    </row>
    <row r="25" ht="32" customHeight="1">
      <c r="A25" s="6" t="inlineStr">
        <is>
          <t>备用金</t>
        </is>
      </c>
      <c r="B25" s="7" t="inlineStr">
        <is>
          <t>原稿建议预留总预算的 5%—10%</t>
        </is>
      </c>
      <c r="C25" s="7" t="inlineStr">
        <is>
          <t>成本科目</t>
        </is>
      </c>
    </row>
  </sheetData>
  <autoFilter ref="A4:C25"/>
  <mergeCells count="3">
    <mergeCell ref="A1:C1"/>
    <mergeCell ref="A3:C3"/>
    <mergeCell ref="A2:C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北外滩尚9·一滴水&amp;C&amp;R收入与成本科目</oddHeader>
    <oddFooter>&amp;L内部研讨稿  ·  计划目标不等于已兑现结果&amp;R第 &amp;P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F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2" customWidth="1" min="1" max="1"/>
    <col width="28" customWidth="1" min="2" max="2"/>
    <col width="36" customWidth="1" min="3" max="3"/>
    <col width="32" customWidth="1" min="4" max="4"/>
    <col width="40" customWidth="1" min="5" max="5"/>
    <col width="16" customWidth="1" min="6" max="6"/>
  </cols>
  <sheetData>
    <row r="1" ht="28" customHeight="1">
      <c r="A1" s="1" t="inlineStr">
        <is>
          <t>三种合作方式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资源置换可以研究，但要同时核算一滴水的真实场地成本和机会成本，并写明权益交付标准、后续义务，以及取消后未完成权益如何处理。</t>
        </is>
      </c>
      <c r="B2" s="2" t="n"/>
      <c r="C2" s="2" t="n"/>
      <c r="D2" s="2" t="n"/>
      <c r="E2" s="2" t="n"/>
      <c r="F2" s="2" t="n"/>
    </row>
    <row r="3" ht="6" customHeight="1">
      <c r="A3" s="4" t="inlineStr"/>
      <c r="B3" s="4" t="n"/>
      <c r="C3" s="4" t="n"/>
      <c r="D3" s="4" t="n"/>
      <c r="E3" s="4" t="n"/>
      <c r="F3" s="4" t="n"/>
    </row>
    <row r="4" ht="24" customHeight="1">
      <c r="A4" s="5" t="inlineStr">
        <is>
          <t>模式</t>
        </is>
      </c>
      <c r="B4" s="5" t="inlineStr">
        <is>
          <t>名称</t>
        </is>
      </c>
      <c r="C4" s="5" t="inlineStr">
        <is>
          <t>做法</t>
        </is>
      </c>
      <c r="D4" s="5" t="inlineStr">
        <is>
          <t>适合的情况</t>
        </is>
      </c>
      <c r="E4" s="5" t="inlineStr">
        <is>
          <t>需要写清的条件</t>
        </is>
      </c>
      <c r="F4" s="5" t="inlineStr">
        <is>
          <t>建议</t>
        </is>
      </c>
    </row>
    <row r="5" ht="32" customHeight="1">
      <c r="A5" s="6" t="inlineStr">
        <is>
          <t>模式一</t>
        </is>
      </c>
      <c r="B5" s="6" t="inlineStr">
        <is>
          <t>正常商业租赁</t>
        </is>
      </c>
      <c r="C5" s="7" t="inlineStr">
        <is>
          <t>主办方按约定支付场地租金，一滴水提供约定场地及服务。</t>
        </is>
      </c>
      <c r="D5" s="7" t="inlineStr">
        <is>
          <t>权责清楚，适合主办方具备完整商业预算时。</t>
        </is>
      </c>
      <c r="E5" s="7" t="inlineStr">
        <is>
          <t>主办方预算不足时较难启动。</t>
        </is>
      </c>
      <c r="F5" s="11" t="inlineStr">
        <is>
          <t>备选</t>
        </is>
      </c>
    </row>
    <row r="6" ht="32" customHeight="1">
      <c r="A6" s="8" t="inlineStr">
        <is>
          <t>模式二</t>
        </is>
      </c>
      <c r="B6" s="8" t="inlineStr">
        <is>
          <t>优惠场租＋餐饮保障</t>
        </is>
      </c>
      <c r="C6" s="9" t="inlineStr">
        <is>
          <t>一滴水按档期给予适度场地合作优惠；主办方提供明确的餐饮最低消费，并承担相应执行成本。双方共同制定品牌宣传方案。</t>
        </is>
      </c>
      <c r="D6" s="9" t="inlineStr">
        <is>
          <t>兼顾活动成本与场地方直接经营收入。</t>
        </is>
      </c>
      <c r="E6" s="9" t="inlineStr">
        <is>
          <t>最低消费、优惠幅度和未达标处理都要写进合同。</t>
        </is>
      </c>
      <c r="F6" s="13" t="inlineStr">
        <is>
          <t>首期建议研究</t>
        </is>
      </c>
    </row>
    <row r="7" ht="32" customHeight="1">
      <c r="A7" s="6" t="inlineStr">
        <is>
          <t>模式三</t>
        </is>
      </c>
      <c r="B7" s="6" t="inlineStr">
        <is>
          <t>资源置换＋长期试点</t>
        </is>
      </c>
      <c r="C7" s="7" t="inlineStr">
        <is>
          <t>在认可市场拓展价值且档期合适时，研究部分场地资源与品牌宣传、市场推广、后续合作机会的置换。</t>
        </is>
      </c>
      <c r="D7" s="7" t="inlineStr">
        <is>
          <t>适合双方都看重长期客群，且能把权益写成可交付标准时。</t>
        </is>
      </c>
      <c r="E7" s="7" t="inlineStr">
        <is>
          <t>须列明投入资源、实际权益、交付标准、后续义务，以及取消和未完成权益的处理。置换同时核算场地成本和机会成本。</t>
        </is>
      </c>
      <c r="F7" s="11" t="inlineStr">
        <is>
          <t>备选</t>
        </is>
      </c>
    </row>
    <row r="8" ht="32" customHeight="1">
      <c r="A8" s="20" t="inlineStr">
        <is>
          <t>建议</t>
        </is>
      </c>
      <c r="B8" s="20" t="inlineStr">
        <is>
          <t>优惠场租＋餐饮最低消费＋场地品牌传播＋后续业务合作权</t>
        </is>
      </c>
      <c r="C8" s="23" t="inlineStr">
        <is>
          <t>具体条件按商业原则协商</t>
        </is>
      </c>
      <c r="D8" s="23" t="inlineStr">
        <is>
          <t>首期以验证商业模式为核心</t>
        </is>
      </c>
      <c r="E8" s="23" t="inlineStr">
        <is>
          <t>缺少成本和收益测算时，不承诺长期免费使用场地</t>
        </is>
      </c>
      <c r="F8" s="24" t="inlineStr">
        <is>
          <t>建议</t>
        </is>
      </c>
    </row>
  </sheetData>
  <autoFilter ref="A4:F8"/>
  <mergeCells count="3">
    <mergeCell ref="A3:F3"/>
    <mergeCell ref="A2:F2"/>
    <mergeCell ref="A1:F1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北外滩尚9·一滴水&amp;C&amp;R三种合作方式</oddHeader>
    <oddFooter>&amp;L内部研讨稿  ·  计划目标不等于已兑现结果&amp;R第 &amp;P 页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D2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24" customWidth="1" min="1" max="1"/>
    <col width="24" customWidth="1" min="2" max="2"/>
    <col width="55" customWidth="1" min="3" max="3"/>
    <col width="18" customWidth="1" min="4" max="4"/>
  </cols>
  <sheetData>
    <row r="1" ht="28" customHeight="1">
      <c r="A1" s="1" t="inlineStr">
        <is>
          <t>推进时间</t>
        </is>
      </c>
      <c r="B1" s="2" t="n"/>
      <c r="C1" s="2" t="n"/>
      <c r="D1" s="2" t="n"/>
    </row>
    <row r="2" ht="32" customHeight="1">
      <c r="A2" s="3" t="inlineStr">
        <is>
          <t>对照日期 2026年10月16日。状态只说明原稿节点与今天的关系，不代表已经核验团队的实际进度。</t>
        </is>
      </c>
      <c r="B2" s="2" t="n"/>
      <c r="C2" s="2" t="n"/>
      <c r="D2" s="2" t="n"/>
    </row>
    <row r="3" ht="6" customHeight="1">
      <c r="A3" s="4" t="inlineStr"/>
      <c r="B3" s="4" t="n"/>
      <c r="C3" s="4" t="n"/>
      <c r="D3" s="4" t="n"/>
    </row>
    <row r="4" ht="24" customHeight="1">
      <c r="A4" s="5" t="inlineStr">
        <is>
          <t>阶段或事项</t>
        </is>
      </c>
      <c r="B4" s="5" t="inlineStr">
        <is>
          <t>原计划时间</t>
        </is>
      </c>
      <c r="C4" s="5" t="inlineStr">
        <is>
          <t>主要工作</t>
        </is>
      </c>
      <c r="D4" s="5" t="inlineStr">
        <is>
          <t>相对今天</t>
        </is>
      </c>
    </row>
    <row r="5" ht="32" customHeight="1">
      <c r="A5" s="6" t="inlineStr">
        <is>
          <t>项目筹备启动</t>
        </is>
      </c>
      <c r="B5" s="7" t="inlineStr">
        <is>
          <t>10月9日—12日</t>
        </is>
      </c>
      <c r="C5" s="7" t="inlineStr">
        <is>
          <t>主视觉、角色清单、分区草图、票务框架、社群建立</t>
        </is>
      </c>
      <c r="D5" s="11" t="inlineStr">
        <is>
          <t>已过</t>
        </is>
      </c>
    </row>
    <row r="6" ht="32" customHeight="1">
      <c r="A6" s="8" t="inlineStr">
        <is>
          <t>内容制作</t>
        </is>
      </c>
      <c r="B6" s="9" t="inlineStr">
        <is>
          <t>10月13日—25日</t>
        </is>
      </c>
      <c r="C6" s="9" t="inlineStr">
        <is>
          <t>画师邀约、嘉宾邀请、首轮宣传</t>
        </is>
      </c>
      <c r="D6" s="13" t="inlineStr">
        <is>
          <t>窗口进行中</t>
        </is>
      </c>
    </row>
    <row r="7" ht="32" customHeight="1">
      <c r="A7" s="6" t="inlineStr">
        <is>
          <t>合作签约</t>
        </is>
      </c>
      <c r="B7" s="7" t="inlineStr">
        <is>
          <t>10月26日—11月5日</t>
        </is>
      </c>
      <c r="C7" s="7" t="inlineStr">
        <is>
          <t>合同签订、流程确认、方案完善</t>
        </is>
      </c>
      <c r="D7" s="11" t="inlineStr">
        <is>
          <t>尚未开始</t>
        </is>
      </c>
    </row>
    <row r="8" ht="32" customHeight="1">
      <c r="A8" s="8" t="inlineStr">
        <is>
          <t>票务销售</t>
        </is>
      </c>
      <c r="B8" s="9" t="inlineStr">
        <is>
          <t>10月26日—11月27日</t>
        </is>
      </c>
      <c r="C8" s="9" t="inlineStr">
        <is>
          <t>售票、渠道推广</t>
        </is>
      </c>
      <c r="D8" s="13" t="inlineStr">
        <is>
          <t>尚未开始</t>
        </is>
      </c>
    </row>
    <row r="9" ht="32" customHeight="1">
      <c r="A9" s="6" t="inlineStr">
        <is>
          <t>物料制作</t>
        </is>
      </c>
      <c r="B9" s="7" t="inlineStr">
        <is>
          <t>10月28日—11月29日</t>
        </is>
      </c>
      <c r="C9" s="7" t="inlineStr">
        <is>
          <t>主题美陈、互动道具、印刷物料</t>
        </is>
      </c>
      <c r="D9" s="11" t="inlineStr">
        <is>
          <t>尚未开始</t>
        </is>
      </c>
    </row>
    <row r="10" ht="32" customHeight="1">
      <c r="A10" s="8" t="inlineStr">
        <is>
          <t>第二轮宣传</t>
        </is>
      </c>
      <c r="B10" s="9" t="inlineStr">
        <is>
          <t>11月6日—15日</t>
        </is>
      </c>
      <c r="C10" s="9" t="inlineStr">
        <is>
          <t>摊位公布、玩法介绍、动线说明</t>
        </is>
      </c>
      <c r="D10" s="13" t="inlineStr">
        <is>
          <t>尚未开始</t>
        </is>
      </c>
    </row>
    <row r="11" ht="32" customHeight="1">
      <c r="A11" s="6" t="inlineStr">
        <is>
          <t>第三轮宣传</t>
        </is>
      </c>
      <c r="B11" s="7" t="inlineStr">
        <is>
          <t>11月16日—23日</t>
        </is>
      </c>
      <c r="C11" s="7" t="inlineStr">
        <is>
          <t>票务提醒、入场须知、交通信息</t>
        </is>
      </c>
      <c r="D11" s="11" t="inlineStr">
        <is>
          <t>尚未开始</t>
        </is>
      </c>
    </row>
    <row r="12" ht="32" customHeight="1">
      <c r="A12" s="8" t="inlineStr">
        <is>
          <t>进场布展</t>
        </is>
      </c>
      <c r="B12" s="9" t="inlineStr">
        <is>
          <t>11月26日起</t>
        </is>
      </c>
      <c r="C12" s="9" t="inlineStr">
        <is>
          <t>搭建、设备调试、安全检查</t>
        </is>
      </c>
      <c r="D12" s="13" t="inlineStr">
        <is>
          <t>尚未开始</t>
        </is>
      </c>
    </row>
    <row r="13" ht="32" customHeight="1">
      <c r="A13" s="6" t="inlineStr">
        <is>
          <t>正式活动</t>
        </is>
      </c>
      <c r="B13" s="7" t="inlineStr">
        <is>
          <t>11月下旬</t>
        </is>
      </c>
      <c r="C13" s="7" t="inlineStr">
        <is>
          <t>活动执行、现场管理、数据记录</t>
        </is>
      </c>
      <c r="D13" s="11" t="inlineStr">
        <is>
          <t>日期待确认</t>
        </is>
      </c>
    </row>
    <row r="14" ht="32" customHeight="1">
      <c r="A14" s="8" t="inlineStr">
        <is>
          <t>撤场收尾</t>
        </is>
      </c>
      <c r="B14" s="9" t="inlineStr">
        <is>
          <t>活动结束后</t>
        </is>
      </c>
      <c r="C14" s="9" t="inlineStr">
        <is>
          <t>撤展、清洁、场地恢复</t>
        </is>
      </c>
      <c r="D14" s="13" t="inlineStr">
        <is>
          <t>随活动日确定</t>
        </is>
      </c>
    </row>
    <row r="15" ht="32" customHeight="1">
      <c r="A15" s="6" t="inlineStr">
        <is>
          <t>人员招募</t>
        </is>
      </c>
      <c r="B15" s="7" t="inlineStr">
        <is>
          <t>10月至活动前</t>
        </is>
      </c>
      <c r="C15" s="7" t="inlineStr">
        <is>
          <t>主持、NPC、志愿者、摄影及工作人员</t>
        </is>
      </c>
      <c r="D15" s="11" t="inlineStr">
        <is>
          <t>跨周期，需复核</t>
        </is>
      </c>
    </row>
    <row r="16" ht="32" customHeight="1">
      <c r="A16" s="8" t="inlineStr">
        <is>
          <t>何时完成场地签约</t>
        </is>
      </c>
      <c r="B16" s="9" t="inlineStr">
        <is>
          <t>意向明确后由主办团队更新</t>
        </is>
      </c>
      <c r="C16" s="9" t="inlineStr"/>
      <c r="D16" s="13" t="inlineStr">
        <is>
          <t>重排时必须明确</t>
        </is>
      </c>
    </row>
    <row r="17" ht="32" customHeight="1">
      <c r="A17" s="6" t="inlineStr">
        <is>
          <t>何时完成活动相关手续</t>
        </is>
      </c>
      <c r="B17" s="7" t="inlineStr">
        <is>
          <t>意向明确后由主办团队更新</t>
        </is>
      </c>
      <c r="C17" s="7" t="inlineStr"/>
      <c r="D17" s="11" t="inlineStr">
        <is>
          <t>重排时必须明确</t>
        </is>
      </c>
    </row>
    <row r="18" ht="32" customHeight="1">
      <c r="A18" s="8" t="inlineStr">
        <is>
          <t>何时确认核心嘉宾及合作品牌</t>
        </is>
      </c>
      <c r="B18" s="9" t="inlineStr">
        <is>
          <t>意向明确后由主办团队更新</t>
        </is>
      </c>
      <c r="C18" s="9" t="inlineStr"/>
      <c r="D18" s="13" t="inlineStr">
        <is>
          <t>重排时必须明确</t>
        </is>
      </c>
    </row>
    <row r="19" ht="32" customHeight="1">
      <c r="A19" s="6" t="inlineStr">
        <is>
          <t>何时正式开票</t>
        </is>
      </c>
      <c r="B19" s="7" t="inlineStr">
        <is>
          <t>意向明确后由主办团队更新</t>
        </is>
      </c>
      <c r="C19" s="7" t="inlineStr"/>
      <c r="D19" s="11" t="inlineStr">
        <is>
          <t>重排时必须明确</t>
        </is>
      </c>
    </row>
    <row r="20" ht="32" customHeight="1">
      <c r="A20" s="8" t="inlineStr">
        <is>
          <t>何时完成宣传物料</t>
        </is>
      </c>
      <c r="B20" s="9" t="inlineStr">
        <is>
          <t>意向明确后由主办团队更新</t>
        </is>
      </c>
      <c r="C20" s="9" t="inlineStr"/>
      <c r="D20" s="13" t="inlineStr">
        <is>
          <t>重排时必须明确</t>
        </is>
      </c>
    </row>
    <row r="21" ht="32" customHeight="1">
      <c r="A21" s="6" t="inlineStr">
        <is>
          <t>何时完成施工图、消防和现场安全方案</t>
        </is>
      </c>
      <c r="B21" s="7" t="inlineStr">
        <is>
          <t>意向明确后由主办团队更新</t>
        </is>
      </c>
      <c r="C21" s="7" t="inlineStr"/>
      <c r="D21" s="11" t="inlineStr">
        <is>
          <t>重排时必须明确</t>
        </is>
      </c>
    </row>
    <row r="22" ht="32" customHeight="1">
      <c r="A22" s="8" t="inlineStr">
        <is>
          <t>何时进行最终场地验收</t>
        </is>
      </c>
      <c r="B22" s="9" t="inlineStr">
        <is>
          <t>意向明确后由主办团队更新</t>
        </is>
      </c>
      <c r="C22" s="9" t="inlineStr"/>
      <c r="D22" s="13" t="inlineStr">
        <is>
          <t>重排时必须明确</t>
        </is>
      </c>
    </row>
  </sheetData>
  <autoFilter ref="A4:D22"/>
  <mergeCells count="3">
    <mergeCell ref="A1:D1"/>
    <mergeCell ref="A3:D3"/>
    <mergeCell ref="A2:D2"/>
  </mergeCells>
  <conditionalFormatting sqref="D5:D15">
    <cfRule type="expression" priority="1" dxfId="0">
      <formula>ISNUMBER(SEARCH("已过",D5))</formula>
    </cfRule>
    <cfRule type="expression" priority="2" dxfId="1">
      <formula>ISNUMBER(SEARCH("进行中",D5))</formula>
    </cfRule>
    <cfRule type="expression" priority="3" dxfId="0">
      <formula>ISNUMBER(SEARCH("高",D5))</formula>
    </cfRule>
    <cfRule type="expression" priority="4" dxfId="2">
      <formula>D5="有"</formula>
    </cfRule>
  </conditionalFormatting>
  <pageMargins left="0.5" right="0.5" top="0.7" bottom="0.6" header="0.3" footer="0.3"/>
  <pageSetup orientation="landscape" paperSize="9" fitToHeight="0" fitToWidth="1"/>
  <headerFooter>
    <oddHeader>&amp;L潮起潮落 TIDELINE × 北外滩尚9·一滴水&amp;C&amp;R推进时间</oddHeader>
    <oddFooter>&amp;L内部研讨稿  ·  计划目标不等于已兑现结果&amp;R第 &amp;P 页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C4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42" customWidth="1" min="1" max="1"/>
    <col width="28" customWidth="1" min="2" max="2"/>
    <col width="22" customWidth="1" min="3" max="3"/>
  </cols>
  <sheetData>
    <row r="1" ht="28" customHeight="1">
      <c r="A1" s="1" t="inlineStr">
        <is>
          <t>职责、合规与取消</t>
        </is>
      </c>
      <c r="B1" s="2" t="n"/>
      <c r="C1" s="2" t="n"/>
    </row>
    <row r="2" ht="32" customHeight="1">
      <c r="A2" s="3" t="inlineStr">
        <is>
          <t>注明非官方活动，并不能替代知识产权审核。保险、场地损坏、退票和未交付权益，均写入正式合同。</t>
        </is>
      </c>
      <c r="B2" s="2" t="n"/>
      <c r="C2" s="2" t="n"/>
    </row>
    <row r="3" ht="6" customHeight="1">
      <c r="A3" s="4" t="inlineStr"/>
      <c r="B3" s="4" t="n"/>
      <c r="C3" s="4" t="n"/>
    </row>
    <row r="4" ht="24" customHeight="1">
      <c r="A4" s="5" t="inlineStr">
        <is>
          <t>事项</t>
        </is>
      </c>
      <c r="B4" s="5" t="inlineStr">
        <is>
          <t>责任主体</t>
        </is>
      </c>
      <c r="C4" s="5" t="inlineStr">
        <is>
          <t>性质</t>
        </is>
      </c>
    </row>
    <row r="5" ht="32" customHeight="1">
      <c r="A5" s="6" t="inlineStr">
        <is>
          <t>活动整体策划</t>
        </is>
      </c>
      <c r="B5" s="7" t="inlineStr">
        <is>
          <t>活动主办及运营团队</t>
        </is>
      </c>
      <c r="C5" s="11" t="inlineStr">
        <is>
          <t>原则上负责</t>
        </is>
      </c>
    </row>
    <row r="6" ht="32" customHeight="1">
      <c r="A6" s="8" t="inlineStr">
        <is>
          <t>商业预算</t>
        </is>
      </c>
      <c r="B6" s="9" t="inlineStr">
        <is>
          <t>活动主办及运营团队</t>
        </is>
      </c>
      <c r="C6" s="13" t="inlineStr">
        <is>
          <t>原则上负责</t>
        </is>
      </c>
    </row>
    <row r="7" ht="32" customHeight="1">
      <c r="A7" s="6" t="inlineStr">
        <is>
          <t>票务运营</t>
        </is>
      </c>
      <c r="B7" s="7" t="inlineStr">
        <is>
          <t>活动主办及运营团队</t>
        </is>
      </c>
      <c r="C7" s="11" t="inlineStr">
        <is>
          <t>原则上负责</t>
        </is>
      </c>
    </row>
    <row r="8" ht="32" customHeight="1">
      <c r="A8" s="8" t="inlineStr">
        <is>
          <t>品牌招商</t>
        </is>
      </c>
      <c r="B8" s="9" t="inlineStr">
        <is>
          <t>活动主办及运营团队</t>
        </is>
      </c>
      <c r="C8" s="13" t="inlineStr">
        <is>
          <t>原则上负责</t>
        </is>
      </c>
    </row>
    <row r="9" ht="32" customHeight="1">
      <c r="A9" s="6" t="inlineStr">
        <is>
          <t>嘉宾邀请</t>
        </is>
      </c>
      <c r="B9" s="7" t="inlineStr">
        <is>
          <t>活动主办及运营团队</t>
        </is>
      </c>
      <c r="C9" s="11" t="inlineStr">
        <is>
          <t>原则上负责</t>
        </is>
      </c>
    </row>
    <row r="10" ht="32" customHeight="1">
      <c r="A10" s="8" t="inlineStr">
        <is>
          <t>宣传推广</t>
        </is>
      </c>
      <c r="B10" s="9" t="inlineStr">
        <is>
          <t>活动主办及运营团队</t>
        </is>
      </c>
      <c r="C10" s="13" t="inlineStr">
        <is>
          <t>原则上负责</t>
        </is>
      </c>
    </row>
    <row r="11" ht="32" customHeight="1">
      <c r="A11" s="6" t="inlineStr">
        <is>
          <t>摊位及活动组织</t>
        </is>
      </c>
      <c r="B11" s="7" t="inlineStr">
        <is>
          <t>活动主办及运营团队</t>
        </is>
      </c>
      <c r="C11" s="11" t="inlineStr">
        <is>
          <t>原则上负责</t>
        </is>
      </c>
    </row>
    <row r="12" ht="32" customHeight="1">
      <c r="A12" s="8" t="inlineStr">
        <is>
          <t>工作人员管理</t>
        </is>
      </c>
      <c r="B12" s="9" t="inlineStr">
        <is>
          <t>活动主办及运营团队</t>
        </is>
      </c>
      <c r="C12" s="13" t="inlineStr">
        <is>
          <t>原则上负责</t>
        </is>
      </c>
    </row>
    <row r="13" ht="32" customHeight="1">
      <c r="A13" s="6" t="inlineStr">
        <is>
          <t>现场执行</t>
        </is>
      </c>
      <c r="B13" s="7" t="inlineStr">
        <is>
          <t>活动主办及运营团队</t>
        </is>
      </c>
      <c r="C13" s="11" t="inlineStr">
        <is>
          <t>原则上负责</t>
        </is>
      </c>
    </row>
    <row r="14" ht="32" customHeight="1">
      <c r="A14" s="8" t="inlineStr">
        <is>
          <t>依法办理相应手续</t>
        </is>
      </c>
      <c r="B14" s="9" t="inlineStr">
        <is>
          <t>活动主办及运营团队</t>
        </is>
      </c>
      <c r="C14" s="13" t="inlineStr">
        <is>
          <t>原则上负责</t>
        </is>
      </c>
    </row>
    <row r="15" ht="32" customHeight="1">
      <c r="A15" s="6" t="inlineStr">
        <is>
          <t>活动安全组织</t>
        </is>
      </c>
      <c r="B15" s="7" t="inlineStr">
        <is>
          <t>活动主办及运营团队</t>
        </is>
      </c>
      <c r="C15" s="11" t="inlineStr">
        <is>
          <t>原则上负责</t>
        </is>
      </c>
    </row>
    <row r="16" ht="32" customHeight="1">
      <c r="A16" s="8" t="inlineStr">
        <is>
          <t>应急预案</t>
        </is>
      </c>
      <c r="B16" s="9" t="inlineStr">
        <is>
          <t>活动主办及运营团队</t>
        </is>
      </c>
      <c r="C16" s="13" t="inlineStr">
        <is>
          <t>原则上负责</t>
        </is>
      </c>
    </row>
    <row r="17" ht="32" customHeight="1">
      <c r="A17" s="6" t="inlineStr">
        <is>
          <t>场地保护及恢复</t>
        </is>
      </c>
      <c r="B17" s="7" t="inlineStr">
        <is>
          <t>活动主办及运营团队</t>
        </is>
      </c>
      <c r="C17" s="11" t="inlineStr">
        <is>
          <t>原则上负责</t>
        </is>
      </c>
    </row>
    <row r="18" ht="32" customHeight="1">
      <c r="A18" s="8" t="inlineStr">
        <is>
          <t>保险安排</t>
        </is>
      </c>
      <c r="B18" s="9" t="inlineStr">
        <is>
          <t>活动主办及运营团队</t>
        </is>
      </c>
      <c r="C18" s="13" t="inlineStr">
        <is>
          <t>原则上负责</t>
        </is>
      </c>
    </row>
    <row r="19" ht="32" customHeight="1">
      <c r="A19" s="6" t="inlineStr">
        <is>
          <t>活动结案及数据复盘</t>
        </is>
      </c>
      <c r="B19" s="7" t="inlineStr">
        <is>
          <t>活动主办及运营团队</t>
        </is>
      </c>
      <c r="C19" s="11" t="inlineStr">
        <is>
          <t>原则上负责</t>
        </is>
      </c>
    </row>
    <row r="20" ht="32" customHeight="1">
      <c r="A20" s="8" t="inlineStr">
        <is>
          <t>提供约定的场地及配套空间</t>
        </is>
      </c>
      <c r="B20" s="9" t="inlineStr">
        <is>
          <t>一滴水</t>
        </is>
      </c>
      <c r="C20" s="13" t="inlineStr">
        <is>
          <t>按合同约定负责</t>
        </is>
      </c>
    </row>
    <row r="21" ht="32" customHeight="1">
      <c r="A21" s="6" t="inlineStr">
        <is>
          <t>确认场地实际使用条件</t>
        </is>
      </c>
      <c r="B21" s="7" t="inlineStr">
        <is>
          <t>一滴水</t>
        </is>
      </c>
      <c r="C21" s="11" t="inlineStr">
        <is>
          <t>按合同约定负责</t>
        </is>
      </c>
    </row>
    <row r="22" ht="32" customHeight="1">
      <c r="A22" s="8" t="inlineStr">
        <is>
          <t>提供必要的设施信息</t>
        </is>
      </c>
      <c r="B22" s="9" t="inlineStr">
        <is>
          <t>一滴水</t>
        </is>
      </c>
      <c r="C22" s="13" t="inlineStr">
        <is>
          <t>按合同约定负责</t>
        </is>
      </c>
    </row>
    <row r="23" ht="32" customHeight="1">
      <c r="A23" s="6" t="inlineStr">
        <is>
          <t>协调物业相关服务</t>
        </is>
      </c>
      <c r="B23" s="7" t="inlineStr">
        <is>
          <t>一滴水</t>
        </is>
      </c>
      <c r="C23" s="11" t="inlineStr">
        <is>
          <t>按合同约定负责</t>
        </is>
      </c>
    </row>
    <row r="24" ht="32" customHeight="1">
      <c r="A24" s="8" t="inlineStr">
        <is>
          <t>按合同提供餐饮及其他配套</t>
        </is>
      </c>
      <c r="B24" s="9" t="inlineStr">
        <is>
          <t>一滴水</t>
        </is>
      </c>
      <c r="C24" s="13" t="inlineStr">
        <is>
          <t>按合同约定负责</t>
        </is>
      </c>
    </row>
    <row r="25" ht="32" customHeight="1">
      <c r="A25" s="6" t="inlineStr">
        <is>
          <t>配合场地安全检查</t>
        </is>
      </c>
      <c r="B25" s="7" t="inlineStr">
        <is>
          <t>一滴水</t>
        </is>
      </c>
      <c r="C25" s="11" t="inlineStr">
        <is>
          <t>按合同约定负责</t>
        </is>
      </c>
    </row>
    <row r="26" ht="32" customHeight="1">
      <c r="A26" s="8" t="inlineStr">
        <is>
          <t>配合必要的现场运营协调</t>
        </is>
      </c>
      <c r="B26" s="9" t="inlineStr">
        <is>
          <t>一滴水</t>
        </is>
      </c>
      <c r="C26" s="13" t="inlineStr">
        <is>
          <t>按合同约定负责</t>
        </is>
      </c>
    </row>
    <row r="27" ht="32" customHeight="1">
      <c r="A27" s="6" t="inlineStr">
        <is>
          <t>参与品牌联合推广</t>
        </is>
      </c>
      <c r="B27" s="7" t="inlineStr">
        <is>
          <t>一滴水</t>
        </is>
      </c>
      <c r="C27" s="11" t="inlineStr">
        <is>
          <t>按合同约定负责</t>
        </is>
      </c>
    </row>
    <row r="28" ht="32" customHeight="1">
      <c r="A28" s="8" t="inlineStr">
        <is>
          <t>研究后续业务合作</t>
        </is>
      </c>
      <c r="B28" s="9" t="inlineStr">
        <is>
          <t>一滴水</t>
        </is>
      </c>
      <c r="C28" s="13" t="inlineStr">
        <is>
          <t>按合同约定负责</t>
        </is>
      </c>
    </row>
    <row r="29" ht="32" customHeight="1">
      <c r="A29" s="6" t="inlineStr">
        <is>
          <t>合作机制确认</t>
        </is>
      </c>
      <c r="B29" s="7" t="inlineStr">
        <is>
          <t>双方</t>
        </is>
      </c>
      <c r="C29" s="11" t="inlineStr">
        <is>
          <t>共同负责</t>
        </is>
      </c>
    </row>
    <row r="30" ht="32" customHeight="1">
      <c r="A30" s="8" t="inlineStr">
        <is>
          <t>商务条件谈判</t>
        </is>
      </c>
      <c r="B30" s="9" t="inlineStr">
        <is>
          <t>双方</t>
        </is>
      </c>
      <c r="C30" s="13" t="inlineStr">
        <is>
          <t>共同负责</t>
        </is>
      </c>
    </row>
    <row r="31" ht="32" customHeight="1">
      <c r="A31" s="6" t="inlineStr">
        <is>
          <t>宣传内容审核</t>
        </is>
      </c>
      <c r="B31" s="7" t="inlineStr">
        <is>
          <t>双方</t>
        </is>
      </c>
      <c r="C31" s="11" t="inlineStr">
        <is>
          <t>共同负责</t>
        </is>
      </c>
    </row>
    <row r="32" ht="32" customHeight="1">
      <c r="A32" s="8" t="inlineStr">
        <is>
          <t>重大风险沟通</t>
        </is>
      </c>
      <c r="B32" s="9" t="inlineStr">
        <is>
          <t>双方</t>
        </is>
      </c>
      <c r="C32" s="13" t="inlineStr">
        <is>
          <t>共同负责</t>
        </is>
      </c>
    </row>
    <row r="33" ht="32" customHeight="1">
      <c r="A33" s="6" t="inlineStr">
        <is>
          <t>突发事件协调</t>
        </is>
      </c>
      <c r="B33" s="7" t="inlineStr">
        <is>
          <t>双方</t>
        </is>
      </c>
      <c r="C33" s="11" t="inlineStr">
        <is>
          <t>共同负责</t>
        </is>
      </c>
    </row>
    <row r="34" ht="32" customHeight="1">
      <c r="A34" s="8" t="inlineStr">
        <is>
          <t>活动效果评估</t>
        </is>
      </c>
      <c r="B34" s="9" t="inlineStr">
        <is>
          <t>双方</t>
        </is>
      </c>
      <c r="C34" s="13" t="inlineStr">
        <is>
          <t>共同负责</t>
        </is>
      </c>
    </row>
    <row r="35" ht="32" customHeight="1">
      <c r="A35" s="6" t="inlineStr">
        <is>
          <t>长期合作研究</t>
        </is>
      </c>
      <c r="B35" s="7" t="inlineStr">
        <is>
          <t>双方</t>
        </is>
      </c>
      <c r="C35" s="11" t="inlineStr">
        <is>
          <t>共同负责</t>
        </is>
      </c>
    </row>
    <row r="36" ht="32" customHeight="1">
      <c r="A36" s="8" t="inlineStr">
        <is>
          <t>同人作品与官方作品的使用界限</t>
        </is>
      </c>
      <c r="B36" s="9" t="inlineStr">
        <is>
          <t>知识产权与合规</t>
        </is>
      </c>
      <c r="C36" s="13" t="inlineStr">
        <is>
          <t>正式活动前明确</t>
        </is>
      </c>
    </row>
    <row r="37" ht="32" customHeight="1">
      <c r="A37" s="6" t="inlineStr">
        <is>
          <t>角色形象及美术素材的使用权限</t>
        </is>
      </c>
      <c r="B37" s="7" t="inlineStr">
        <is>
          <t>知识产权与合规</t>
        </is>
      </c>
      <c r="C37" s="11" t="inlineStr">
        <is>
          <t>正式活动前明确</t>
        </is>
      </c>
    </row>
    <row r="38" ht="32" customHeight="1">
      <c r="A38" s="8" t="inlineStr">
        <is>
          <t>商品销售和品牌联名的知识产权问题</t>
        </is>
      </c>
      <c r="B38" s="9" t="inlineStr">
        <is>
          <t>知识产权与合规</t>
        </is>
      </c>
      <c r="C38" s="13" t="inlineStr">
        <is>
          <t>正式活动前明确</t>
        </is>
      </c>
    </row>
    <row r="39" ht="32" customHeight="1">
      <c r="A39" s="6" t="inlineStr">
        <is>
          <t>商业赞助与宣传材料的合规要求</t>
        </is>
      </c>
      <c r="B39" s="7" t="inlineStr">
        <is>
          <t>知识产权与合规</t>
        </is>
      </c>
      <c r="C39" s="11" t="inlineStr">
        <is>
          <t>正式活动前明确</t>
        </is>
      </c>
    </row>
    <row r="40" ht="32" customHeight="1">
      <c r="A40" s="8" t="inlineStr">
        <is>
          <t>活动名称和宣传内容是否存在误导</t>
        </is>
      </c>
      <c r="B40" s="9" t="inlineStr">
        <is>
          <t>知识产权与合规</t>
        </is>
      </c>
      <c r="C40" s="13" t="inlineStr">
        <is>
          <t>正式活动前明确</t>
        </is>
      </c>
    </row>
    <row r="41" ht="32" customHeight="1">
      <c r="A41" s="6" t="inlineStr">
        <is>
          <t>相关许可、备案和安全管理要求</t>
        </is>
      </c>
      <c r="B41" s="7" t="inlineStr">
        <is>
          <t>知识产权与合规</t>
        </is>
      </c>
      <c r="C41" s="11" t="inlineStr">
        <is>
          <t>正式活动前明确</t>
        </is>
      </c>
    </row>
    <row r="42" ht="32" customHeight="1">
      <c r="A42" s="8" t="inlineStr">
        <is>
          <t>取消通知期限</t>
        </is>
      </c>
      <c r="B42" s="9" t="inlineStr">
        <is>
          <t>延期与取消</t>
        </is>
      </c>
      <c r="C42" s="13" t="inlineStr">
        <is>
          <t>建议写入合同</t>
        </is>
      </c>
    </row>
    <row r="43" ht="32" customHeight="1">
      <c r="A43" s="6" t="inlineStr">
        <is>
          <t>已产生费用的承担</t>
        </is>
      </c>
      <c r="B43" s="7" t="inlineStr">
        <is>
          <t>延期与取消</t>
        </is>
      </c>
      <c r="C43" s="11" t="inlineStr">
        <is>
          <t>建议写入合同</t>
        </is>
      </c>
    </row>
    <row r="44" ht="32" customHeight="1">
      <c r="A44" s="8" t="inlineStr">
        <is>
          <t>场地档期调整</t>
        </is>
      </c>
      <c r="B44" s="9" t="inlineStr">
        <is>
          <t>延期与取消</t>
        </is>
      </c>
      <c r="C44" s="13" t="inlineStr">
        <is>
          <t>建议写入合同</t>
        </is>
      </c>
    </row>
    <row r="45" ht="32" customHeight="1">
      <c r="A45" s="6" t="inlineStr">
        <is>
          <t>票务退款责任</t>
        </is>
      </c>
      <c r="B45" s="7" t="inlineStr">
        <is>
          <t>延期与取消</t>
        </is>
      </c>
      <c r="C45" s="11" t="inlineStr">
        <is>
          <t>建议写入合同</t>
        </is>
      </c>
    </row>
    <row r="46" ht="32" customHeight="1">
      <c r="A46" s="8" t="inlineStr">
        <is>
          <t>宣传物料损失</t>
        </is>
      </c>
      <c r="B46" s="9" t="inlineStr">
        <is>
          <t>延期与取消</t>
        </is>
      </c>
      <c r="C46" s="13" t="inlineStr">
        <is>
          <t>建议写入合同</t>
        </is>
      </c>
    </row>
    <row r="47" ht="32" customHeight="1">
      <c r="A47" s="6" t="inlineStr">
        <is>
          <t>供应商违约处理</t>
        </is>
      </c>
      <c r="B47" s="7" t="inlineStr">
        <is>
          <t>延期与取消</t>
        </is>
      </c>
      <c r="C47" s="11" t="inlineStr">
        <is>
          <t>建议写入合同</t>
        </is>
      </c>
    </row>
    <row r="48" ht="32" customHeight="1">
      <c r="A48" s="8" t="inlineStr">
        <is>
          <t>已交付或未交付商业权益的处理</t>
        </is>
      </c>
      <c r="B48" s="9" t="inlineStr">
        <is>
          <t>延期与取消</t>
        </is>
      </c>
      <c r="C48" s="13" t="inlineStr">
        <is>
          <t>建议写入合同</t>
        </is>
      </c>
    </row>
  </sheetData>
  <autoFilter ref="A4:C48"/>
  <mergeCells count="3">
    <mergeCell ref="A1:C1"/>
    <mergeCell ref="A3:C3"/>
    <mergeCell ref="A2:C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北外滩尚9·一滴水&amp;C&amp;R职责、合规与取消</oddHeader>
    <oddFooter>&amp;L内部研讨稿  ·  计划目标不等于已兑现结果&amp;R第 &amp;P 页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C3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36" customWidth="1" min="1" max="1"/>
    <col width="48" customWidth="1" min="2" max="2"/>
    <col width="14" customWidth="1" min="3" max="3"/>
  </cols>
  <sheetData>
    <row r="1" ht="28" customHeight="1">
      <c r="A1" s="1" t="inlineStr">
        <is>
          <t>效果评估与交付</t>
        </is>
      </c>
      <c r="B1" s="2" t="n"/>
      <c r="C1" s="2" t="n"/>
    </row>
    <row r="2" ht="32" customHeight="1">
      <c r="A2" s="3" t="inlineStr">
        <is>
          <t>活动结束后 3—7 天提交复盘。双方开会后再决定是否进入长期合作。转化数据是建议新增的经营指标。</t>
        </is>
      </c>
      <c r="B2" s="2" t="n"/>
      <c r="C2" s="2" t="n"/>
    </row>
    <row r="3" ht="6" customHeight="1">
      <c r="A3" s="4" t="inlineStr"/>
      <c r="B3" s="4" t="n"/>
      <c r="C3" s="4" t="n"/>
    </row>
    <row r="4" ht="24" customHeight="1">
      <c r="A4" s="5" t="inlineStr">
        <is>
          <t>指标或交付物</t>
        </is>
      </c>
      <c r="B4" s="5" t="inlineStr">
        <is>
          <t>口径</t>
        </is>
      </c>
      <c r="C4" s="5" t="inlineStr">
        <is>
          <t>类别</t>
        </is>
      </c>
    </row>
    <row r="5" ht="32" customHeight="1">
      <c r="A5" s="6" t="inlineStr">
        <is>
          <t>实际购票人数</t>
        </is>
      </c>
      <c r="B5" s="7" t="inlineStr">
        <is>
          <t>活动结束后统计</t>
        </is>
      </c>
      <c r="C5" s="11" t="inlineStr">
        <is>
          <t>客流</t>
        </is>
      </c>
    </row>
    <row r="6" ht="32" customHeight="1">
      <c r="A6" s="8" t="inlineStr">
        <is>
          <t>实际入场人数</t>
        </is>
      </c>
      <c r="B6" s="9" t="inlineStr">
        <is>
          <t>活动结束后统计</t>
        </is>
      </c>
      <c r="C6" s="13" t="inlineStr">
        <is>
          <t>客流</t>
        </is>
      </c>
    </row>
    <row r="7" ht="32" customHeight="1">
      <c r="A7" s="6" t="inlineStr">
        <is>
          <t>VIP 及普通观众比例</t>
        </is>
      </c>
      <c r="B7" s="7" t="inlineStr">
        <is>
          <t>活动结束后统计</t>
        </is>
      </c>
      <c r="C7" s="11" t="inlineStr">
        <is>
          <t>客流</t>
        </is>
      </c>
    </row>
    <row r="8" ht="32" customHeight="1">
      <c r="A8" s="8" t="inlineStr">
        <is>
          <t>高峰时段人流</t>
        </is>
      </c>
      <c r="B8" s="9" t="inlineStr">
        <is>
          <t>活动结束后统计</t>
        </is>
      </c>
      <c r="C8" s="13" t="inlineStr">
        <is>
          <t>客流</t>
        </is>
      </c>
    </row>
    <row r="9" ht="32" customHeight="1">
      <c r="A9" s="6" t="inlineStr">
        <is>
          <t>活动平均停留时间</t>
        </is>
      </c>
      <c r="B9" s="7" t="inlineStr">
        <is>
          <t>活动结束后统计</t>
        </is>
      </c>
      <c r="C9" s="11" t="inlineStr">
        <is>
          <t>客流</t>
        </is>
      </c>
    </row>
    <row r="10" ht="32" customHeight="1">
      <c r="A10" s="8" t="inlineStr">
        <is>
          <t>不同区域的参与情况</t>
        </is>
      </c>
      <c r="B10" s="9" t="inlineStr">
        <is>
          <t>活动结束后统计</t>
        </is>
      </c>
      <c r="C10" s="13" t="inlineStr">
        <is>
          <t>客流</t>
        </is>
      </c>
    </row>
    <row r="11" ht="32" customHeight="1">
      <c r="A11" s="6" t="inlineStr">
        <is>
          <t>一滴水实际场地收入</t>
        </is>
      </c>
      <c r="B11" s="7" t="inlineStr">
        <is>
          <t>只统计一滴水实际发生的收入和成本</t>
        </is>
      </c>
      <c r="C11" s="11" t="inlineStr">
        <is>
          <t>经营</t>
        </is>
      </c>
    </row>
    <row r="12" ht="32" customHeight="1">
      <c r="A12" s="8" t="inlineStr">
        <is>
          <t>餐饮收入</t>
        </is>
      </c>
      <c r="B12" s="9" t="inlineStr">
        <is>
          <t>只统计一滴水实际发生的收入和成本</t>
        </is>
      </c>
      <c r="C12" s="13" t="inlineStr">
        <is>
          <t>经营</t>
        </is>
      </c>
    </row>
    <row r="13" ht="32" customHeight="1">
      <c r="A13" s="6" t="inlineStr">
        <is>
          <t>其他配套服务收入</t>
        </is>
      </c>
      <c r="B13" s="7" t="inlineStr">
        <is>
          <t>只统计一滴水实际发生的收入和成本</t>
        </is>
      </c>
      <c r="C13" s="11" t="inlineStr">
        <is>
          <t>经营</t>
        </is>
      </c>
    </row>
    <row r="14" ht="32" customHeight="1">
      <c r="A14" s="8" t="inlineStr">
        <is>
          <t>场地方实际投入成本</t>
        </is>
      </c>
      <c r="B14" s="9" t="inlineStr">
        <is>
          <t>只统计一滴水实际发生的收入和成本</t>
        </is>
      </c>
      <c r="C14" s="13" t="inlineStr">
        <is>
          <t>经营</t>
        </is>
      </c>
    </row>
    <row r="15" ht="32" customHeight="1">
      <c r="A15" s="6" t="inlineStr">
        <is>
          <t>场地方净收益或净成本</t>
        </is>
      </c>
      <c r="B15" s="7" t="inlineStr">
        <is>
          <t>只统计一滴水实际发生的收入和成本</t>
        </is>
      </c>
      <c r="C15" s="11" t="inlineStr">
        <is>
          <t>经营</t>
        </is>
      </c>
    </row>
    <row r="16" ht="32" customHeight="1">
      <c r="A16" s="8" t="inlineStr">
        <is>
          <t>项目新增经营机会</t>
        </is>
      </c>
      <c r="B16" s="9" t="inlineStr">
        <is>
          <t>只统计一滴水实际发生的收入和成本</t>
        </is>
      </c>
      <c r="C16" s="13" t="inlineStr">
        <is>
          <t>经营</t>
        </is>
      </c>
    </row>
    <row r="17" ht="32" customHeight="1">
      <c r="A17" s="6" t="inlineStr">
        <is>
          <t>B站曝光、播放及互动</t>
        </is>
      </c>
      <c r="B17" s="7" t="inlineStr">
        <is>
          <t>尽量提供后台截图或平台统计</t>
        </is>
      </c>
      <c r="C17" s="11" t="inlineStr">
        <is>
          <t>传播</t>
        </is>
      </c>
    </row>
    <row r="18" ht="32" customHeight="1">
      <c r="A18" s="8" t="inlineStr">
        <is>
          <t>小红书笔记及互动</t>
        </is>
      </c>
      <c r="B18" s="9" t="inlineStr">
        <is>
          <t>尽量提供后台截图或平台统计</t>
        </is>
      </c>
      <c r="C18" s="13" t="inlineStr">
        <is>
          <t>传播</t>
        </is>
      </c>
    </row>
    <row r="19" ht="32" customHeight="1">
      <c r="A19" s="6" t="inlineStr">
        <is>
          <t>微博话题传播</t>
        </is>
      </c>
      <c r="B19" s="7" t="inlineStr">
        <is>
          <t>尽量提供后台截图或平台统计</t>
        </is>
      </c>
      <c r="C19" s="11" t="inlineStr">
        <is>
          <t>传播</t>
        </is>
      </c>
    </row>
    <row r="20" ht="32" customHeight="1">
      <c r="A20" s="8" t="inlineStr">
        <is>
          <t>短视频传播</t>
        </is>
      </c>
      <c r="B20" s="9" t="inlineStr">
        <is>
          <t>尽量提供后台截图或平台统计</t>
        </is>
      </c>
      <c r="C20" s="13" t="inlineStr">
        <is>
          <t>传播</t>
        </is>
      </c>
    </row>
    <row r="21" ht="32" customHeight="1">
      <c r="A21" s="6" t="inlineStr">
        <is>
          <t>合作创作者发布内容</t>
        </is>
      </c>
      <c r="B21" s="7" t="inlineStr">
        <is>
          <t>尽量提供后台截图或平台统计</t>
        </is>
      </c>
      <c r="C21" s="11" t="inlineStr">
        <is>
          <t>传播</t>
        </is>
      </c>
    </row>
    <row r="22" ht="32" customHeight="1">
      <c r="A22" s="8" t="inlineStr">
        <is>
          <t>场地相关话题传播</t>
        </is>
      </c>
      <c r="B22" s="9" t="inlineStr">
        <is>
          <t>尽量提供后台截图或平台统计</t>
        </is>
      </c>
      <c r="C22" s="13" t="inlineStr">
        <is>
          <t>传播</t>
        </is>
      </c>
    </row>
    <row r="23" ht="32" customHeight="1">
      <c r="A23" s="6" t="inlineStr">
        <is>
          <t>用户自发发布的作品</t>
        </is>
      </c>
      <c r="B23" s="7" t="inlineStr">
        <is>
          <t>尽量提供后台截图或平台统计</t>
        </is>
      </c>
      <c r="C23" s="11" t="inlineStr">
        <is>
          <t>传播</t>
        </is>
      </c>
    </row>
    <row r="24" ht="32" customHeight="1">
      <c r="A24" s="8" t="inlineStr">
        <is>
          <t>活动后场地咨询数量</t>
        </is>
      </c>
      <c r="B24" s="9" t="inlineStr">
        <is>
          <t>建议新增，用来判断活动有没有变成客户</t>
        </is>
      </c>
      <c r="C24" s="13" t="inlineStr">
        <is>
          <t>转化</t>
        </is>
      </c>
    </row>
    <row r="25" ht="32" customHeight="1">
      <c r="A25" s="6" t="inlineStr">
        <is>
          <t>特色婚礼咨询</t>
        </is>
      </c>
      <c r="B25" s="7" t="inlineStr">
        <is>
          <t>建议新增，用来判断活动有没有变成客户</t>
        </is>
      </c>
      <c r="C25" s="11" t="inlineStr">
        <is>
          <t>转化</t>
        </is>
      </c>
    </row>
    <row r="26" ht="32" customHeight="1">
      <c r="A26" s="8" t="inlineStr">
        <is>
          <t>生日宴及主题聚会咨询</t>
        </is>
      </c>
      <c r="B26" s="9" t="inlineStr">
        <is>
          <t>建议新增，用来判断活动有没有变成客户</t>
        </is>
      </c>
      <c r="C26" s="13" t="inlineStr">
        <is>
          <t>转化</t>
        </is>
      </c>
    </row>
    <row r="27" ht="32" customHeight="1">
      <c r="A27" s="6" t="inlineStr">
        <is>
          <t>品牌活动咨询</t>
        </is>
      </c>
      <c r="B27" s="7" t="inlineStr">
        <is>
          <t>建议新增，用来判断活动有没有变成客户</t>
        </is>
      </c>
      <c r="C27" s="11" t="inlineStr">
        <is>
          <t>转化</t>
        </is>
      </c>
    </row>
    <row r="28" ht="32" customHeight="1">
      <c r="A28" s="8" t="inlineStr">
        <is>
          <t>摄影及其他包场咨询</t>
        </is>
      </c>
      <c r="B28" s="9" t="inlineStr">
        <is>
          <t>建议新增，用来判断活动有没有变成客户</t>
        </is>
      </c>
      <c r="C28" s="13" t="inlineStr">
        <is>
          <t>转化</t>
        </is>
      </c>
    </row>
    <row r="29" ht="32" customHeight="1">
      <c r="A29" s="6" t="inlineStr">
        <is>
          <t>实际形成的后续订单</t>
        </is>
      </c>
      <c r="B29" s="7" t="inlineStr">
        <is>
          <t>建议新增，用来判断活动有没有变成客户</t>
        </is>
      </c>
      <c r="C29" s="11" t="inlineStr">
        <is>
          <t>转化</t>
        </is>
      </c>
    </row>
    <row r="30" ht="32" customHeight="1">
      <c r="A30" s="8" t="inlineStr">
        <is>
          <t>活动精修照片</t>
        </is>
      </c>
      <c r="B30" s="9" t="inlineStr">
        <is>
          <t>商业使用需另行取得授权</t>
        </is>
      </c>
      <c r="C30" s="13" t="inlineStr">
        <is>
          <t>交付物</t>
        </is>
      </c>
    </row>
    <row r="31" ht="32" customHeight="1">
      <c r="A31" s="6" t="inlineStr">
        <is>
          <t>活动视频</t>
        </is>
      </c>
      <c r="B31" s="7" t="inlineStr">
        <is>
          <t>商业使用需另行取得授权</t>
        </is>
      </c>
      <c r="C31" s="11" t="inlineStr">
        <is>
          <t>交付物</t>
        </is>
      </c>
    </row>
    <row r="32" ht="32" customHeight="1">
      <c r="A32" s="8" t="inlineStr">
        <is>
          <t>场地主题摄影素材</t>
        </is>
      </c>
      <c r="B32" s="9" t="inlineStr">
        <is>
          <t>商业使用需另行取得授权</t>
        </is>
      </c>
      <c r="C32" s="13" t="inlineStr">
        <is>
          <t>交付物</t>
        </is>
      </c>
    </row>
    <row r="33" ht="32" customHeight="1">
      <c r="A33" s="6" t="inlineStr">
        <is>
          <t>品牌露出资料</t>
        </is>
      </c>
      <c r="B33" s="7" t="inlineStr">
        <is>
          <t>商业使用需另行取得授权</t>
        </is>
      </c>
      <c r="C33" s="11" t="inlineStr">
        <is>
          <t>交付物</t>
        </is>
      </c>
    </row>
    <row r="34" ht="32" customHeight="1">
      <c r="A34" s="8" t="inlineStr">
        <is>
          <t>媒体发布清单</t>
        </is>
      </c>
      <c r="B34" s="9" t="inlineStr">
        <is>
          <t>商业使用需另行取得授权</t>
        </is>
      </c>
      <c r="C34" s="13" t="inlineStr">
        <is>
          <t>交付物</t>
        </is>
      </c>
    </row>
    <row r="35" ht="32" customHeight="1">
      <c r="A35" s="6" t="inlineStr">
        <is>
          <t>现场参与数据</t>
        </is>
      </c>
      <c r="B35" s="7" t="inlineStr">
        <is>
          <t>商业使用需另行取得授权</t>
        </is>
      </c>
      <c r="C35" s="11" t="inlineStr">
        <is>
          <t>交付物</t>
        </is>
      </c>
    </row>
    <row r="36" ht="32" customHeight="1">
      <c r="A36" s="8" t="inlineStr">
        <is>
          <t>传播效果报告</t>
        </is>
      </c>
      <c r="B36" s="9" t="inlineStr">
        <is>
          <t>商业使用需另行取得授权</t>
        </is>
      </c>
      <c r="C36" s="13" t="inlineStr">
        <is>
          <t>交付物</t>
        </is>
      </c>
    </row>
    <row r="37" ht="32" customHeight="1">
      <c r="A37" s="6" t="inlineStr">
        <is>
          <t>后续合作建议</t>
        </is>
      </c>
      <c r="B37" s="7" t="inlineStr">
        <is>
          <t>商业使用需另行取得授权</t>
        </is>
      </c>
      <c r="C37" s="11" t="inlineStr">
        <is>
          <t>交付物</t>
        </is>
      </c>
    </row>
  </sheetData>
  <autoFilter ref="A4:C37"/>
  <mergeCells count="3">
    <mergeCell ref="A1:C1"/>
    <mergeCell ref="A3:C3"/>
    <mergeCell ref="A2:C2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北外滩尚9·一滴水&amp;C&amp;R效果评估与交付</oddHeader>
    <oddFooter>&amp;L内部研讨稿  ·  计划目标不等于已兑现结果&amp;R第 &amp;P 页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F1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8" customWidth="1" min="1" max="1"/>
    <col width="16" customWidth="1" min="2" max="2"/>
    <col width="12" customWidth="1" min="3" max="3"/>
    <col width="55" customWidth="1" min="4" max="4"/>
    <col width="42" customWidth="1" min="5" max="5"/>
    <col width="18" customWidth="1" min="6" max="6"/>
  </cols>
  <sheetData>
    <row r="1" ht="28" customHeight="1">
      <c r="A1" s="1" t="inlineStr">
        <is>
          <t>签约前必须确认的事项</t>
        </is>
      </c>
      <c r="B1" s="2" t="n"/>
      <c r="C1" s="2" t="n"/>
      <c r="D1" s="2" t="n"/>
      <c r="E1" s="2" t="n"/>
      <c r="F1" s="2" t="n"/>
    </row>
    <row r="2" ht="32" customHeight="1">
      <c r="A2" s="3" t="inlineStr">
        <is>
          <t>这八项未闭合前，方案可以用于内部研讨，不宜作为已定合作或对外宣传承诺。</t>
        </is>
      </c>
      <c r="B2" s="2" t="n"/>
      <c r="C2" s="2" t="n"/>
      <c r="D2" s="2" t="n"/>
      <c r="E2" s="2" t="n"/>
      <c r="F2" s="2" t="n"/>
    </row>
    <row r="3" ht="6" customHeight="1">
      <c r="A3" s="4" t="inlineStr"/>
      <c r="B3" s="4" t="n"/>
      <c r="C3" s="4" t="n"/>
      <c r="D3" s="4" t="n"/>
      <c r="E3" s="4" t="n"/>
      <c r="F3" s="4" t="n"/>
    </row>
    <row r="4" ht="24" customHeight="1">
      <c r="A4" s="5" t="inlineStr">
        <is>
          <t>序号</t>
        </is>
      </c>
      <c r="B4" s="5" t="inlineStr">
        <is>
          <t>事项</t>
        </is>
      </c>
      <c r="C4" s="5" t="inlineStr">
        <is>
          <t>优先级</t>
        </is>
      </c>
      <c r="D4" s="5" t="inlineStr">
        <is>
          <t>当前缺口</t>
        </is>
      </c>
      <c r="E4" s="5" t="inlineStr">
        <is>
          <t>签约前的使用口径</t>
        </is>
      </c>
      <c r="F4" s="5" t="inlineStr">
        <is>
          <t>建议确认方</t>
        </is>
      </c>
    </row>
    <row r="5" ht="32" customHeight="1">
      <c r="A5" s="11" t="inlineStr">
        <is>
          <t>01</t>
        </is>
      </c>
      <c r="B5" s="6" t="inlineStr">
        <is>
          <t>活动日期</t>
        </is>
      </c>
      <c r="C5" s="11" t="inlineStr">
        <is>
          <t>高</t>
        </is>
      </c>
      <c r="D5" s="7" t="inlineStr">
        <is>
          <t>品牌合作策划案分别出现 2026年11月28日和11月29日，其中一版首页与正文不一致。场地方合作方案以 11月29日为主。</t>
        </is>
      </c>
      <c r="E5" s="7" t="inlineStr">
        <is>
          <t>对外表述使用“2026年11月下旬，具体日期待确认”。</t>
        </is>
      </c>
      <c r="F5" s="7" t="inlineStr">
        <is>
          <t>主办方最终确认</t>
        </is>
      </c>
    </row>
    <row r="6" ht="32" customHeight="1">
      <c r="A6" s="13" t="inlineStr">
        <is>
          <t>02</t>
        </is>
      </c>
      <c r="B6" s="8" t="inlineStr">
        <is>
          <t>主办主体</t>
        </is>
      </c>
      <c r="C6" s="13" t="inlineStr">
        <is>
          <t>高</t>
        </is>
      </c>
      <c r="D6" s="9" t="inlineStr">
        <is>
          <t>部分材料将主办方列为待定。已提供北京惠迪文化传播的公司介绍，尚未确认其在本项目中的法律角色。</t>
        </is>
      </c>
      <c r="E6" s="9" t="inlineStr">
        <is>
          <t>签约、收款、开票和责任主体未闭合前，不对外承诺主办方。</t>
        </is>
      </c>
      <c r="F6" s="9" t="inlineStr">
        <is>
          <t>主办方、一滴水</t>
        </is>
      </c>
    </row>
    <row r="7" ht="32" customHeight="1">
      <c r="A7" s="11" t="inlineStr">
        <is>
          <t>03</t>
        </is>
      </c>
      <c r="B7" s="6" t="inlineStr">
        <is>
          <t>审批手续</t>
        </is>
      </c>
      <c r="C7" s="11" t="inlineStr">
        <is>
          <t>高</t>
        </is>
      </c>
      <c r="D7" s="7" t="inlineStr">
        <is>
          <t>场地方方案写有已经办理有关手续的表述，另一版材料列为待办理。目前没有看到本次活动手续已经完成的证明。</t>
        </is>
      </c>
      <c r="E7" s="7" t="inlineStr">
        <is>
          <t>按尚未完成管理。由主办方提交文件，并按活动性质确认适用的管理要求。</t>
        </is>
      </c>
      <c r="F7" s="7" t="inlineStr">
        <is>
          <t>主办方</t>
        </is>
      </c>
    </row>
    <row r="8" ht="32" customHeight="1">
      <c r="A8" s="13" t="inlineStr">
        <is>
          <t>04</t>
        </is>
      </c>
      <c r="B8" s="8" t="inlineStr">
        <is>
          <t>宣传资源</t>
        </is>
      </c>
      <c r="C8" s="13" t="inlineStr">
        <is>
          <t>高</t>
        </is>
      </c>
      <c r="D8" s="9" t="inlineStr">
        <is>
          <t>原稿称相关账号粉丝从 10 万至 1,000 万不等，并提到 B站百大 UP主、知名 Coser，以及卡游、杭州银行等潜在合作方。尚未提供正式确认清单。</t>
        </is>
      </c>
      <c r="E8" s="9" t="inlineStr">
        <is>
          <t>对外只表述为可推进的潜在资源。</t>
        </is>
      </c>
      <c r="F8" s="9" t="inlineStr">
        <is>
          <t>活动团队</t>
        </is>
      </c>
    </row>
    <row r="9" ht="32" customHeight="1">
      <c r="A9" s="11" t="inlineStr">
        <is>
          <t>05</t>
        </is>
      </c>
      <c r="B9" s="6" t="inlineStr">
        <is>
          <t>场地范围</t>
        </is>
      </c>
      <c r="C9" s="11" t="inlineStr">
        <is>
          <t>高</t>
        </is>
      </c>
      <c r="D9" s="7" t="inlineStr">
        <is>
          <t>G层、一楼、三楼及露台实际能否使用尚未核实，布展和撤展对既有订单的影响也未核算。</t>
        </is>
      </c>
      <c r="E9" s="7" t="inlineStr">
        <is>
          <t>面积表只作为需求，不作为可用面积或安全容量。</t>
        </is>
      </c>
      <c r="F9" s="7" t="inlineStr">
        <is>
          <t>一滴水、活动团队</t>
        </is>
      </c>
    </row>
    <row r="10" ht="32" customHeight="1">
      <c r="A10" s="13" t="inlineStr">
        <is>
          <t>06</t>
        </is>
      </c>
      <c r="B10" s="8" t="inlineStr">
        <is>
          <t>商业预算</t>
        </is>
      </c>
      <c r="C10" s="13" t="inlineStr">
        <is>
          <t>高</t>
        </is>
      </c>
      <c r="D10" s="9" t="inlineStr">
        <is>
          <t>尚未形成完整的收入与成本测算，包括场地、餐饮、赞助、门票、搭建、安保、盈亏和风险准备金。</t>
        </is>
      </c>
      <c r="E10" s="9" t="inlineStr">
        <is>
          <t>计划曝光和计划客流不折算成利润。</t>
        </is>
      </c>
      <c r="F10" s="9" t="inlineStr">
        <is>
          <t>活动团队</t>
        </is>
      </c>
    </row>
    <row r="11" ht="32" customHeight="1">
      <c r="A11" s="11" t="inlineStr">
        <is>
          <t>07</t>
        </is>
      </c>
      <c r="B11" s="6" t="inlineStr">
        <is>
          <t>场地方收益</t>
        </is>
      </c>
      <c r="C11" s="11" t="inlineStr">
        <is>
          <t>高</t>
        </is>
      </c>
      <c r="D11" s="7" t="inlineStr">
        <is>
          <t>一滴水的收入、成本和宣传权益尚未写成单独商务附件。</t>
        </is>
      </c>
      <c r="E11" s="7" t="inlineStr">
        <is>
          <t>场地方收益与主办方总收入分开列示。</t>
        </is>
      </c>
      <c r="F11" s="7" t="inlineStr">
        <is>
          <t>双方商务</t>
        </is>
      </c>
    </row>
    <row r="12" ht="32" customHeight="1">
      <c r="A12" s="13" t="inlineStr">
        <is>
          <t>08</t>
        </is>
      </c>
      <c r="B12" s="8" t="inlineStr">
        <is>
          <t>长期可执行性</t>
        </is>
      </c>
      <c r="C12" s="13" t="inlineStr">
        <is>
          <t>中</t>
        </is>
      </c>
      <c r="D12" s="9" t="inlineStr">
        <is>
          <t>二次元主题婚礼、虚拟角色庆典和特色餐饮仍是方向，需求和知识产权尚未评估完成。</t>
        </is>
      </c>
      <c r="E12" s="9" t="inlineStr">
        <is>
          <t>长期产品通过首期试点逐步验证，首期不绑定长期免费场地。</t>
        </is>
      </c>
      <c r="F12" s="9" t="inlineStr">
        <is>
          <t>双方</t>
        </is>
      </c>
    </row>
  </sheetData>
  <autoFilter ref="A4:F12"/>
  <mergeCells count="3">
    <mergeCell ref="A3:F3"/>
    <mergeCell ref="A2:F2"/>
    <mergeCell ref="A1:F1"/>
  </mergeCells>
  <conditionalFormatting sqref="C5:C12">
    <cfRule type="expression" priority="1" dxfId="0">
      <formula>ISNUMBER(SEARCH("已过",C5))</formula>
    </cfRule>
    <cfRule type="expression" priority="2" dxfId="1">
      <formula>ISNUMBER(SEARCH("进行中",C5))</formula>
    </cfRule>
    <cfRule type="expression" priority="3" dxfId="0">
      <formula>ISNUMBER(SEARCH("高",C5))</formula>
    </cfRule>
    <cfRule type="expression" priority="4" dxfId="2">
      <formula>C5="有"</formula>
    </cfRule>
  </conditionalFormatting>
  <pageMargins left="0.5" right="0.5" top="0.7" bottom="0.6" header="0.3" footer="0.3"/>
  <pageSetup orientation="landscape" paperSize="9" fitToHeight="0" fitToWidth="1"/>
  <headerFooter>
    <oddHeader>&amp;L潮起潮落 TIDELINE × 北外滩尚9·一滴水&amp;C&amp;R签约前必须确认的事项</oddHeader>
    <oddFooter>&amp;L内部研讨稿  ·  计划目标不等于已兑现结果&amp;R第 &amp;P 页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E37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8" customWidth="1" min="1" max="1"/>
    <col width="42" customWidth="1" min="2" max="2"/>
    <col width="20" customWidth="1" min="3" max="3"/>
    <col width="28" customWidth="1" min="4" max="4"/>
    <col width="46" customWidth="1" min="5" max="5"/>
  </cols>
  <sheetData>
    <row r="1" ht="28" customHeight="1">
      <c r="A1" s="1" t="inlineStr">
        <is>
          <t>一滴水本次活动收益测算</t>
        </is>
      </c>
      <c r="B1" s="2" t="n"/>
      <c r="C1" s="2" t="n"/>
      <c r="D1" s="2" t="n"/>
      <c r="E1" s="2" t="n"/>
    </row>
    <row r="2" ht="32" customHeight="1">
      <c r="A2" s="3" t="inlineStr">
        <is>
          <t>黄色单元格填写金额，单位为元。绿色单元格是公式，请保留。未来订单和机会成本单独列示，不自动计入本次直接经营结果。未填写的金额按 0 计算。</t>
        </is>
      </c>
      <c r="B2" s="2" t="n"/>
      <c r="C2" s="2" t="n"/>
      <c r="D2" s="2" t="n"/>
      <c r="E2" s="2" t="n"/>
    </row>
    <row r="3" ht="6" customHeight="1">
      <c r="A3" s="4" t="inlineStr"/>
      <c r="B3" s="4" t="n"/>
      <c r="C3" s="4" t="n"/>
      <c r="D3" s="4" t="n"/>
      <c r="E3" s="4" t="n"/>
    </row>
    <row r="4" ht="24" customHeight="1">
      <c r="A4" s="5" t="inlineStr">
        <is>
          <t>序号</t>
        </is>
      </c>
      <c r="B4" s="5" t="inlineStr">
        <is>
          <t>项目</t>
        </is>
      </c>
      <c r="C4" s="5" t="inlineStr">
        <is>
          <t>金额（元）</t>
        </is>
      </c>
      <c r="D4" s="5" t="inlineStr">
        <is>
          <t>口径</t>
        </is>
      </c>
      <c r="E4" s="5" t="inlineStr">
        <is>
          <t>填写说明</t>
        </is>
      </c>
    </row>
    <row r="5" ht="24" customHeight="1">
      <c r="A5" s="25" t="inlineStr">
        <is>
          <t>一、本次直接收入（计入本次结果）</t>
        </is>
      </c>
      <c r="B5" s="26" t="n"/>
      <c r="C5" s="26" t="n"/>
      <c r="D5" s="26" t="n"/>
      <c r="E5" s="26" t="n"/>
    </row>
    <row r="6" ht="28" customHeight="1">
      <c r="A6" s="13" t="n">
        <v>1</v>
      </c>
      <c r="B6" s="8" t="inlineStr">
        <is>
          <t>场地使用费</t>
        </is>
      </c>
      <c r="C6" s="27" t="n"/>
      <c r="D6" s="9" t="inlineStr">
        <is>
          <t>本次直接收入</t>
        </is>
      </c>
      <c r="E6" s="9" t="inlineStr">
        <is>
          <t>按使用面积、布撤展天数和档期填写</t>
        </is>
      </c>
    </row>
    <row r="7" ht="28" customHeight="1">
      <c r="A7" s="13" t="n">
        <v>2</v>
      </c>
      <c r="B7" s="8" t="inlineStr">
        <is>
          <t>餐饮收入</t>
        </is>
      </c>
      <c r="C7" s="27" t="n"/>
      <c r="D7" s="9" t="inlineStr">
        <is>
          <t>本次直接收入</t>
        </is>
      </c>
      <c r="E7" s="9" t="inlineStr">
        <is>
          <t>含 VIP 套餐、茶歇、工作人员及嘉宾餐饮</t>
        </is>
      </c>
    </row>
    <row r="8" ht="28" customHeight="1">
      <c r="A8" s="13" t="n">
        <v>3</v>
      </c>
      <c r="B8" s="8" t="inlineStr">
        <is>
          <t>设备及配套收入</t>
        </is>
      </c>
      <c r="C8" s="27" t="n"/>
      <c r="D8" s="9" t="inlineStr">
        <is>
          <t>本次直接收入</t>
        </is>
      </c>
      <c r="E8" s="9" t="inlineStr">
        <is>
          <t>停车、仓储、现有设备等，没有则留空</t>
        </is>
      </c>
    </row>
    <row r="9" ht="28" customHeight="1">
      <c r="A9" s="13" t="n">
        <v>4</v>
      </c>
      <c r="B9" s="8" t="inlineStr">
        <is>
          <t>约定归场地方的招商分成</t>
        </is>
      </c>
      <c r="C9" s="27" t="n"/>
      <c r="D9" s="9" t="inlineStr">
        <is>
          <t>本次直接收入</t>
        </is>
      </c>
      <c r="E9" s="9" t="inlineStr">
        <is>
          <t>没有约定则留空，不把主办方赞助全额写入</t>
        </is>
      </c>
    </row>
    <row r="10" ht="28" customHeight="1">
      <c r="A10" s="13" t="n">
        <v>5</v>
      </c>
      <c r="B10" s="8" t="inlineStr">
        <is>
          <t>其他本次合同收入</t>
        </is>
      </c>
      <c r="C10" s="27" t="n"/>
      <c r="D10" s="9" t="inlineStr">
        <is>
          <t>本次直接收入</t>
        </is>
      </c>
      <c r="E10" s="9" t="inlineStr">
        <is>
          <t>合同明确归一滴水的其他项目</t>
        </is>
      </c>
    </row>
    <row r="12" ht="24" customHeight="1">
      <c r="A12" s="25" t="inlineStr">
        <is>
          <t>二、本次直接成本（从本次结果中扣减）</t>
        </is>
      </c>
      <c r="B12" s="26" t="n"/>
      <c r="C12" s="26" t="n"/>
      <c r="D12" s="26" t="n"/>
      <c r="E12" s="26" t="n"/>
    </row>
    <row r="13" ht="28" customHeight="1">
      <c r="A13" s="13" t="n">
        <v>1</v>
      </c>
      <c r="B13" s="8" t="inlineStr">
        <is>
          <t>餐饮及服务增量成本</t>
        </is>
      </c>
      <c r="C13" s="27" t="n"/>
      <c r="D13" s="9" t="inlineStr">
        <is>
          <t>本次直接成本</t>
        </is>
      </c>
      <c r="E13" s="9" t="inlineStr">
        <is>
          <t>对应由一滴水承担的餐饮成本</t>
        </is>
      </c>
    </row>
    <row r="14" ht="28" customHeight="1">
      <c r="A14" s="13" t="n">
        <v>2</v>
      </c>
      <c r="B14" s="8" t="inlineStr">
        <is>
          <t>能源、保洁、加班与耗材</t>
        </is>
      </c>
      <c r="C14" s="27" t="n"/>
      <c r="D14" s="9" t="inlineStr">
        <is>
          <t>本次直接成本</t>
        </is>
      </c>
      <c r="E14" s="9" t="inlineStr">
        <is>
          <t>活动带来的增量</t>
        </is>
      </c>
    </row>
    <row r="15" ht="28" customHeight="1">
      <c r="A15" s="13" t="n">
        <v>3</v>
      </c>
      <c r="B15" s="8" t="inlineStr">
        <is>
          <t>现场额外人力</t>
        </is>
      </c>
      <c r="C15" s="27" t="n"/>
      <c r="D15" s="9" t="inlineStr">
        <is>
          <t>本次直接成本</t>
        </is>
      </c>
      <c r="E15" s="9" t="inlineStr">
        <is>
          <t>一滴水额外派出的人员</t>
        </is>
      </c>
    </row>
    <row r="16" ht="28" customHeight="1">
      <c r="A16" s="13" t="n">
        <v>4</v>
      </c>
      <c r="B16" s="8" t="inlineStr">
        <is>
          <t>档期配合的直接支出</t>
        </is>
      </c>
      <c r="C16" s="27" t="n"/>
      <c r="D16" s="9" t="inlineStr">
        <is>
          <t>本次直接成本</t>
        </is>
      </c>
      <c r="E16" s="9" t="inlineStr">
        <is>
          <t>不含让渡的机会成本</t>
        </is>
      </c>
    </row>
    <row r="17" ht="28" customHeight="1">
      <c r="A17" s="13" t="n">
        <v>5</v>
      </c>
      <c r="B17" s="8" t="inlineStr">
        <is>
          <t>其他本次增量成本</t>
        </is>
      </c>
      <c r="C17" s="27" t="n"/>
      <c r="D17" s="9" t="inlineStr">
        <is>
          <t>本次直接成本</t>
        </is>
      </c>
      <c r="E17" s="9" t="inlineStr"/>
    </row>
    <row r="19" ht="24" customHeight="1">
      <c r="A19" s="25" t="inlineStr">
        <is>
          <t>三、单独列示（不进入本次直接经营结果）</t>
        </is>
      </c>
      <c r="B19" s="26" t="n"/>
      <c r="C19" s="26" t="n"/>
      <c r="D19" s="26" t="n"/>
      <c r="E19" s="26" t="n"/>
    </row>
    <row r="20" ht="28" customHeight="1">
      <c r="A20" s="13" t="n">
        <v>1</v>
      </c>
      <c r="B20" s="8" t="inlineStr">
        <is>
          <t>被占用原有订单的机会成本</t>
        </is>
      </c>
      <c r="C20" s="27" t="n"/>
      <c r="D20" s="9" t="inlineStr">
        <is>
          <t>单独列示</t>
        </is>
      </c>
      <c r="E20" s="9" t="inlineStr">
        <is>
          <t>不从上面的直接结果里自动扣减，供决策时对照</t>
        </is>
      </c>
    </row>
    <row r="21" ht="28" customHeight="1">
      <c r="A21" s="13" t="n">
        <v>2</v>
      </c>
      <c r="B21" s="8" t="inlineStr">
        <is>
          <t>未来订单的待成交金额</t>
        </is>
      </c>
      <c r="C21" s="27" t="n"/>
      <c r="D21" s="9" t="inlineStr">
        <is>
          <t>单独列示</t>
        </is>
      </c>
      <c r="E21" s="9" t="inlineStr">
        <is>
          <t>婚礼、生日、摄影、包场等，成交后再入账</t>
        </is>
      </c>
    </row>
    <row r="22" ht="28" customHeight="1">
      <c r="A22" s="13" t="n">
        <v>3</v>
      </c>
      <c r="B22" s="8" t="inlineStr">
        <is>
          <t>品牌传播参考价值</t>
        </is>
      </c>
      <c r="C22" s="27" t="n"/>
      <c r="D22" s="9" t="inlineStr">
        <is>
          <t>单独列示</t>
        </is>
      </c>
      <c r="E22" s="9" t="inlineStr">
        <is>
          <t>不货币化计入本次利润</t>
        </is>
      </c>
    </row>
    <row r="24" ht="24" customHeight="1">
      <c r="A24" s="28" t="inlineStr">
        <is>
          <t>四、本次直接经营结果</t>
        </is>
      </c>
      <c r="B24" s="28" t="n"/>
      <c r="C24" s="28" t="n"/>
      <c r="D24" s="28" t="n"/>
      <c r="E24" s="28" t="n"/>
    </row>
    <row r="25" ht="26" customHeight="1">
      <c r="A25" s="29" t="inlineStr"/>
      <c r="B25" s="30" t="inlineStr">
        <is>
          <t>直接收入合计</t>
        </is>
      </c>
      <c r="C25" s="31">
        <f>N(C6)+N(C7)+N(C8)+N(C9)+N(C10)</f>
        <v/>
      </c>
      <c r="D25" s="30" t="inlineStr">
        <is>
          <t>公式</t>
        </is>
      </c>
      <c r="E25" s="30" t="inlineStr">
        <is>
          <t>只加总本次直接收入</t>
        </is>
      </c>
    </row>
    <row r="26" ht="26" customHeight="1">
      <c r="A26" s="29" t="inlineStr"/>
      <c r="B26" s="30" t="inlineStr">
        <is>
          <t>直接成本合计</t>
        </is>
      </c>
      <c r="C26" s="31">
        <f>N(C13)+N(C14)+N(C15)+N(C16)+N(C17)</f>
        <v/>
      </c>
      <c r="D26" s="30" t="inlineStr">
        <is>
          <t>公式</t>
        </is>
      </c>
      <c r="E26" s="30" t="inlineStr">
        <is>
          <t>只加总本次直接成本</t>
        </is>
      </c>
    </row>
    <row r="27" ht="26" customHeight="1">
      <c r="A27" s="29" t="inlineStr"/>
      <c r="B27" s="30" t="inlineStr">
        <is>
          <t>本次直接经营结果</t>
        </is>
      </c>
      <c r="C27" s="31">
        <f>N(C25)-N(C26)</f>
        <v/>
      </c>
      <c r="D27" s="30" t="inlineStr">
        <is>
          <t>公式</t>
        </is>
      </c>
      <c r="E27" s="30" t="inlineStr">
        <is>
          <t>不含机会成本，不含未来订单</t>
        </is>
      </c>
    </row>
    <row r="29">
      <c r="A29" s="10" t="inlineStr">
        <is>
          <t>五、填写状态与决策提示</t>
        </is>
      </c>
    </row>
    <row r="30">
      <c r="A30" s="6" t="n"/>
      <c r="B30" s="6" t="inlineStr">
        <is>
          <t>已填写的金额项</t>
        </is>
      </c>
      <c r="C30" s="32">
        <f>COUNTA(C6,C7,C8,C9,C10,C13,C14,C15,C16,C17)</f>
        <v/>
      </c>
      <c r="D30" s="6" t="inlineStr">
        <is>
          <t>公式</t>
        </is>
      </c>
      <c r="E30" s="6" t="inlineStr">
        <is>
          <t>收入和成本共 10 项。0 也算已填写。</t>
        </is>
      </c>
    </row>
    <row r="31" ht="24" customHeight="1">
      <c r="A31" s="20" t="n"/>
      <c r="B31" s="20" t="inlineStr">
        <is>
          <t>测算状态</t>
        </is>
      </c>
      <c r="C31" s="20">
        <f>IF(C30=0,"尚未填写","已录入金额，请核对口径后再判断")</f>
        <v/>
      </c>
      <c r="D31" s="20" t="n"/>
      <c r="E31" s="20" t="n"/>
    </row>
    <row r="33" ht="22" customHeight="1">
      <c r="A33" s="33" t="inlineStr">
        <is>
          <t>直接经营结果为正，只说明本次合同收入覆盖了本次增量成本，还要对照第三部分的机会成本。</t>
        </is>
      </c>
    </row>
    <row r="34" ht="22" customHeight="1">
      <c r="A34" s="33" t="inlineStr">
        <is>
          <t>直接经营结果为负时，请写明一滴水认可的市场投入上限，并对应宣传、客资和后续合作权益。</t>
        </is>
      </c>
    </row>
    <row r="35" ht="22" customHeight="1">
      <c r="A35" s="33" t="inlineStr">
        <is>
          <t>第三部分即使填写了数字，也不会改变第四部分的结果。未来订单成交后，再记入后续经营，不回写本次活动利润。</t>
        </is>
      </c>
    </row>
    <row r="36" ht="22" customHeight="1">
      <c r="A36" s="33" t="inlineStr">
        <is>
          <t>品牌传播不在本表货币化。传播效果用「15-评估指标」中的可核查数据复盘。</t>
        </is>
      </c>
    </row>
    <row r="37" ht="22" customHeight="1">
      <c r="A37" s="33" t="inlineStr">
        <is>
          <t>本表不替代报价单或合同。场地租金、餐饮最低消费和分成比例，以双方盖章文本为准。</t>
        </is>
      </c>
    </row>
  </sheetData>
  <mergeCells count="14">
    <mergeCell ref="A34:E34"/>
    <mergeCell ref="A12:E12"/>
    <mergeCell ref="A29:E29"/>
    <mergeCell ref="A35:E35"/>
    <mergeCell ref="A24:E24"/>
    <mergeCell ref="A2:E2"/>
    <mergeCell ref="C31:E31"/>
    <mergeCell ref="A19:E19"/>
    <mergeCell ref="A33:E33"/>
    <mergeCell ref="A1:E1"/>
    <mergeCell ref="A5:E5"/>
    <mergeCell ref="A37:E37"/>
    <mergeCell ref="A36:E36"/>
    <mergeCell ref="A3:E3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北外滩尚9·一滴水&amp;C&amp;R收益测算</oddHeader>
    <oddFooter>&amp;L内部研讨稿  ·  计划目标不等于已兑现结果&amp;R第 &amp;P 页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0E2438"/>
    <outlinePr summaryBelow="1" summaryRight="1"/>
    <pageSetUpPr fitToPage="1"/>
  </sheetPr>
  <dimension ref="A1:E1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12" customWidth="1" min="1" max="1"/>
    <col width="18" customWidth="1" min="2" max="2"/>
    <col width="28" customWidth="1" min="3" max="3"/>
    <col width="55" customWidth="1" min="4" max="4"/>
    <col width="36" customWidth="1" min="5" max="5"/>
  </cols>
  <sheetData>
    <row r="1" ht="28" customHeight="1">
      <c r="A1" s="1" t="inlineStr">
        <is>
          <t>主题区与互动</t>
        </is>
      </c>
      <c r="B1" s="2" t="n"/>
      <c r="C1" s="2" t="n"/>
      <c r="D1" s="2" t="n"/>
      <c r="E1" s="2" t="n"/>
    </row>
    <row r="2" ht="32" customHeight="1">
      <c r="A2" s="3" t="inlineStr">
        <is>
          <t>色彩为原稿创意。角色形象、标识、官方素材和衍生展示，完成知识产权审核后才能使用。阿戈尔联络站的 AR 和数字内容，需要授权与技术支持。</t>
        </is>
      </c>
      <c r="B2" s="2" t="n"/>
      <c r="C2" s="2" t="n"/>
      <c r="D2" s="2" t="n"/>
      <c r="E2" s="2" t="n"/>
    </row>
    <row r="3" ht="6" customHeight="1">
      <c r="A3" s="4" t="inlineStr"/>
      <c r="B3" s="4" t="n"/>
      <c r="C3" s="4" t="n"/>
      <c r="D3" s="4" t="n"/>
      <c r="E3" s="4" t="n"/>
    </row>
    <row r="4" ht="24" customHeight="1">
      <c r="A4" s="5" t="inlineStr">
        <is>
          <t>类别</t>
        </is>
      </c>
      <c r="B4" s="5" t="inlineStr">
        <is>
          <t>名称或编号</t>
        </is>
      </c>
      <c r="C4" s="5" t="inlineStr">
        <is>
          <t>主题</t>
        </is>
      </c>
      <c r="D4" s="5" t="inlineStr">
        <is>
          <t>色彩或玩法</t>
        </is>
      </c>
      <c r="E4" s="5" t="inlineStr">
        <is>
          <t>空间作用</t>
        </is>
      </c>
    </row>
    <row r="5" ht="32" customHeight="1">
      <c r="A5" s="11" t="inlineStr">
        <is>
          <t>主题区</t>
        </is>
      </c>
      <c r="B5" s="6" t="inlineStr">
        <is>
          <t>深海猎人</t>
        </is>
      </c>
      <c r="C5" s="7" t="inlineStr">
        <is>
          <t>阿戈尔前沿营地</t>
        </is>
      </c>
      <c r="D5" s="7" t="inlineStr">
        <is>
          <t>银白冷蓝 #E0E5EC、深海蓝 #2A5C8A、科技蓝 #4FC3F7</t>
        </is>
      </c>
      <c r="E5" s="7" t="inlineStr">
        <is>
          <t>帐篷、木箱、渔网、科技装饰、主题旗帜，形成深海探索营地。角色主题展示、互动任务、主题摄影和交流。</t>
        </is>
      </c>
    </row>
    <row r="6" ht="32" customHeight="1">
      <c r="A6" s="13" t="inlineStr">
        <is>
          <t>主题区</t>
        </is>
      </c>
      <c r="B6" s="8" t="inlineStr">
        <is>
          <t>伊比利亚</t>
        </is>
      </c>
      <c r="C6" s="9" t="inlineStr">
        <is>
          <t>灯塔与港都</t>
        </is>
      </c>
      <c r="D6" s="9" t="inlineStr">
        <is>
          <t>锈金 #C9A84C、暖金棕 #8B7A4A、审判白 #E8E0D0、深海军蓝 #1B2A4A</t>
        </is>
      </c>
      <c r="E6" s="9" t="inlineStr">
        <is>
          <t>白色灯塔立牌、金色灯光、主题许愿墙和港口风格装饰。兼顾仪式感、历史感和艺术感的主题空间。</t>
        </is>
      </c>
    </row>
    <row r="7" ht="32" customHeight="1">
      <c r="A7" s="11" t="inlineStr">
        <is>
          <t>主题区</t>
        </is>
      </c>
      <c r="B7" s="6" t="inlineStr">
        <is>
          <t>海嗣</t>
        </is>
      </c>
      <c r="C7" s="7" t="inlineStr">
        <is>
          <t>溟痕深渊</t>
        </is>
      </c>
      <c r="D7" s="7" t="inlineStr">
        <is>
          <t>深渊黑 #0D0D0D、溟痕紫 #2D1B69、海嗣绿 #1B4332、苍白色 #C8D6E5</t>
        </is>
      </c>
      <c r="E7" s="7" t="inlineStr">
        <is>
          <t>珊瑚、贝壳、水纹、光影装置及艺术化展示道具。突出沉浸感、主题摄影和互动体验。</t>
        </is>
      </c>
    </row>
    <row r="8" ht="32" customHeight="1">
      <c r="A8" s="13" t="inlineStr">
        <is>
          <t>互动</t>
        </is>
      </c>
      <c r="B8" s="8" t="inlineStr">
        <is>
          <t>01 深蓝抉择台</t>
        </is>
      </c>
      <c r="C8" s="9" t="inlineStr">
        <is>
          <t>—</t>
        </is>
      </c>
      <c r="D8" s="9" t="inlineStr">
        <is>
          <t>按主题剧情做选择并完成任务，获得纪念徽章或其他奖励。</t>
        </is>
      </c>
      <c r="E8" s="9" t="inlineStr">
        <is>
          <t>奖励或纪念内容见玩法说明</t>
        </is>
      </c>
    </row>
    <row r="9" ht="32" customHeight="1">
      <c r="A9" s="11" t="inlineStr">
        <is>
          <t>互动</t>
        </is>
      </c>
      <c r="B9" s="6" t="inlineStr">
        <is>
          <t>02 灯塔信号解码</t>
        </is>
      </c>
      <c r="C9" s="7" t="inlineStr">
        <is>
          <t>—</t>
        </is>
      </c>
      <c r="D9" s="7" t="inlineStr">
        <is>
          <t>以摩斯密码、图案解码等智力互动获取线索，兑换限定纪念品。</t>
        </is>
      </c>
      <c r="E9" s="7" t="inlineStr">
        <is>
          <t>奖励或纪念内容见玩法说明</t>
        </is>
      </c>
    </row>
    <row r="10" ht="32" customHeight="1">
      <c r="A10" s="13" t="inlineStr">
        <is>
          <t>互动</t>
        </is>
      </c>
      <c r="B10" s="8" t="inlineStr">
        <is>
          <t>03 猎人速判训练</t>
        </is>
      </c>
      <c r="C10" s="9" t="inlineStr">
        <is>
          <t>—</t>
        </is>
      </c>
      <c r="D10" s="9" t="inlineStr">
        <is>
          <t>模拟任务和快速反应挑战，完成后获得主题认证卡或纪念证书。</t>
        </is>
      </c>
      <c r="E10" s="9" t="inlineStr">
        <is>
          <t>奖励或纪念内容见玩法说明</t>
        </is>
      </c>
    </row>
    <row r="11" ht="32" customHeight="1">
      <c r="A11" s="11" t="inlineStr">
        <is>
          <t>互动</t>
        </is>
      </c>
      <c r="B11" s="6" t="inlineStr">
        <is>
          <t>04 深蓝之树祈愿墙</t>
        </is>
      </c>
      <c r="C11" s="7" t="inlineStr">
        <is>
          <t>—</t>
        </is>
      </c>
      <c r="D11" s="7" t="inlineStr">
        <is>
          <t>写下祝福、愿望或纪念内容，形成集体创作和情感交流。</t>
        </is>
      </c>
      <c r="E11" s="7" t="inlineStr">
        <is>
          <t>奖励或纪念内容见玩法说明</t>
        </is>
      </c>
    </row>
    <row r="12" ht="32" customHeight="1">
      <c r="A12" s="13" t="inlineStr">
        <is>
          <t>互动</t>
        </is>
      </c>
      <c r="B12" s="8" t="inlineStr">
        <is>
          <t>05 港城打捞站</t>
        </is>
      </c>
      <c r="C12" s="9" t="inlineStr">
        <is>
          <t>—</t>
        </is>
      </c>
      <c r="D12" s="9" t="inlineStr">
        <is>
          <t>以港口探索为线索，通过模拟打捞或抽取获得主题纪念品。</t>
        </is>
      </c>
      <c r="E12" s="9" t="inlineStr">
        <is>
          <t>奖励或纪念内容见玩法说明</t>
        </is>
      </c>
    </row>
    <row r="13" ht="32" customHeight="1">
      <c r="A13" s="11" t="inlineStr">
        <is>
          <t>互动</t>
        </is>
      </c>
      <c r="B13" s="6" t="inlineStr">
        <is>
          <t>06 阿戈尔联络站</t>
        </is>
      </c>
      <c r="C13" s="7" t="inlineStr">
        <is>
          <t>—</t>
        </is>
      </c>
      <c r="D13" s="7" t="inlineStr">
        <is>
          <t>在取得内容授权和技术支持后，探索 AR 扫描和数字互动剧情。</t>
        </is>
      </c>
      <c r="E13" s="7" t="inlineStr">
        <is>
          <t>奖励或纪念内容见玩法说明</t>
        </is>
      </c>
    </row>
    <row r="14" ht="32" customHeight="1">
      <c r="A14" s="13" t="inlineStr">
        <is>
          <t>互动</t>
        </is>
      </c>
      <c r="B14" s="8" t="inlineStr">
        <is>
          <t>07 猎人档案站</t>
        </is>
      </c>
      <c r="C14" s="9" t="inlineStr">
        <is>
          <t>—</t>
        </is>
      </c>
      <c r="D14" s="9" t="inlineStr">
        <is>
          <t>主题知识问答与资料展示，集章后获得纪念贴纸等物料。</t>
        </is>
      </c>
      <c r="E14" s="9" t="inlineStr">
        <is>
          <t>奖励或纪念内容见玩法说明</t>
        </is>
      </c>
    </row>
    <row r="15" ht="32" customHeight="1">
      <c r="A15" s="11" t="inlineStr">
        <is>
          <t>互动</t>
        </is>
      </c>
      <c r="B15" s="6" t="inlineStr">
        <is>
          <t>08 潮声留言站</t>
        </is>
      </c>
      <c r="C15" s="7" t="inlineStr">
        <is>
          <t>—</t>
        </is>
      </c>
      <c r="D15" s="7" t="inlineStr">
        <is>
          <t>文字、语音或数字留言，生成主题纪念卡。优秀内容经授权后可用于回顾。</t>
        </is>
      </c>
      <c r="E15" s="7" t="inlineStr">
        <is>
          <t>奖励或纪念内容见玩法说明</t>
        </is>
      </c>
    </row>
  </sheetData>
  <autoFilter ref="A4:E15"/>
  <mergeCells count="3">
    <mergeCell ref="A2:E2"/>
    <mergeCell ref="A1:E1"/>
    <mergeCell ref="A3:E3"/>
  </mergeCells>
  <pageMargins left="0.5" right="0.5" top="0.7" bottom="0.6" header="0.3" footer="0.3"/>
  <pageSetup orientation="landscape" paperSize="9" fitToHeight="0" fitToWidth="1"/>
  <headerFooter>
    <oddHeader>&amp;L潮起潮落 TIDELINE × 北外滩尚9·一滴水&amp;C&amp;R主题区与互动</oddHeader>
    <oddFooter>&amp;L内部研讨稿  ·  计划目标不等于已兑现结果&amp;R第 &amp;P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潮起潮落 TIDELINE × 北外滩尚9·一滴水 方案附表</dc:title>
  <dc:subject xmlns:dc="http://purl.org/dc/elements/1.1/">综合合作方案配套工作簿</dc:subject>
  <dcterms:created xmlns:dcterms="http://purl.org/dc/terms/" xmlns:xsi="http://www.w3.org/2001/XMLSchema-instance" xsi:type="dcterms:W3CDTF">2026-10-16T09:22:32Z</dcterms:created>
  <dcterms:modified xmlns:dcterms="http://purl.org/dc/terms/" xmlns:xsi="http://www.w3.org/2001/XMLSchema-instance" xsi:type="dcterms:W3CDTF">2026-10-16T09:22:32Z</dcterms:modified>
  <cp:category>内部研讨稿</cp:category>
  <cp:keywords>一滴水,TIDELINE,赞助,测算</cp:keywords>
</cp:coreProperties>
</file>