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Dashboard" sheetId="1" state="visible" r:id="rId1"/>
    <sheet xmlns:r="http://schemas.openxmlformats.org/officeDocument/2006/relationships" name="01 会议纪要梗概" sheetId="2" state="visible" r:id="rId2"/>
    <sheet xmlns:r="http://schemas.openxmlformats.org/officeDocument/2006/relationships" name="02 七至十二月倒排计划" sheetId="3" state="visible" r:id="rId3"/>
    <sheet xmlns:r="http://schemas.openxmlformats.org/officeDocument/2006/relationships" name="03 寒假主活动执行" sheetId="4" state="visible" r:id="rId4"/>
    <sheet xmlns:r="http://schemas.openxmlformats.org/officeDocument/2006/relationships" name="04 合作方对接清单" sheetId="5" state="visible" r:id="rId5"/>
    <sheet xmlns:r="http://schemas.openxmlformats.org/officeDocument/2006/relationships" name="05 预算明细" sheetId="6" state="visible" r:id="rId6"/>
    <sheet xmlns:r="http://schemas.openxmlformats.org/officeDocument/2006/relationships" name="06 品牌调研跟踪" sheetId="7" state="visible" r:id="rId7"/>
    <sheet xmlns:r="http://schemas.openxmlformats.org/officeDocument/2006/relationships" name="07 风险预案" sheetId="8" state="visible" r:id="rId8"/>
    <sheet xmlns:r="http://schemas.openxmlformats.org/officeDocument/2006/relationships" name="08 KPI考核" sheetId="9" state="visible" r:id="rId9"/>
    <sheet xmlns:r="http://schemas.openxmlformats.org/officeDocument/2006/relationships" name="09 待讨论事项" sheetId="10" state="visible" r:id="rId10"/>
  </sheets>
  <definedNames>
    <definedName name="_xlnm._FilterDatabase" localSheetId="2" hidden="1">'02 七至十二月倒排计划'!$A$4:$K$32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A5A7A"/>
      <sz val="10"/>
    </font>
    <font>
      <name val="微软雅黑"/>
      <b val="1"/>
      <color rgb="00FFFFFF"/>
      <sz val="12"/>
    </font>
    <font>
      <name val="微软雅黑"/>
      <b val="1"/>
      <color rgb="002D1B3D"/>
    </font>
    <font>
      <name val="微软雅黑"/>
      <color rgb="002D1B3D"/>
    </font>
    <font>
      <name val="微软雅黑"/>
      <b val="1"/>
      <color rgb="00FFFFFF"/>
      <sz val="11"/>
    </font>
    <font>
      <name val="微软雅黑"/>
      <color rgb="002D1B3D"/>
      <sz val="10"/>
    </font>
    <font>
      <name val="微软雅黑"/>
      <b val="1"/>
      <color rgb="002D1B3D"/>
      <sz val="10"/>
    </font>
  </fonts>
  <fills count="14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7B1FA2"/>
      </patternFill>
    </fill>
    <fill>
      <patternFill patternType="solid">
        <fgColor rgb="00EDE7F6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CE93D8"/>
      </patternFill>
    </fill>
    <fill>
      <patternFill patternType="solid">
        <fgColor rgb="00BA68C8"/>
      </patternFill>
    </fill>
    <fill>
      <patternFill patternType="solid">
        <fgColor rgb="00AB47BC"/>
      </patternFill>
    </fill>
    <fill>
      <patternFill patternType="solid">
        <fgColor rgb="00C0392B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155724"/>
      </font>
      <fill>
        <patternFill patternType="solid">
          <fgColor rgb="00D4EDDA"/>
        </patternFill>
      </fill>
    </dxf>
    <dxf>
      <font>
        <b val="1"/>
        <color rgb="00721C24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 ht="36" customHeight="1">
      <c r="A1" s="1" t="inlineStr">
        <is>
          <t>AI+机器人轻资产创业活动 · 总览 Dashboard</t>
        </is>
      </c>
    </row>
    <row r="2" ht="20" customHeight="1">
      <c r="A2" s="2" t="inlineStr">
        <is>
          <t>寒假研学营为主节点  |  七至十二月倒排筹备  |  讨论稿 V1.0</t>
        </is>
      </c>
    </row>
    <row r="4" ht="24" customHeight="1">
      <c r="A4" s="3" t="inlineStr">
        <is>
          <t>一、项目基本信息</t>
        </is>
      </c>
    </row>
    <row r="5">
      <c r="A5" s="4" t="inlineStr">
        <is>
          <t>项目名称</t>
        </is>
      </c>
      <c r="B5" s="5" t="inlineStr">
        <is>
          <t>「智创未来」寒假 AI+机器人科创研学营（青岛黄岛试点）</t>
        </is>
      </c>
    </row>
    <row r="6">
      <c r="A6" s="4" t="inlineStr">
        <is>
          <t>核心策略</t>
        </is>
      </c>
      <c r="B6" s="5" t="inlineStr">
        <is>
          <t>轻资产 · 研学切入 · 资源池×产品×客群对齐 · 游击战营销</t>
        </is>
      </c>
    </row>
    <row r="7">
      <c r="A7" s="4" t="inlineStr">
        <is>
          <t>主活动窗口</t>
        </is>
      </c>
      <c r="B7" s="5" t="inlineStr">
        <is>
          <t>2026年1月中下旬—2月（寒假）</t>
        </is>
      </c>
    </row>
    <row r="8">
      <c r="A8" s="4" t="inlineStr">
        <is>
          <t>筹备周期</t>
        </is>
      </c>
      <c r="B8" s="5" t="inlineStr">
        <is>
          <t>2025年7月—12月（倒排六个月）</t>
        </is>
      </c>
    </row>
    <row r="9">
      <c r="A9" s="4" t="inlineStr">
        <is>
          <t>目标客群</t>
        </is>
      </c>
      <c r="B9" s="5" t="inlineStr">
        <is>
          <t>研学学生/教育机构 + 活动公司/商场 B 端</t>
        </is>
      </c>
    </row>
    <row r="10">
      <c r="A10" s="4" t="inlineStr">
        <is>
          <t>暂缓事项</t>
        </is>
      </c>
      <c r="B10" s="5" t="inlineStr">
        <is>
          <t>展厅建设、国企混改、50万级代理买断</t>
        </is>
      </c>
    </row>
    <row r="11">
      <c r="A11" s="4" t="inlineStr">
        <is>
          <t>建议合作</t>
        </is>
      </c>
      <c r="B11" s="5" t="inlineStr">
        <is>
          <t>高校/中航科幻科普中心（内容背书）+ 黄岛区科技企业（设备演示）</t>
        </is>
      </c>
    </row>
    <row r="12">
      <c r="A12" s="4" t="inlineStr">
        <is>
          <t>轻资产预算</t>
        </is>
      </c>
      <c r="B12" s="5" t="inlineStr">
        <is>
          <t>37—60 万元（首年验证期，不含代理买断）</t>
        </is>
      </c>
    </row>
    <row r="14" ht="24" customHeight="1">
      <c r="A14" s="6" t="inlineStr">
        <is>
          <t>二、月度里程碑一览</t>
        </is>
      </c>
    </row>
    <row r="15" ht="26" customHeight="1">
      <c r="A15" s="7" t="inlineStr">
        <is>
          <t>月份</t>
        </is>
      </c>
      <c r="B15" s="7" t="inlineStr">
        <is>
          <t>阶段</t>
        </is>
      </c>
      <c r="C15" s="7" t="inlineStr">
        <is>
          <t>关键交付</t>
        </is>
      </c>
      <c r="D15" s="7" t="inlineStr">
        <is>
          <t>状态</t>
        </is>
      </c>
      <c r="E15" s="7" t="inlineStr">
        <is>
          <t>负责人</t>
        </is>
      </c>
      <c r="F15" s="7" t="inlineStr">
        <is>
          <t>备注</t>
        </is>
      </c>
    </row>
    <row r="16">
      <c r="A16" s="8" t="inlineStr">
        <is>
          <t>7月</t>
        </is>
      </c>
      <c r="B16" s="8" t="inlineStr">
        <is>
          <t>战略对齐</t>
        </is>
      </c>
      <c r="C16" s="8" t="inlineStr">
        <is>
          <t>策划案定稿、品牌调研启动、研学资源盘点</t>
        </is>
      </c>
      <c r="D16" s="8" t="inlineStr">
        <is>
          <t>未开始</t>
        </is>
      </c>
      <c r="E16" s="8" t="inlineStr"/>
      <c r="F16" s="8" t="inlineStr">
        <is>
          <t>本表讨论起点</t>
        </is>
      </c>
    </row>
    <row r="17">
      <c r="A17" s="8" t="inlineStr">
        <is>
          <t>8月</t>
        </is>
      </c>
      <c r="B17" s="8" t="inlineStr">
        <is>
          <t>资源对接</t>
        </is>
      </c>
      <c r="C17" s="8" t="inlineStr">
        <is>
          <t>协会入会、高校/企业意向书、团队分工</t>
        </is>
      </c>
      <c r="D17" s="8" t="inlineStr">
        <is>
          <t>未开始</t>
        </is>
      </c>
      <c r="E17" s="8" t="inlineStr"/>
      <c r="F17" s="8" t="inlineStr"/>
    </row>
    <row r="18">
      <c r="A18" s="8" t="inlineStr">
        <is>
          <t>9月</t>
        </is>
      </c>
      <c r="B18" s="8" t="inlineStr">
        <is>
          <t>试点验证</t>
        </is>
      </c>
      <c r="C18" s="8" t="inlineStr">
        <is>
          <t>2-3场体验活动、代理政策比选、试点复盘</t>
        </is>
      </c>
      <c r="D18" s="8" t="inlineStr">
        <is>
          <t>未开始</t>
        </is>
      </c>
      <c r="E18" s="8" t="inlineStr"/>
      <c r="F18" s="8" t="inlineStr"/>
    </row>
    <row r="19">
      <c r="A19" s="8" t="inlineStr">
        <is>
          <t>10月</t>
        </is>
      </c>
      <c r="B19" s="8" t="inlineStr">
        <is>
          <t>产品封装</t>
        </is>
      </c>
      <c r="C19" s="8" t="inlineStr">
        <is>
          <t>课程包、PPT/视频物料、报价体系</t>
        </is>
      </c>
      <c r="D19" s="8" t="inlineStr">
        <is>
          <t>未开始</t>
        </is>
      </c>
      <c r="E19" s="8" t="inlineStr"/>
      <c r="F19" s="8" t="inlineStr"/>
    </row>
    <row r="20">
      <c r="A20" s="8" t="inlineStr">
        <is>
          <t>11月</t>
        </is>
      </c>
      <c r="B20" s="8" t="inlineStr">
        <is>
          <t>招生预热</t>
        </is>
      </c>
      <c r="C20" s="8" t="inlineStr">
        <is>
          <t>机构签约、报名数据、体验课开放日</t>
        </is>
      </c>
      <c r="D20" s="8" t="inlineStr">
        <is>
          <t>未开始</t>
        </is>
      </c>
      <c r="E20" s="8" t="inlineStr"/>
      <c r="F20" s="8" t="inlineStr">
        <is>
          <t>设最低开班线</t>
        </is>
      </c>
    </row>
    <row r="21">
      <c r="A21" s="8" t="inlineStr">
        <is>
          <t>12月</t>
        </is>
      </c>
      <c r="B21" s="8" t="inlineStr">
        <is>
          <t>冲刺彩排</t>
        </is>
      </c>
      <c r="C21" s="8" t="inlineStr">
        <is>
          <t>场地确认、全流程彩排、寒假最终排期</t>
        </is>
      </c>
      <c r="D21" s="8" t="inlineStr">
        <is>
          <t>未开始</t>
        </is>
      </c>
      <c r="E21" s="8" t="inlineStr"/>
      <c r="F21" s="8" t="inlineStr"/>
    </row>
    <row r="22">
      <c r="A22" s="8" t="inlineStr">
        <is>
          <t>1-2月</t>
        </is>
      </c>
      <c r="B22" s="8" t="inlineStr">
        <is>
          <t>寒假执行</t>
        </is>
      </c>
      <c r="C22" s="8" t="inlineStr">
        <is>
          <t>3-5期研学营、收入结算、复盘</t>
        </is>
      </c>
      <c r="D22" s="8" t="inlineStr">
        <is>
          <t>未开始</t>
        </is>
      </c>
      <c r="E22" s="8" t="inlineStr"/>
      <c r="F22" s="8" t="inlineStr">
        <is>
          <t>主活动窗口</t>
        </is>
      </c>
    </row>
    <row r="24" ht="24" customHeight="1">
      <c r="A24" s="3" t="inlineStr">
        <is>
          <t>三、核心 KPI 目标</t>
        </is>
      </c>
    </row>
    <row r="25" ht="26" customHeight="1">
      <c r="A25" s="7" t="inlineStr">
        <is>
          <t>维度</t>
        </is>
      </c>
      <c r="B25" s="7" t="inlineStr">
        <is>
          <t>指标</t>
        </is>
      </c>
      <c r="C25" s="7" t="inlineStr">
        <is>
          <t>目标值</t>
        </is>
      </c>
      <c r="D25" s="7" t="inlineStr">
        <is>
          <t>实际值</t>
        </is>
      </c>
      <c r="E25" s="7" t="inlineStr">
        <is>
          <t>完成率</t>
        </is>
      </c>
      <c r="F25" s="7" t="inlineStr">
        <is>
          <t>状态</t>
        </is>
      </c>
    </row>
    <row r="26">
      <c r="A26" s="9" t="inlineStr">
        <is>
          <t>招生</t>
        </is>
      </c>
      <c r="B26" s="10" t="inlineStr">
        <is>
          <t>寒假营总人次</t>
        </is>
      </c>
      <c r="C26" s="10" t="n">
        <v>150</v>
      </c>
      <c r="D26" s="10" t="n">
        <v>0</v>
      </c>
      <c r="E26" s="11">
        <f>IFERROR(D26/C26,0)</f>
        <v/>
      </c>
      <c r="F26" s="10">
        <f>IF(D26=0,"未开始",IF(E26&gt;=1,"达成",IF(E26&gt;=0.7,"进行中","风险")))</f>
        <v/>
      </c>
    </row>
    <row r="27">
      <c r="A27" s="9" t="inlineStr">
        <is>
          <t>收入</t>
        </is>
      </c>
      <c r="B27" s="10" t="inlineStr">
        <is>
          <t>活动总收入（元）</t>
        </is>
      </c>
      <c r="C27" s="10" t="n">
        <v>150000</v>
      </c>
      <c r="D27" s="10" t="n">
        <v>0</v>
      </c>
      <c r="E27" s="11">
        <f>IFERROR(D27/C27,0)</f>
        <v/>
      </c>
      <c r="F27" s="10">
        <f>IF(D27=0,"未开始",IF(E27&gt;=1,"达成",IF(E27&gt;=0.7,"进行中","风险")))</f>
        <v/>
      </c>
    </row>
    <row r="28">
      <c r="A28" s="9" t="inlineStr">
        <is>
          <t>渠道</t>
        </is>
      </c>
      <c r="B28" s="10" t="inlineStr">
        <is>
          <t>签约研学机构（家）</t>
        </is>
      </c>
      <c r="C28" s="10" t="n">
        <v>3</v>
      </c>
      <c r="D28" s="10" t="n">
        <v>0</v>
      </c>
      <c r="E28" s="11">
        <f>IFERROR(D28/C28,0)</f>
        <v/>
      </c>
      <c r="F28" s="10">
        <f>IF(D28=0,"未开始",IF(E28&gt;=1,"达成",IF(E28&gt;=0.7,"进行中","风险")))</f>
        <v/>
      </c>
    </row>
    <row r="29">
      <c r="A29" s="9" t="inlineStr">
        <is>
          <t>合作</t>
        </is>
      </c>
      <c r="B29" s="10" t="inlineStr">
        <is>
          <t>联合高校/企业（家）</t>
        </is>
      </c>
      <c r="C29" s="10" t="n">
        <v>2</v>
      </c>
      <c r="D29" s="10" t="n">
        <v>0</v>
      </c>
      <c r="E29" s="11">
        <f>IFERROR(D29/C29,0)</f>
        <v/>
      </c>
      <c r="F29" s="10">
        <f>IF(D29=0,"未开始",IF(E29&gt;=1,"达成",IF(E29&gt;=0.7,"进行中","风险")))</f>
        <v/>
      </c>
    </row>
    <row r="30">
      <c r="A30" s="9" t="inlineStr">
        <is>
          <t>转化</t>
        </is>
      </c>
      <c r="B30" s="10" t="inlineStr">
        <is>
          <t>算力/课程续费用户</t>
        </is>
      </c>
      <c r="C30" s="10" t="n">
        <v>30</v>
      </c>
      <c r="D30" s="10" t="n">
        <v>0</v>
      </c>
      <c r="E30" s="11">
        <f>IFERROR(D30/C30,0)</f>
        <v/>
      </c>
      <c r="F30" s="10">
        <f>IF(D30=0,"未开始",IF(E30&gt;=1,"达成",IF(E30&gt;=0.7,"进行中","风险")))</f>
        <v/>
      </c>
    </row>
    <row r="31">
      <c r="A31" s="9" t="inlineStr">
        <is>
          <t>成本</t>
        </is>
      </c>
      <c r="B31" s="10" t="inlineStr">
        <is>
          <t>单场活动毛利率（%）</t>
        </is>
      </c>
      <c r="C31" s="10" t="n">
        <v>25</v>
      </c>
      <c r="D31" s="10" t="n">
        <v>0</v>
      </c>
      <c r="E31" s="11">
        <f>IFERROR(D31/C31,0)</f>
        <v/>
      </c>
      <c r="F31" s="10">
        <f>IF(D31=0,"未开始",IF(E31&gt;=1,"达成",IF(E31&gt;=0.7,"进行中","风险")))</f>
        <v/>
      </c>
    </row>
  </sheetData>
  <mergeCells count="13">
    <mergeCell ref="B6:M6"/>
    <mergeCell ref="A14:M14"/>
    <mergeCell ref="B7:M7"/>
    <mergeCell ref="A1:M1"/>
    <mergeCell ref="B10:M10"/>
    <mergeCell ref="B11:M11"/>
    <mergeCell ref="B5:M5"/>
    <mergeCell ref="A4:M4"/>
    <mergeCell ref="B8:M8"/>
    <mergeCell ref="B9:M9"/>
    <mergeCell ref="A24:M24"/>
    <mergeCell ref="A2:M2"/>
    <mergeCell ref="B12:M12"/>
  </mergeCells>
  <conditionalFormatting sqref="F26:F31">
    <cfRule type="cellIs" priority="1" operator="equal" dxfId="0">
      <formula>"达成"</formula>
    </cfRule>
    <cfRule type="cellIs" priority="2" operator="equal" dxfId="1">
      <formula>"风险"</formula>
    </cfRule>
  </conditionalFormatting>
  <dataValidations count="1">
    <dataValidation sqref="D16:D22" showDropDown="0" showInputMessage="0" showErrorMessage="0" allowBlank="1" error="请从下拉列表选择状态" type="list">
      <formula1>"未开始,进行中,已完成,延期,取消"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会议纪要梗概</t>
        </is>
      </c>
    </row>
    <row r="2" ht="20" customHeight="1">
      <c r="A2" s="2" t="inlineStr">
        <is>
          <t>基于《AI与机器人创业方向探讨》两份材料整理</t>
        </is>
      </c>
    </row>
    <row r="4" ht="24" customHeight="1">
      <c r="A4" s="6" t="inlineStr">
        <is>
          <t>行业转型</t>
        </is>
      </c>
    </row>
    <row r="5" ht="28" customHeight="1">
      <c r="A5" s="8" t="inlineStr">
        <is>
          <t>• 地产行业将长期横盘/下滑，不宜再作主业，仅作辅助变现</t>
        </is>
      </c>
    </row>
    <row r="6" ht="28" customHeight="1">
      <c r="A6" s="8" t="inlineStr">
        <is>
          <t>• 中国经济进入资本科技驱动阶段，须转向轻资产科技赛道</t>
        </is>
      </c>
    </row>
    <row r="7" ht="28" customHeight="1">
      <c r="A7" s="8" t="inlineStr">
        <is>
          <t>• 团队存在地产思维惯性：依赖政府关系、重资产展厅、走捷径</t>
        </is>
      </c>
    </row>
    <row r="9" ht="24" customHeight="1">
      <c r="A9" s="6" t="inlineStr">
        <is>
          <t>资源与客群</t>
        </is>
      </c>
    </row>
    <row r="10" ht="28" customHeight="1">
      <c r="A10" s="8" t="inlineStr">
        <is>
          <t>• 三要素对齐：资源池、产品、客群（如同当年卖房逻辑）</t>
        </is>
      </c>
    </row>
    <row r="11" ht="28" customHeight="1">
      <c r="A11" s="8" t="inlineStr">
        <is>
          <t>• 最大可控资源：研学渠道（学校/教育机构），非政府/国企</t>
        </is>
      </c>
    </row>
    <row r="12" ht="28" customHeight="1">
      <c r="A12" s="8" t="inlineStr">
        <is>
          <t>• 政府资源不可控，代理商易被追本溯源跨级对接厂家</t>
        </is>
      </c>
    </row>
    <row r="13" ht="28" customHeight="1">
      <c r="A13" s="8" t="inlineStr">
        <is>
          <t>• 聚焦 B 端：婚庆、活动公司、短视频制作方、研学机构</t>
        </is>
      </c>
    </row>
    <row r="15" ht="24" customHeight="1">
      <c r="A15" s="6" t="inlineStr">
        <is>
          <t>轻资产运营</t>
        </is>
      </c>
    </row>
    <row r="16" ht="28" customHeight="1">
      <c r="A16" s="8" t="inlineStr">
        <is>
          <t>• 反对建展厅：C 端无法收费，B 端更愿看总部或 PPT/视频</t>
        </is>
      </c>
    </row>
    <row r="17" ht="28" customHeight="1">
      <c r="A17" s="8" t="inlineStr">
        <is>
          <t>• 游击战 &gt; 阵地战：走出去办活动，五四广场/商场/企业均可</t>
        </is>
      </c>
    </row>
    <row r="18" ht="28" customHeight="1">
      <c r="A18" s="8" t="inlineStr">
        <is>
          <t>• 可加入青岛人工智能/机器人协会（3-5万副会长）横向比选</t>
        </is>
      </c>
    </row>
    <row r="20" ht="24" customHeight="1">
      <c r="A20" s="6" t="inlineStr">
        <is>
          <t>产品研判</t>
        </is>
      </c>
    </row>
    <row r="21" ht="28" customHeight="1">
      <c r="A21" s="8" t="inlineStr">
        <is>
          <t>• 机器人：表演/引流为主，宇树九万九、智谱等头部优选</t>
        </is>
      </c>
    </row>
    <row r="22" ht="28" customHeight="1">
      <c r="A22" s="8" t="inlineStr">
        <is>
          <t>• 库存风险极高（机器狗一年四代），建议租赁+提成勿压货</t>
        </is>
      </c>
    </row>
    <row r="23" ht="28" customHeight="1">
      <c r="A23" s="8" t="inlineStr">
        <is>
          <t>• AI算力：小微团队是主力客群，即梦等可拿4-5折代理</t>
        </is>
      </c>
    </row>
    <row r="24" ht="28" customHeight="1">
      <c r="A24" s="8" t="inlineStr">
        <is>
          <t>• 成功案例：青岛萝卜快跑，小工作室+免费培训+流量包续费</t>
        </is>
      </c>
    </row>
    <row r="26" ht="24" customHeight="1">
      <c r="A26" s="6" t="inlineStr">
        <is>
          <t>战略建议</t>
        </is>
      </c>
    </row>
    <row r="27" ht="28" customHeight="1">
      <c r="A27" s="8" t="inlineStr">
        <is>
          <t>• 暂缓展厅、混改、50万深蓝/20-30万智巨人等非头部买断</t>
        </is>
      </c>
    </row>
    <row r="28" ht="28" customHeight="1">
      <c r="A28" s="8" t="inlineStr">
        <is>
          <t>• 机器人与AI客群不同，双线须统一客群或聚焦单一方向</t>
        </is>
      </c>
    </row>
    <row r="29" ht="28" customHeight="1">
      <c r="A29" s="8" t="inlineStr">
        <is>
          <t>• 先找需求再找产品，快速验证MVP，不必急于求成</t>
        </is>
      </c>
    </row>
    <row r="30" ht="28" customHeight="1">
      <c r="A30" s="8" t="inlineStr">
        <is>
          <t>• 建议参观人工智能大会等行业活动后再最终决策</t>
        </is>
      </c>
    </row>
  </sheetData>
  <mergeCells count="25">
    <mergeCell ref="A16:F16"/>
    <mergeCell ref="A27:F27"/>
    <mergeCell ref="A12:F12"/>
    <mergeCell ref="A18:F18"/>
    <mergeCell ref="A26:F26"/>
    <mergeCell ref="A21:F21"/>
    <mergeCell ref="A2:F2"/>
    <mergeCell ref="A5:F5"/>
    <mergeCell ref="A23:F23"/>
    <mergeCell ref="A22:F22"/>
    <mergeCell ref="A17:F17"/>
    <mergeCell ref="A4:F4"/>
    <mergeCell ref="A20:F20"/>
    <mergeCell ref="A29:F29"/>
    <mergeCell ref="A10:F10"/>
    <mergeCell ref="A28:F28"/>
    <mergeCell ref="A13:F13"/>
    <mergeCell ref="A9:F9"/>
    <mergeCell ref="A30:F30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36" customWidth="1" min="5" max="5"/>
    <col width="18" customWidth="1" min="6" max="6"/>
    <col width="10" customWidth="1" min="7" max="7"/>
    <col width="12" customWidth="1" min="8" max="8"/>
    <col width="12" customWidth="1" min="9" max="9"/>
    <col width="10" customWidth="1" min="10" max="10"/>
    <col width="16" customWidth="1" min="11" max="11"/>
  </cols>
  <sheetData>
    <row r="1" ht="36" customHeight="1">
      <c r="A1" s="1" t="inlineStr">
        <is>
          <t>七至十二月倒排计划</t>
        </is>
      </c>
    </row>
    <row r="2" ht="20" customHeight="1">
      <c r="A2" s="2" t="inlineStr">
        <is>
          <t>以2026寒假为主节点逆向拆解  |  每周任务可跟踪</t>
        </is>
      </c>
    </row>
    <row r="4" ht="26" customHeight="1">
      <c r="A4" s="7" t="inlineStr">
        <is>
          <t>序号</t>
        </is>
      </c>
      <c r="B4" s="7" t="inlineStr">
        <is>
          <t>月份</t>
        </is>
      </c>
      <c r="C4" s="7" t="inlineStr">
        <is>
          <t>周次</t>
        </is>
      </c>
      <c r="D4" s="7" t="inlineStr">
        <is>
          <t>任务类别</t>
        </is>
      </c>
      <c r="E4" s="7" t="inlineStr">
        <is>
          <t>具体任务</t>
        </is>
      </c>
      <c r="F4" s="7" t="inlineStr">
        <is>
          <t>交付物</t>
        </is>
      </c>
      <c r="G4" s="7" t="inlineStr">
        <is>
          <t>负责人</t>
        </is>
      </c>
      <c r="H4" s="7" t="inlineStr">
        <is>
          <t>协作方</t>
        </is>
      </c>
      <c r="I4" s="7" t="inlineStr">
        <is>
          <t>计划完成日</t>
        </is>
      </c>
      <c r="J4" s="7" t="inlineStr">
        <is>
          <t>状态</t>
        </is>
      </c>
      <c r="K4" s="7" t="inlineStr">
        <is>
          <t>备注</t>
        </is>
      </c>
    </row>
    <row r="5">
      <c r="A5" s="8" t="n">
        <v>1</v>
      </c>
      <c r="B5" s="12" t="inlineStr">
        <is>
          <t>7月</t>
        </is>
      </c>
      <c r="C5" s="8" t="inlineStr">
        <is>
          <t>W1</t>
        </is>
      </c>
      <c r="D5" s="8" t="inlineStr">
        <is>
          <t>战略</t>
        </is>
      </c>
      <c r="E5" s="8" t="inlineStr">
        <is>
          <t>召开策划案讨论会，确认MVP方向</t>
        </is>
      </c>
      <c r="F5" s="8" t="inlineStr">
        <is>
          <t>会议纪要</t>
        </is>
      </c>
      <c r="G5" s="8" t="inlineStr"/>
      <c r="H5" s="8" t="inlineStr">
        <is>
          <t>全体</t>
        </is>
      </c>
      <c r="I5" s="8" t="inlineStr">
        <is>
          <t>7/7</t>
        </is>
      </c>
      <c r="J5" s="8" t="inlineStr">
        <is>
          <t>未开始</t>
        </is>
      </c>
      <c r="K5" s="8" t="inlineStr">
        <is>
          <t>本表起点</t>
        </is>
      </c>
    </row>
    <row r="6">
      <c r="A6" s="13" t="n">
        <v>2</v>
      </c>
      <c r="B6" s="12" t="inlineStr">
        <is>
          <t>7月</t>
        </is>
      </c>
      <c r="C6" s="13" t="inlineStr">
        <is>
          <t>W1</t>
        </is>
      </c>
      <c r="D6" s="13" t="inlineStr">
        <is>
          <t>调研</t>
        </is>
      </c>
      <c r="E6" s="13" t="inlineStr">
        <is>
          <t>盘点研学资源：机构数、年接待量、单价</t>
        </is>
      </c>
      <c r="F6" s="13" t="inlineStr">
        <is>
          <t>资源盘点表</t>
        </is>
      </c>
      <c r="G6" s="13" t="inlineStr"/>
      <c r="H6" s="13" t="inlineStr">
        <is>
          <t>研学渠道</t>
        </is>
      </c>
      <c r="I6" s="13" t="inlineStr">
        <is>
          <t>7/10</t>
        </is>
      </c>
      <c r="J6" s="13" t="inlineStr">
        <is>
          <t>未开始</t>
        </is>
      </c>
      <c r="K6" s="13" t="inlineStr"/>
    </row>
    <row r="7">
      <c r="A7" s="8" t="n">
        <v>3</v>
      </c>
      <c r="B7" s="12" t="inlineStr">
        <is>
          <t>7月</t>
        </is>
      </c>
      <c r="C7" s="8" t="inlineStr">
        <is>
          <t>W2</t>
        </is>
      </c>
      <c r="D7" s="8" t="inlineStr">
        <is>
          <t>调研</t>
        </is>
      </c>
      <c r="E7" s="8" t="inlineStr">
        <is>
          <t>调研宇树、智谱、即梦、DeepSeek代理政策</t>
        </is>
      </c>
      <c r="F7" s="8" t="inlineStr">
        <is>
          <t>品牌对比表</t>
        </is>
      </c>
      <c r="G7" s="8" t="inlineStr"/>
      <c r="H7" s="8" t="inlineStr">
        <is>
          <t>项目负责人</t>
        </is>
      </c>
      <c r="I7" s="8" t="inlineStr">
        <is>
          <t>7/17</t>
        </is>
      </c>
      <c r="J7" s="8" t="inlineStr">
        <is>
          <t>未开始</t>
        </is>
      </c>
      <c r="K7" s="8" t="inlineStr"/>
    </row>
    <row r="8">
      <c r="A8" s="13" t="n">
        <v>4</v>
      </c>
      <c r="B8" s="12" t="inlineStr">
        <is>
          <t>7月</t>
        </is>
      </c>
      <c r="C8" s="13" t="inlineStr">
        <is>
          <t>W2</t>
        </is>
      </c>
      <c r="D8" s="13" t="inlineStr">
        <is>
          <t>决策</t>
        </is>
      </c>
      <c r="E8" s="13" t="inlineStr">
        <is>
          <t>确认暂缓展厅/混改，轻资产路径</t>
        </is>
      </c>
      <c r="F8" s="13" t="inlineStr">
        <is>
          <t>决策记录</t>
        </is>
      </c>
      <c r="G8" s="13" t="inlineStr"/>
      <c r="H8" s="13" t="inlineStr">
        <is>
          <t>全体</t>
        </is>
      </c>
      <c r="I8" s="13" t="inlineStr">
        <is>
          <t>7/18</t>
        </is>
      </c>
      <c r="J8" s="13" t="inlineStr">
        <is>
          <t>未开始</t>
        </is>
      </c>
      <c r="K8" s="13" t="inlineStr">
        <is>
          <t>关键决策</t>
        </is>
      </c>
    </row>
    <row r="9">
      <c r="A9" s="8" t="n">
        <v>5</v>
      </c>
      <c r="B9" s="12" t="inlineStr">
        <is>
          <t>7月</t>
        </is>
      </c>
      <c r="C9" s="8" t="inlineStr">
        <is>
          <t>W3</t>
        </is>
      </c>
      <c r="D9" s="8" t="inlineStr">
        <is>
          <t>筹备</t>
        </is>
      </c>
      <c r="E9" s="8" t="inlineStr">
        <is>
          <t>确定寒假活动名称、定位、定价区间</t>
        </is>
      </c>
      <c r="F9" s="8" t="inlineStr">
        <is>
          <t>产品Brief</t>
        </is>
      </c>
      <c r="G9" s="8" t="inlineStr"/>
      <c r="H9" s="8" t="inlineStr">
        <is>
          <t>项目负责人</t>
        </is>
      </c>
      <c r="I9" s="8" t="inlineStr">
        <is>
          <t>7/24</t>
        </is>
      </c>
      <c r="J9" s="8" t="inlineStr">
        <is>
          <t>未开始</t>
        </is>
      </c>
      <c r="K9" s="8" t="inlineStr"/>
    </row>
    <row r="10">
      <c r="A10" s="13" t="n">
        <v>6</v>
      </c>
      <c r="B10" s="12" t="inlineStr">
        <is>
          <t>7月</t>
        </is>
      </c>
      <c r="C10" s="13" t="inlineStr">
        <is>
          <t>W4</t>
        </is>
      </c>
      <c r="D10" s="13" t="inlineStr">
        <is>
          <t>团队</t>
        </is>
      </c>
      <c r="E10" s="13" t="inlineStr">
        <is>
          <t>明确5-8人分工，建立周报机制</t>
        </is>
      </c>
      <c r="F10" s="13" t="inlineStr">
        <is>
          <t>分工表</t>
        </is>
      </c>
      <c r="G10" s="13" t="inlineStr"/>
      <c r="H10" s="13" t="inlineStr">
        <is>
          <t>项目负责人</t>
        </is>
      </c>
      <c r="I10" s="13" t="inlineStr">
        <is>
          <t>7/31</t>
        </is>
      </c>
      <c r="J10" s="13" t="inlineStr">
        <is>
          <t>未开始</t>
        </is>
      </c>
      <c r="K10" s="13" t="inlineStr"/>
    </row>
    <row r="11">
      <c r="A11" s="8" t="n">
        <v>7</v>
      </c>
      <c r="B11" s="14" t="inlineStr">
        <is>
          <t>8月</t>
        </is>
      </c>
      <c r="C11" s="8" t="inlineStr">
        <is>
          <t>W1</t>
        </is>
      </c>
      <c r="D11" s="8" t="inlineStr">
        <is>
          <t>合作</t>
        </is>
      </c>
      <c r="E11" s="8" t="inlineStr">
        <is>
          <t>联系青岛人工智能/机器人协会</t>
        </is>
      </c>
      <c r="F11" s="8" t="inlineStr">
        <is>
          <t>协会资料</t>
        </is>
      </c>
      <c r="G11" s="8" t="inlineStr"/>
      <c r="H11" s="8" t="inlineStr">
        <is>
          <t>项目负责人</t>
        </is>
      </c>
      <c r="I11" s="8" t="inlineStr">
        <is>
          <t>8/7</t>
        </is>
      </c>
      <c r="J11" s="8" t="inlineStr">
        <is>
          <t>未开始</t>
        </is>
      </c>
      <c r="K11" s="8" t="inlineStr">
        <is>
          <t>3-5万副会长</t>
        </is>
      </c>
    </row>
    <row r="12">
      <c r="A12" s="13" t="n">
        <v>8</v>
      </c>
      <c r="B12" s="14" t="inlineStr">
        <is>
          <t>8月</t>
        </is>
      </c>
      <c r="C12" s="13" t="inlineStr">
        <is>
          <t>W1</t>
        </is>
      </c>
      <c r="D12" s="13" t="inlineStr">
        <is>
          <t>合作</t>
        </is>
      </c>
      <c r="E12" s="13" t="inlineStr">
        <is>
          <t>拜访高校/中航科幻类科普中心</t>
        </is>
      </c>
      <c r="F12" s="13" t="inlineStr">
        <is>
          <t>合作意向书</t>
        </is>
      </c>
      <c r="G12" s="13" t="inlineStr"/>
      <c r="H12" s="13" t="inlineStr">
        <is>
          <t>内容与课程</t>
        </is>
      </c>
      <c r="I12" s="13" t="inlineStr">
        <is>
          <t>8/10</t>
        </is>
      </c>
      <c r="J12" s="13" t="inlineStr">
        <is>
          <t>未开始</t>
        </is>
      </c>
      <c r="K12" s="13" t="inlineStr">
        <is>
          <t>内容背书</t>
        </is>
      </c>
    </row>
    <row r="13">
      <c r="A13" s="8" t="n">
        <v>9</v>
      </c>
      <c r="B13" s="14" t="inlineStr">
        <is>
          <t>8月</t>
        </is>
      </c>
      <c r="C13" s="8" t="inlineStr">
        <is>
          <t>W2</t>
        </is>
      </c>
      <c r="D13" s="8" t="inlineStr">
        <is>
          <t>合作</t>
        </is>
      </c>
      <c r="E13" s="8" t="inlineStr">
        <is>
          <t>拜访黄岛区科技企业2-3家</t>
        </is>
      </c>
      <c r="F13" s="8" t="inlineStr">
        <is>
          <t>企业拜访记录</t>
        </is>
      </c>
      <c r="G13" s="8" t="inlineStr"/>
      <c r="H13" s="8" t="inlineStr">
        <is>
          <t>项目负责人</t>
        </is>
      </c>
      <c r="I13" s="8" t="inlineStr">
        <is>
          <t>8/17</t>
        </is>
      </c>
      <c r="J13" s="8" t="inlineStr">
        <is>
          <t>未开始</t>
        </is>
      </c>
      <c r="K13" s="8" t="inlineStr">
        <is>
          <t>设备演示</t>
        </is>
      </c>
    </row>
    <row r="14">
      <c r="A14" s="13" t="n">
        <v>10</v>
      </c>
      <c r="B14" s="14" t="inlineStr">
        <is>
          <t>8月</t>
        </is>
      </c>
      <c r="C14" s="13" t="inlineStr">
        <is>
          <t>W2</t>
        </is>
      </c>
      <c r="D14" s="13" t="inlineStr">
        <is>
          <t>合作</t>
        </is>
      </c>
      <c r="E14" s="13" t="inlineStr">
        <is>
          <t>评估扬州等地设备租赁补充方案</t>
        </is>
      </c>
      <c r="F14" s="13" t="inlineStr">
        <is>
          <t>租赁方案</t>
        </is>
      </c>
      <c r="G14" s="13" t="inlineStr"/>
      <c r="H14" s="13" t="inlineStr">
        <is>
          <t>活动执行</t>
        </is>
      </c>
      <c r="I14" s="13" t="inlineStr">
        <is>
          <t>8/17</t>
        </is>
      </c>
      <c r="J14" s="13" t="inlineStr">
        <is>
          <t>未开始</t>
        </is>
      </c>
      <c r="K14" s="13" t="inlineStr">
        <is>
          <t>备选</t>
        </is>
      </c>
    </row>
    <row r="15">
      <c r="A15" s="8" t="n">
        <v>11</v>
      </c>
      <c r="B15" s="14" t="inlineStr">
        <is>
          <t>8月</t>
        </is>
      </c>
      <c r="C15" s="8" t="inlineStr">
        <is>
          <t>W3</t>
        </is>
      </c>
      <c r="D15" s="8" t="inlineStr">
        <is>
          <t>品牌</t>
        </is>
      </c>
      <c r="E15" s="8" t="inlineStr">
        <is>
          <t>横向比选机器人演示供应商</t>
        </is>
      </c>
      <c r="F15" s="8" t="inlineStr">
        <is>
          <t>供应商短名单</t>
        </is>
      </c>
      <c r="G15" s="8" t="inlineStr"/>
      <c r="H15" s="8" t="inlineStr">
        <is>
          <t>项目负责人</t>
        </is>
      </c>
      <c r="I15" s="8" t="inlineStr">
        <is>
          <t>8/24</t>
        </is>
      </c>
      <c r="J15" s="8" t="inlineStr">
        <is>
          <t>未开始</t>
        </is>
      </c>
      <c r="K15" s="8" t="inlineStr"/>
    </row>
    <row r="16">
      <c r="A16" s="13" t="n">
        <v>12</v>
      </c>
      <c r="B16" s="14" t="inlineStr">
        <is>
          <t>8月</t>
        </is>
      </c>
      <c r="C16" s="13" t="inlineStr">
        <is>
          <t>W4</t>
        </is>
      </c>
      <c r="D16" s="13" t="inlineStr">
        <is>
          <t>品牌</t>
        </is>
      </c>
      <c r="E16" s="13" t="inlineStr">
        <is>
          <t>洽谈一级代理/提成模式（非买断）</t>
        </is>
      </c>
      <c r="F16" s="13" t="inlineStr">
        <is>
          <t>代理条款草案</t>
        </is>
      </c>
      <c r="G16" s="13" t="inlineStr"/>
      <c r="H16" s="13" t="inlineStr">
        <is>
          <t>项目负责人</t>
        </is>
      </c>
      <c r="I16" s="13" t="inlineStr">
        <is>
          <t>8/31</t>
        </is>
      </c>
      <c r="J16" s="13" t="inlineStr">
        <is>
          <t>未开始</t>
        </is>
      </c>
      <c r="K16" s="13" t="inlineStr"/>
    </row>
    <row r="17">
      <c r="A17" s="8" t="n">
        <v>13</v>
      </c>
      <c r="B17" s="15" t="inlineStr">
        <is>
          <t>9月</t>
        </is>
      </c>
      <c r="C17" s="8" t="inlineStr">
        <is>
          <t>W1</t>
        </is>
      </c>
      <c r="D17" s="8" t="inlineStr">
        <is>
          <t>试点</t>
        </is>
      </c>
      <c r="E17" s="8" t="inlineStr">
        <is>
          <t>策划首场周末体验课（30人以内）</t>
        </is>
      </c>
      <c r="F17" s="8" t="inlineStr">
        <is>
          <t>活动方案</t>
        </is>
      </c>
      <c r="G17" s="8" t="inlineStr"/>
      <c r="H17" s="8" t="inlineStr">
        <is>
          <t>活动执行</t>
        </is>
      </c>
      <c r="I17" s="8" t="inlineStr">
        <is>
          <t>9/7</t>
        </is>
      </c>
      <c r="J17" s="8" t="inlineStr">
        <is>
          <t>未开始</t>
        </is>
      </c>
      <c r="K17" s="8" t="inlineStr">
        <is>
          <t>MVP验证</t>
        </is>
      </c>
    </row>
    <row r="18">
      <c r="A18" s="13" t="n">
        <v>14</v>
      </c>
      <c r="B18" s="15" t="inlineStr">
        <is>
          <t>9月</t>
        </is>
      </c>
      <c r="C18" s="13" t="inlineStr">
        <is>
          <t>W2</t>
        </is>
      </c>
      <c r="D18" s="13" t="inlineStr">
        <is>
          <t>试点</t>
        </is>
      </c>
      <c r="E18" s="13" t="inlineStr">
        <is>
          <t>执行首场体验活动+数据采集</t>
        </is>
      </c>
      <c r="F18" s="13" t="inlineStr">
        <is>
          <t>试点复盘报告</t>
        </is>
      </c>
      <c r="G18" s="13" t="inlineStr"/>
      <c r="H18" s="13" t="inlineStr">
        <is>
          <t>全体</t>
        </is>
      </c>
      <c r="I18" s="13" t="inlineStr">
        <is>
          <t>9/14</t>
        </is>
      </c>
      <c r="J18" s="13" t="inlineStr">
        <is>
          <t>未开始</t>
        </is>
      </c>
      <c r="K18" s="13" t="inlineStr"/>
    </row>
    <row r="19">
      <c r="A19" s="8" t="n">
        <v>15</v>
      </c>
      <c r="B19" s="15" t="inlineStr">
        <is>
          <t>9月</t>
        </is>
      </c>
      <c r="C19" s="8" t="inlineStr">
        <is>
          <t>W3</t>
        </is>
      </c>
      <c r="D19" s="8" t="inlineStr">
        <is>
          <t>试点</t>
        </is>
      </c>
      <c r="E19" s="8" t="inlineStr">
        <is>
          <t>执行第2-3场试点（不同场地）</t>
        </is>
      </c>
      <c r="F19" s="8" t="inlineStr">
        <is>
          <t>试点数据汇总</t>
        </is>
      </c>
      <c r="G19" s="8" t="inlineStr"/>
      <c r="H19" s="8" t="inlineStr">
        <is>
          <t>活动执行</t>
        </is>
      </c>
      <c r="I19" s="8" t="inlineStr">
        <is>
          <t>9/21</t>
        </is>
      </c>
      <c r="J19" s="8" t="inlineStr">
        <is>
          <t>未开始</t>
        </is>
      </c>
      <c r="K19" s="8" t="inlineStr">
        <is>
          <t>游击战验证</t>
        </is>
      </c>
    </row>
    <row r="20">
      <c r="A20" s="13" t="n">
        <v>16</v>
      </c>
      <c r="B20" s="15" t="inlineStr">
        <is>
          <t>9月</t>
        </is>
      </c>
      <c r="C20" s="13" t="inlineStr">
        <is>
          <t>W4</t>
        </is>
      </c>
      <c r="D20" s="13" t="inlineStr">
        <is>
          <t>决策</t>
        </is>
      </c>
      <c r="E20" s="13" t="inlineStr">
        <is>
          <t>根据试点确定主代理品牌与合作方</t>
        </is>
      </c>
      <c r="F20" s="13" t="inlineStr">
        <is>
          <t>合作确认书</t>
        </is>
      </c>
      <c r="G20" s="13" t="inlineStr"/>
      <c r="H20" s="13" t="inlineStr">
        <is>
          <t>项目负责人</t>
        </is>
      </c>
      <c r="I20" s="13" t="inlineStr">
        <is>
          <t>9/30</t>
        </is>
      </c>
      <c r="J20" s="13" t="inlineStr">
        <is>
          <t>未开始</t>
        </is>
      </c>
      <c r="K20" s="13" t="inlineStr">
        <is>
          <t>关键决策</t>
        </is>
      </c>
    </row>
    <row r="21">
      <c r="A21" s="8" t="n">
        <v>17</v>
      </c>
      <c r="B21" s="16" t="inlineStr">
        <is>
          <t>10月</t>
        </is>
      </c>
      <c r="C21" s="8" t="inlineStr">
        <is>
          <t>W1</t>
        </is>
      </c>
      <c r="D21" s="8" t="inlineStr">
        <is>
          <t>产品</t>
        </is>
      </c>
      <c r="E21" s="8" t="inlineStr">
        <is>
          <t>寒假课程大纲定稿（机器人+AI模块）</t>
        </is>
      </c>
      <c r="F21" s="8" t="inlineStr">
        <is>
          <t>课程大纲</t>
        </is>
      </c>
      <c r="G21" s="8" t="inlineStr"/>
      <c r="H21" s="8" t="inlineStr">
        <is>
          <t>内容与课程</t>
        </is>
      </c>
      <c r="I21" s="8" t="inlineStr">
        <is>
          <t>10/10</t>
        </is>
      </c>
      <c r="J21" s="8" t="inlineStr">
        <is>
          <t>未开始</t>
        </is>
      </c>
      <c r="K21" s="8" t="inlineStr"/>
    </row>
    <row r="22">
      <c r="A22" s="13" t="n">
        <v>18</v>
      </c>
      <c r="B22" s="16" t="inlineStr">
        <is>
          <t>10月</t>
        </is>
      </c>
      <c r="C22" s="13" t="inlineStr">
        <is>
          <t>W2</t>
        </is>
      </c>
      <c r="D22" s="13" t="inlineStr">
        <is>
          <t>物料</t>
        </is>
      </c>
      <c r="E22" s="13" t="inlineStr">
        <is>
          <t>制作宣传PPT、演示视频、招生海报</t>
        </is>
      </c>
      <c r="F22" s="13" t="inlineStr">
        <is>
          <t>物料包</t>
        </is>
      </c>
      <c r="G22" s="13" t="inlineStr"/>
      <c r="H22" s="13" t="inlineStr">
        <is>
          <t>市场运营</t>
        </is>
      </c>
      <c r="I22" s="13" t="inlineStr">
        <is>
          <t>10/17</t>
        </is>
      </c>
      <c r="J22" s="13" t="inlineStr">
        <is>
          <t>未开始</t>
        </is>
      </c>
      <c r="K22" s="13" t="inlineStr"/>
    </row>
    <row r="23">
      <c r="A23" s="8" t="n">
        <v>19</v>
      </c>
      <c r="B23" s="16" t="inlineStr">
        <is>
          <t>10月</t>
        </is>
      </c>
      <c r="C23" s="8" t="inlineStr">
        <is>
          <t>W3</t>
        </is>
      </c>
      <c r="D23" s="8" t="inlineStr">
        <is>
          <t>商务</t>
        </is>
      </c>
      <c r="E23" s="8" t="inlineStr">
        <is>
          <t>确定报价体系、合同模板、退费规则</t>
        </is>
      </c>
      <c r="F23" s="8" t="inlineStr">
        <is>
          <t>商务文件包</t>
        </is>
      </c>
      <c r="G23" s="8" t="inlineStr"/>
      <c r="H23" s="8" t="inlineStr">
        <is>
          <t>项目负责人</t>
        </is>
      </c>
      <c r="I23" s="8" t="inlineStr">
        <is>
          <t>10/24</t>
        </is>
      </c>
      <c r="J23" s="8" t="inlineStr">
        <is>
          <t>未开始</t>
        </is>
      </c>
      <c r="K23" s="8" t="inlineStr"/>
    </row>
    <row r="24">
      <c r="A24" s="13" t="n">
        <v>20</v>
      </c>
      <c r="B24" s="16" t="inlineStr">
        <is>
          <t>10月</t>
        </is>
      </c>
      <c r="C24" s="13" t="inlineStr">
        <is>
          <t>W4</t>
        </is>
      </c>
      <c r="D24" s="13" t="inlineStr">
        <is>
          <t>合作</t>
        </is>
      </c>
      <c r="E24" s="13" t="inlineStr">
        <is>
          <t>与高校/企业签署联合框架（如有）</t>
        </is>
      </c>
      <c r="F24" s="13" t="inlineStr">
        <is>
          <t>合作协议</t>
        </is>
      </c>
      <c r="G24" s="13" t="inlineStr"/>
      <c r="H24" s="13" t="inlineStr">
        <is>
          <t>项目负责人</t>
        </is>
      </c>
      <c r="I24" s="13" t="inlineStr">
        <is>
          <t>10/31</t>
        </is>
      </c>
      <c r="J24" s="13" t="inlineStr">
        <is>
          <t>未开始</t>
        </is>
      </c>
      <c r="K24" s="13" t="inlineStr"/>
    </row>
    <row r="25">
      <c r="A25" s="8" t="n">
        <v>21</v>
      </c>
      <c r="B25" s="17" t="inlineStr">
        <is>
          <t>11月</t>
        </is>
      </c>
      <c r="C25" s="8" t="inlineStr">
        <is>
          <t>W1</t>
        </is>
      </c>
      <c r="D25" s="8" t="inlineStr">
        <is>
          <t>招生</t>
        </is>
      </c>
      <c r="E25" s="8" t="inlineStr">
        <is>
          <t>研学机构批量推介+签约</t>
        </is>
      </c>
      <c r="F25" s="8" t="inlineStr">
        <is>
          <t>机构合同</t>
        </is>
      </c>
      <c r="G25" s="8" t="inlineStr"/>
      <c r="H25" s="8" t="inlineStr">
        <is>
          <t>研学渠道</t>
        </is>
      </c>
      <c r="I25" s="8" t="inlineStr">
        <is>
          <t>11/7</t>
        </is>
      </c>
      <c r="J25" s="8" t="inlineStr">
        <is>
          <t>未开始</t>
        </is>
      </c>
      <c r="K25" s="8" t="inlineStr"/>
    </row>
    <row r="26">
      <c r="A26" s="13" t="n">
        <v>22</v>
      </c>
      <c r="B26" s="17" t="inlineStr">
        <is>
          <t>11月</t>
        </is>
      </c>
      <c r="C26" s="13" t="inlineStr">
        <is>
          <t>W2</t>
        </is>
      </c>
      <c r="D26" s="13" t="inlineStr">
        <is>
          <t>招生</t>
        </is>
      </c>
      <c r="E26" s="13" t="inlineStr">
        <is>
          <t>家长社群/短视频招生预热</t>
        </is>
      </c>
      <c r="F26" s="13" t="inlineStr">
        <is>
          <t>报名链接</t>
        </is>
      </c>
      <c r="G26" s="13" t="inlineStr"/>
      <c r="H26" s="13" t="inlineStr">
        <is>
          <t>市场运营</t>
        </is>
      </c>
      <c r="I26" s="13" t="inlineStr">
        <is>
          <t>11/14</t>
        </is>
      </c>
      <c r="J26" s="13" t="inlineStr">
        <is>
          <t>未开始</t>
        </is>
      </c>
      <c r="K26" s="13" t="inlineStr"/>
    </row>
    <row r="27">
      <c r="A27" s="8" t="n">
        <v>23</v>
      </c>
      <c r="B27" s="17" t="inlineStr">
        <is>
          <t>11月</t>
        </is>
      </c>
      <c r="C27" s="8" t="inlineStr">
        <is>
          <t>W3</t>
        </is>
      </c>
      <c r="D27" s="8" t="inlineStr">
        <is>
          <t>活动</t>
        </is>
      </c>
      <c r="E27" s="8" t="inlineStr">
        <is>
          <t>体验课开放日（收费筛选）</t>
        </is>
      </c>
      <c r="F27" s="8" t="inlineStr">
        <is>
          <t>转化数据</t>
        </is>
      </c>
      <c r="G27" s="8" t="inlineStr"/>
      <c r="H27" s="8" t="inlineStr">
        <is>
          <t>活动执行</t>
        </is>
      </c>
      <c r="I27" s="8" t="inlineStr">
        <is>
          <t>11/21</t>
        </is>
      </c>
      <c r="J27" s="8" t="inlineStr">
        <is>
          <t>未开始</t>
        </is>
      </c>
      <c r="K27" s="8" t="inlineStr"/>
    </row>
    <row r="28">
      <c r="A28" s="13" t="n">
        <v>24</v>
      </c>
      <c r="B28" s="17" t="inlineStr">
        <is>
          <t>11月</t>
        </is>
      </c>
      <c r="C28" s="13" t="inlineStr">
        <is>
          <t>W4</t>
        </is>
      </c>
      <c r="D28" s="13" t="inlineStr">
        <is>
          <t>决策</t>
        </is>
      </c>
      <c r="E28" s="13" t="inlineStr">
        <is>
          <t>评估报名达最低开班线（建议≥30人/期）</t>
        </is>
      </c>
      <c r="F28" s="13" t="inlineStr">
        <is>
          <t>招生报告</t>
        </is>
      </c>
      <c r="G28" s="13" t="inlineStr"/>
      <c r="H28" s="13" t="inlineStr">
        <is>
          <t>全体</t>
        </is>
      </c>
      <c r="I28" s="13" t="inlineStr">
        <is>
          <t>11/30</t>
        </is>
      </c>
      <c r="J28" s="13" t="inlineStr">
        <is>
          <t>未开始</t>
        </is>
      </c>
      <c r="K28" s="13" t="inlineStr">
        <is>
          <t>未达标则延期</t>
        </is>
      </c>
    </row>
    <row r="29">
      <c r="A29" s="8" t="n">
        <v>25</v>
      </c>
      <c r="B29" s="18" t="inlineStr">
        <is>
          <t>12月</t>
        </is>
      </c>
      <c r="C29" s="8" t="inlineStr">
        <is>
          <t>W1</t>
        </is>
      </c>
      <c r="D29" s="8" t="inlineStr">
        <is>
          <t>运营</t>
        </is>
      </c>
      <c r="E29" s="8" t="inlineStr">
        <is>
          <t>确认寒假场地档期（多点位）</t>
        </is>
      </c>
      <c r="F29" s="8" t="inlineStr">
        <is>
          <t>场地合同</t>
        </is>
      </c>
      <c r="G29" s="8" t="inlineStr"/>
      <c r="H29" s="8" t="inlineStr">
        <is>
          <t>活动执行</t>
        </is>
      </c>
      <c r="I29" s="8" t="inlineStr">
        <is>
          <t>12/7</t>
        </is>
      </c>
      <c r="J29" s="8" t="inlineStr">
        <is>
          <t>未开始</t>
        </is>
      </c>
      <c r="K29" s="8" t="inlineStr"/>
    </row>
    <row r="30">
      <c r="A30" s="13" t="n">
        <v>26</v>
      </c>
      <c r="B30" s="18" t="inlineStr">
        <is>
          <t>12月</t>
        </is>
      </c>
      <c r="C30" s="13" t="inlineStr">
        <is>
          <t>W2</t>
        </is>
      </c>
      <c r="D30" s="13" t="inlineStr">
        <is>
          <t>运营</t>
        </is>
      </c>
      <c r="E30" s="13" t="inlineStr">
        <is>
          <t>师资/志愿者培训、安全预案</t>
        </is>
      </c>
      <c r="F30" s="13" t="inlineStr">
        <is>
          <t>执行手册</t>
        </is>
      </c>
      <c r="G30" s="13" t="inlineStr"/>
      <c r="H30" s="13" t="inlineStr">
        <is>
          <t>内容与课程</t>
        </is>
      </c>
      <c r="I30" s="13" t="inlineStr">
        <is>
          <t>12/14</t>
        </is>
      </c>
      <c r="J30" s="13" t="inlineStr">
        <is>
          <t>未开始</t>
        </is>
      </c>
      <c r="K30" s="13" t="inlineStr"/>
    </row>
    <row r="31">
      <c r="A31" s="8" t="n">
        <v>27</v>
      </c>
      <c r="B31" s="18" t="inlineStr">
        <is>
          <t>12月</t>
        </is>
      </c>
      <c r="C31" s="8" t="inlineStr">
        <is>
          <t>W3</t>
        </is>
      </c>
      <c r="D31" s="8" t="inlineStr">
        <is>
          <t>运营</t>
        </is>
      </c>
      <c r="E31" s="8" t="inlineStr">
        <is>
          <t>全流程彩排（含设备/签到/课程）</t>
        </is>
      </c>
      <c r="F31" s="8" t="inlineStr">
        <is>
          <t>彩排记录</t>
        </is>
      </c>
      <c r="G31" s="8" t="inlineStr"/>
      <c r="H31" s="8" t="inlineStr">
        <is>
          <t>全体</t>
        </is>
      </c>
      <c r="I31" s="8" t="inlineStr">
        <is>
          <t>12/21</t>
        </is>
      </c>
      <c r="J31" s="8" t="inlineStr">
        <is>
          <t>未开始</t>
        </is>
      </c>
      <c r="K31" s="8" t="inlineStr"/>
    </row>
    <row r="32">
      <c r="A32" s="13" t="n">
        <v>28</v>
      </c>
      <c r="B32" s="18" t="inlineStr">
        <is>
          <t>12月</t>
        </is>
      </c>
      <c r="C32" s="13" t="inlineStr">
        <is>
          <t>W4</t>
        </is>
      </c>
      <c r="D32" s="13" t="inlineStr">
        <is>
          <t>冲刺</t>
        </is>
      </c>
      <c r="E32" s="13" t="inlineStr">
        <is>
          <t>寒假最终排期发布、物料就位</t>
        </is>
      </c>
      <c r="F32" s="13" t="inlineStr">
        <is>
          <t>排期表</t>
        </is>
      </c>
      <c r="G32" s="13" t="inlineStr"/>
      <c r="H32" s="13" t="inlineStr">
        <is>
          <t>项目负责人</t>
        </is>
      </c>
      <c r="I32" s="13" t="inlineStr">
        <is>
          <t>12/28</t>
        </is>
      </c>
      <c r="J32" s="13" t="inlineStr">
        <is>
          <t>未开始</t>
        </is>
      </c>
      <c r="K32" s="13" t="inlineStr">
        <is>
          <t>进入主活动</t>
        </is>
      </c>
    </row>
  </sheetData>
  <autoFilter ref="A4:K32"/>
  <mergeCells count="2">
    <mergeCell ref="A1:J1"/>
    <mergeCell ref="A2:J2"/>
  </mergeCells>
  <dataValidations count="1">
    <dataValidation sqref="J5:J32" showDropDown="0" showInputMessage="0" showErrorMessage="0" allowBlank="1" error="请从下拉列表选择状态" type="list">
      <formula1>"未开始,进行中,已完成,延期,取消"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6" customHeight="1">
      <c r="A1" s="1" t="inlineStr">
        <is>
          <t>寒假主活动执行计划</t>
        </is>
      </c>
    </row>
    <row r="2" ht="20" customHeight="1">
      <c r="A2" s="2" t="inlineStr">
        <is>
          <t>2026年1月中下旬—2月  |  3-5期研学营</t>
        </is>
      </c>
    </row>
    <row r="4" ht="24" customHeight="1">
      <c r="A4" s="6" t="inlineStr">
        <is>
          <t>活动排期（模板，具体日期待定）</t>
        </is>
      </c>
    </row>
    <row r="5" ht="26" customHeight="1">
      <c r="A5" s="7" t="inlineStr">
        <is>
          <t>期次</t>
        </is>
      </c>
      <c r="B5" s="7" t="inlineStr">
        <is>
          <t>计划日期</t>
        </is>
      </c>
      <c r="C5" s="7" t="inlineStr">
        <is>
          <t>场地</t>
        </is>
      </c>
      <c r="D5" s="7" t="inlineStr">
        <is>
          <t>主题</t>
        </is>
      </c>
      <c r="E5" s="7" t="inlineStr">
        <is>
          <t>目标人数</t>
        </is>
      </c>
      <c r="F5" s="7" t="inlineStr">
        <is>
          <t>已报名</t>
        </is>
      </c>
      <c r="G5" s="7" t="inlineStr">
        <is>
          <t>状态</t>
        </is>
      </c>
      <c r="H5" s="7" t="inlineStr">
        <is>
          <t>收入（元）</t>
        </is>
      </c>
      <c r="I5" s="7" t="inlineStr">
        <is>
          <t>备注</t>
        </is>
      </c>
    </row>
    <row r="6">
      <c r="A6" s="8" t="inlineStr">
        <is>
          <t>第1期</t>
        </is>
      </c>
      <c r="B6" s="8" t="inlineStr">
        <is>
          <t>2026/1/18（周六）</t>
        </is>
      </c>
      <c r="C6" s="8" t="inlineStr">
        <is>
          <t>黄岛商场中庭（待定）</t>
        </is>
      </c>
      <c r="D6" s="8" t="inlineStr">
        <is>
          <t>机器人奇遇记</t>
        </is>
      </c>
      <c r="E6" s="8" t="n">
        <v>40</v>
      </c>
      <c r="F6" s="8" t="n">
        <v>0</v>
      </c>
      <c r="G6" s="8" t="inlineStr">
        <is>
          <t>未开始</t>
        </is>
      </c>
      <c r="H6" s="8" t="n">
        <v>0</v>
      </c>
      <c r="I6" s="8" t="inlineStr">
        <is>
          <t>首场</t>
        </is>
      </c>
    </row>
    <row r="7">
      <c r="A7" s="8" t="inlineStr">
        <is>
          <t>第2期</t>
        </is>
      </c>
      <c r="B7" s="8" t="inlineStr">
        <is>
          <t>2026/1/25（周六）</t>
        </is>
      </c>
      <c r="C7" s="8" t="inlineStr">
        <is>
          <t>社区活动中心（待定）</t>
        </is>
      </c>
      <c r="D7" s="8" t="inlineStr">
        <is>
          <t>AI小导演</t>
        </is>
      </c>
      <c r="E7" s="8" t="n">
        <v>40</v>
      </c>
      <c r="F7" s="8" t="n">
        <v>0</v>
      </c>
      <c r="G7" s="8" t="inlineStr">
        <is>
          <t>未开始</t>
        </is>
      </c>
      <c r="H7" s="8" t="n">
        <v>0</v>
      </c>
      <c r="I7" s="8" t="inlineStr"/>
    </row>
    <row r="8">
      <c r="A8" s="8" t="inlineStr">
        <is>
          <t>第3期</t>
        </is>
      </c>
      <c r="B8" s="8" t="inlineStr">
        <is>
          <t>2026/2/1（周六）</t>
        </is>
      </c>
      <c r="C8" s="8" t="inlineStr">
        <is>
          <t>高校科普场地（待定）</t>
        </is>
      </c>
      <c r="D8" s="8" t="inlineStr">
        <is>
          <t>智创未来一日营</t>
        </is>
      </c>
      <c r="E8" s="8" t="n">
        <v>50</v>
      </c>
      <c r="F8" s="8" t="n">
        <v>0</v>
      </c>
      <c r="G8" s="8" t="inlineStr">
        <is>
          <t>未开始</t>
        </is>
      </c>
      <c r="H8" s="8" t="n">
        <v>0</v>
      </c>
      <c r="I8" s="8" t="inlineStr">
        <is>
          <t>联合高校</t>
        </is>
      </c>
    </row>
    <row r="9">
      <c r="A9" s="8" t="inlineStr">
        <is>
          <t>第4期</t>
        </is>
      </c>
      <c r="B9" s="8" t="inlineStr">
        <is>
          <t>2026/2/8（周六）</t>
        </is>
      </c>
      <c r="C9" s="8" t="inlineStr">
        <is>
          <t>黄岛商场/户外（待定）</t>
        </is>
      </c>
      <c r="D9" s="8" t="inlineStr">
        <is>
          <t>机器人挑战赛</t>
        </is>
      </c>
      <c r="E9" s="8" t="n">
        <v>40</v>
      </c>
      <c r="F9" s="8" t="n">
        <v>0</v>
      </c>
      <c r="G9" s="8" t="inlineStr">
        <is>
          <t>未开始</t>
        </is>
      </c>
      <c r="H9" s="8" t="n">
        <v>0</v>
      </c>
      <c r="I9" s="8" t="inlineStr">
        <is>
          <t>视报名增设</t>
        </is>
      </c>
    </row>
    <row r="10">
      <c r="A10" s="8" t="inlineStr">
        <is>
          <t>第5期</t>
        </is>
      </c>
      <c r="B10" s="8" t="inlineStr">
        <is>
          <t>2026/2/15（周六）</t>
        </is>
      </c>
      <c r="C10" s="8" t="inlineStr">
        <is>
          <t>待定</t>
        </is>
      </c>
      <c r="D10" s="8" t="inlineStr">
        <is>
          <t>寒假收官营</t>
        </is>
      </c>
      <c r="E10" s="8" t="n">
        <v>40</v>
      </c>
      <c r="F10" s="8" t="n">
        <v>0</v>
      </c>
      <c r="G10" s="8" t="inlineStr">
        <is>
          <t>未开始</t>
        </is>
      </c>
      <c r="H10" s="8" t="n">
        <v>0</v>
      </c>
      <c r="I10" s="8" t="inlineStr">
        <is>
          <t>视报名增设</t>
        </is>
      </c>
    </row>
    <row r="12" ht="24" customHeight="1">
      <c r="A12" s="3" t="inlineStr">
        <is>
          <t>单日执行流程</t>
        </is>
      </c>
    </row>
    <row r="13" ht="26" customHeight="1">
      <c r="A13" s="19" t="inlineStr">
        <is>
          <t>时段</t>
        </is>
      </c>
      <c r="B13" s="19" t="inlineStr">
        <is>
          <t>环节</t>
        </is>
      </c>
      <c r="C13" s="19" t="inlineStr">
        <is>
          <t>负责角色</t>
        </is>
      </c>
      <c r="D13" s="19" t="inlineStr">
        <is>
          <t>物料/备注</t>
        </is>
      </c>
    </row>
    <row r="14">
      <c r="A14" s="13" t="inlineStr">
        <is>
          <t>09:00-09:30</t>
        </is>
      </c>
      <c r="B14" s="13" t="inlineStr">
        <is>
          <t>签到破冰</t>
        </is>
      </c>
      <c r="C14" s="13" t="inlineStr">
        <is>
          <t>活动执行</t>
        </is>
      </c>
      <c r="D14" s="13" t="inlineStr">
        <is>
          <t>签到表、名牌、保险确认</t>
        </is>
      </c>
    </row>
    <row r="15">
      <c r="A15" s="8" t="inlineStr">
        <is>
          <t>09:30-10:30</t>
        </is>
      </c>
      <c r="B15" s="8" t="inlineStr">
        <is>
          <t>机器人表演与互动</t>
        </is>
      </c>
      <c r="C15" s="8" t="inlineStr">
        <is>
          <t>合作企业技术</t>
        </is>
      </c>
      <c r="D15" s="8" t="inlineStr">
        <is>
          <t>样机、安全围栏</t>
        </is>
      </c>
    </row>
    <row r="16">
      <c r="A16" s="13" t="inlineStr">
        <is>
          <t>10:45-11:45</t>
        </is>
      </c>
      <c r="B16" s="13" t="inlineStr">
        <is>
          <t>AI短视频小课堂</t>
        </is>
      </c>
      <c r="C16" s="13" t="inlineStr">
        <is>
          <t>内容与课程</t>
        </is>
      </c>
      <c r="D16" s="13" t="inlineStr">
        <is>
          <t>即梦/类似工具账号</t>
        </is>
      </c>
    </row>
    <row r="17">
      <c r="A17" s="8" t="inlineStr">
        <is>
          <t>12:00-13:30</t>
        </is>
      </c>
      <c r="B17" s="8" t="inlineStr">
        <is>
          <t>午餐休息</t>
        </is>
      </c>
      <c r="C17" s="8" t="inlineStr">
        <is>
          <t>活动执行</t>
        </is>
      </c>
      <c r="D17" s="8" t="inlineStr">
        <is>
          <t>盒饭或家长自理</t>
        </is>
      </c>
    </row>
    <row r="18">
      <c r="A18" s="13" t="inlineStr">
        <is>
          <t>13:30-15:00</t>
        </is>
      </c>
      <c r="B18" s="13" t="inlineStr">
        <is>
          <t>分组科创挑战</t>
        </is>
      </c>
      <c r="C18" s="13" t="inlineStr">
        <is>
          <t>内容与课程</t>
        </is>
      </c>
      <c r="D18" s="13" t="inlineStr">
        <is>
          <t>任务卡、奖品</t>
        </is>
      </c>
    </row>
    <row r="19">
      <c r="A19" s="8" t="inlineStr">
        <is>
          <t>15:00-15:30</t>
        </is>
      </c>
      <c r="B19" s="8" t="inlineStr">
        <is>
          <t>成果展示+结业</t>
        </is>
      </c>
      <c r="C19" s="8" t="inlineStr">
        <is>
          <t>全体</t>
        </is>
      </c>
      <c r="D19" s="8" t="inlineStr">
        <is>
          <t>证书、合影、问卷</t>
        </is>
      </c>
    </row>
  </sheetData>
  <mergeCells count="4">
    <mergeCell ref="A1:I1"/>
    <mergeCell ref="A12:I12"/>
    <mergeCell ref="A4:I4"/>
    <mergeCell ref="A2:I2"/>
  </mergeCells>
  <dataValidations count="1">
    <dataValidation sqref="G6:G10" showDropDown="0" showInputMessage="0" showErrorMessage="0" allowBlank="1" error="请从下拉列表选择状态" type="list">
      <formula1>"未开始,进行中,已完成,延期,取消"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24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 ht="36" customHeight="1">
      <c r="A1" s="1" t="inlineStr">
        <is>
          <t>合作方对接清单</t>
        </is>
      </c>
    </row>
    <row r="2" ht="20" customHeight="1">
      <c r="A2" s="2" t="inlineStr">
        <is>
          <t>高校中心 + 黄岛区科技企业  |  建议引入</t>
        </is>
      </c>
    </row>
    <row r="4" ht="24" customHeight="1">
      <c r="A4" s="6" t="inlineStr">
        <is>
          <t>A类：高校/中航科幻科普中心（建议引入）</t>
        </is>
      </c>
    </row>
    <row r="5" ht="26" customHeight="1">
      <c r="A5" s="7" t="inlineStr">
        <is>
          <t>机构名称</t>
        </is>
      </c>
      <c r="B5" s="7" t="inlineStr">
        <is>
          <t>对接人</t>
        </is>
      </c>
      <c r="C5" s="7" t="inlineStr">
        <is>
          <t>角色定位</t>
        </is>
      </c>
      <c r="D5" s="7" t="inlineStr">
        <is>
          <t>合作内容</t>
        </is>
      </c>
      <c r="E5" s="7" t="inlineStr">
        <is>
          <t>状态</t>
        </is>
      </c>
      <c r="F5" s="7" t="inlineStr">
        <is>
          <t>计划完成</t>
        </is>
      </c>
      <c r="G5" s="7" t="inlineStr">
        <is>
          <t>负责人</t>
        </is>
      </c>
      <c r="H5" s="7" t="inlineStr">
        <is>
          <t>备注</t>
        </is>
      </c>
    </row>
    <row r="6">
      <c r="A6" s="8" t="inlineStr">
        <is>
          <t>高校科创/科普中心（待定）</t>
        </is>
      </c>
      <c r="B6" s="8" t="inlineStr"/>
      <c r="C6" s="8" t="inlineStr">
        <is>
          <t>课程背书+师资</t>
        </is>
      </c>
      <c r="D6" s="8" t="inlineStr">
        <is>
          <t>联合研学实践基地、科普讲座</t>
        </is>
      </c>
      <c r="E6" s="8" t="inlineStr">
        <is>
          <t>未接触</t>
        </is>
      </c>
      <c r="F6" s="8" t="inlineStr">
        <is>
          <t>9月</t>
        </is>
      </c>
      <c r="G6" s="8" t="inlineStr"/>
      <c r="H6" s="8" t="inlineStr">
        <is>
          <t>提升公信力</t>
        </is>
      </c>
    </row>
    <row r="7">
      <c r="A7" s="8" t="inlineStr">
        <is>
          <t>中航科幻类科普中心（待定）</t>
        </is>
      </c>
      <c r="B7" s="8" t="inlineStr"/>
      <c r="C7" s="8" t="inlineStr">
        <is>
          <t>场景内容</t>
        </is>
      </c>
      <c r="D7" s="8" t="inlineStr">
        <is>
          <t>航空航天+机器人跨界体验模块</t>
        </is>
      </c>
      <c r="E7" s="8" t="inlineStr">
        <is>
          <t>未接触</t>
        </is>
      </c>
      <c r="F7" s="8" t="inlineStr">
        <is>
          <t>9月</t>
        </is>
      </c>
      <c r="G7" s="8" t="inlineStr"/>
      <c r="H7" s="8" t="inlineStr">
        <is>
          <t>差异化内容</t>
        </is>
      </c>
    </row>
    <row r="9" ht="24" customHeight="1">
      <c r="A9" s="3" t="inlineStr">
        <is>
          <t>B类：黄岛区科技企业（建议引入）</t>
        </is>
      </c>
    </row>
    <row r="10" ht="26" customHeight="1">
      <c r="A10" s="7" t="inlineStr">
        <is>
          <t>企业名称</t>
        </is>
      </c>
      <c r="B10" s="7" t="inlineStr">
        <is>
          <t>对接人</t>
        </is>
      </c>
      <c r="C10" s="7" t="inlineStr">
        <is>
          <t>可提供</t>
        </is>
      </c>
      <c r="D10" s="7" t="inlineStr">
        <is>
          <t>合作模式</t>
        </is>
      </c>
      <c r="E10" s="7" t="inlineStr">
        <is>
          <t>状态</t>
        </is>
      </c>
      <c r="F10" s="7" t="inlineStr">
        <is>
          <t>计划完成</t>
        </is>
      </c>
      <c r="G10" s="7" t="inlineStr">
        <is>
          <t>负责人</t>
        </is>
      </c>
      <c r="H10" s="7" t="inlineStr">
        <is>
          <t>备注</t>
        </is>
      </c>
    </row>
    <row r="11">
      <c r="A11" s="8" t="inlineStr">
        <is>
          <t>黄岛区人工智能/机器人企业1</t>
        </is>
      </c>
      <c r="B11" s="8" t="inlineStr"/>
      <c r="C11" s="8" t="inlineStr">
        <is>
          <t>机器人样机+技术讲解</t>
        </is>
      </c>
      <c r="D11" s="8" t="inlineStr">
        <is>
          <t>单场演示分成</t>
        </is>
      </c>
      <c r="E11" s="8" t="inlineStr">
        <is>
          <t>未接触</t>
        </is>
      </c>
      <c r="F11" s="8" t="inlineStr">
        <is>
          <t>8月</t>
        </is>
      </c>
      <c r="G11" s="8" t="inlineStr"/>
      <c r="H11" s="8" t="inlineStr">
        <is>
          <t>优先本地</t>
        </is>
      </c>
    </row>
    <row r="12">
      <c r="A12" s="8" t="inlineStr">
        <is>
          <t>黄岛区人工智能/机器人企业2</t>
        </is>
      </c>
      <c r="B12" s="8" t="inlineStr"/>
      <c r="C12" s="8" t="inlineStr">
        <is>
          <t>设备租赁</t>
        </is>
      </c>
      <c r="D12" s="8" t="inlineStr">
        <is>
          <t>按场结算</t>
        </is>
      </c>
      <c r="E12" s="8" t="inlineStr">
        <is>
          <t>未接触</t>
        </is>
      </c>
      <c r="F12" s="8" t="inlineStr">
        <is>
          <t>8月</t>
        </is>
      </c>
      <c r="G12" s="8" t="inlineStr"/>
      <c r="H12" s="8" t="inlineStr"/>
    </row>
    <row r="13">
      <c r="A13" s="8" t="inlineStr">
        <is>
          <t>青岛人工智能协会</t>
        </is>
      </c>
      <c r="B13" s="8" t="inlineStr"/>
      <c r="C13" s="8" t="inlineStr">
        <is>
          <t>行业资源+品牌</t>
        </is>
      </c>
      <c r="D13" s="8" t="inlineStr">
        <is>
          <t>副会长/会员</t>
        </is>
      </c>
      <c r="E13" s="8" t="inlineStr">
        <is>
          <t>未接触</t>
        </is>
      </c>
      <c r="F13" s="8" t="inlineStr">
        <is>
          <t>8月</t>
        </is>
      </c>
      <c r="G13" s="8" t="inlineStr"/>
      <c r="H13" s="8" t="inlineStr">
        <is>
          <t>3-5万/年</t>
        </is>
      </c>
    </row>
    <row r="14">
      <c r="A14" s="8" t="inlineStr">
        <is>
          <t>扬州区科技企业（备选）</t>
        </is>
      </c>
      <c r="B14" s="8" t="inlineStr"/>
      <c r="C14" s="8" t="inlineStr">
        <is>
          <t>设备租赁补充</t>
        </is>
      </c>
      <c r="D14" s="8" t="inlineStr">
        <is>
          <t>异地租赁</t>
        </is>
      </c>
      <c r="E14" s="8" t="inlineStr">
        <is>
          <t>未接触</t>
        </is>
      </c>
      <c r="F14" s="8" t="inlineStr">
        <is>
          <t>9月</t>
        </is>
      </c>
      <c r="G14" s="8" t="inlineStr"/>
      <c r="H14" s="8" t="inlineStr">
        <is>
          <t>仅作备选</t>
        </is>
      </c>
    </row>
    <row r="16" ht="24" customHeight="1">
      <c r="A16" s="20" t="inlineStr">
        <is>
          <t>C类：不建议作为核心依赖</t>
        </is>
      </c>
    </row>
    <row r="17" ht="26" customHeight="1">
      <c r="A17" s="7" t="inlineStr">
        <is>
          <t>机构</t>
        </is>
      </c>
      <c r="B17" s="7" t="inlineStr">
        <is>
          <t>原设想</t>
        </is>
      </c>
      <c r="C17" s="7" t="inlineStr">
        <is>
          <t>风险</t>
        </is>
      </c>
      <c r="D17" s="7" t="inlineStr">
        <is>
          <t>建议处理方式</t>
        </is>
      </c>
      <c r="E17" s="7" t="inlineStr">
        <is>
          <t>状态</t>
        </is>
      </c>
      <c r="F17" s="7" t="inlineStr"/>
      <c r="G17" s="7" t="inlineStr"/>
      <c r="H17" s="7" t="inlineStr"/>
    </row>
    <row r="18">
      <c r="A18" s="8" t="inlineStr">
        <is>
          <t>国企混改</t>
        </is>
      </c>
      <c r="B18" s="8" t="inlineStr">
        <is>
          <t>展厅+场地+资金</t>
        </is>
      </c>
      <c r="C18" s="8" t="inlineStr">
        <is>
          <t>易被架空、决策慢</t>
        </is>
      </c>
      <c r="D18" s="8" t="inlineStr">
        <is>
          <t>仅作场地赞助，不参与股权</t>
        </is>
      </c>
      <c r="E18" s="8" t="inlineStr">
        <is>
          <t>暂缓</t>
        </is>
      </c>
      <c r="F18" s="8" t="inlineStr"/>
      <c r="G18" s="8" t="inlineStr"/>
      <c r="H18" s="8" t="inlineStr"/>
    </row>
    <row r="19">
      <c r="A19" s="8" t="inlineStr">
        <is>
          <t>政府直接合作</t>
        </is>
      </c>
      <c r="B19" s="8" t="inlineStr">
        <is>
          <t>政策/补贴/获客</t>
        </is>
      </c>
      <c r="C19" s="8" t="inlineStr">
        <is>
          <t>资源不可控</t>
        </is>
      </c>
      <c r="D19" s="8" t="inlineStr">
        <is>
          <t>不依赖，可了解孵化补贴信息</t>
        </is>
      </c>
      <c r="E19" s="8" t="inlineStr">
        <is>
          <t>暂缓</t>
        </is>
      </c>
      <c r="F19" s="8" t="inlineStr"/>
      <c r="G19" s="8" t="inlineStr"/>
      <c r="H19" s="8" t="inlineStr"/>
    </row>
  </sheetData>
  <mergeCells count="5">
    <mergeCell ref="A9:H9"/>
    <mergeCell ref="A4:H4"/>
    <mergeCell ref="A16:H16"/>
    <mergeCell ref="A2:H2"/>
    <mergeCell ref="A1:H1"/>
  </mergeCells>
  <dataValidations count="1">
    <dataValidation sqref="E6:E14" showDropDown="0" showInputMessage="0" showErrorMessage="0" allowBlank="1" error="请从下拉列表选择状态" type="list">
      <formula1>"未开始,进行中,已完成,延期,取消"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36" customHeight="1">
      <c r="A1" s="1" t="inlineStr">
        <is>
          <t>预算明细（轻资产版）</t>
        </is>
      </c>
    </row>
    <row r="2" ht="20" customHeight="1">
      <c r="A2" s="2" t="inlineStr">
        <is>
          <t>首年验证期  |  不含50万级代理买断</t>
        </is>
      </c>
    </row>
    <row r="4" ht="26" customHeight="1">
      <c r="A4" s="7" t="inlineStr">
        <is>
          <t>类别</t>
        </is>
      </c>
      <c r="B4" s="7" t="inlineStr">
        <is>
          <t>项目</t>
        </is>
      </c>
      <c r="C4" s="7" t="inlineStr">
        <is>
          <t>预算（万元）</t>
        </is>
      </c>
      <c r="D4" s="7" t="inlineStr">
        <is>
          <t>已支出</t>
        </is>
      </c>
      <c r="E4" s="7" t="inlineStr">
        <is>
          <t>余额</t>
        </is>
      </c>
      <c r="F4" s="7" t="inlineStr">
        <is>
          <t>支付时间</t>
        </is>
      </c>
      <c r="G4" s="7" t="inlineStr">
        <is>
          <t>备注</t>
        </is>
      </c>
    </row>
    <row r="5">
      <c r="A5" s="8" t="inlineStr">
        <is>
          <t>一次性</t>
        </is>
      </c>
      <c r="B5" s="8" t="inlineStr">
        <is>
          <t>协会/行业资源（副会长等）</t>
        </is>
      </c>
      <c r="C5" s="8" t="n">
        <v>4</v>
      </c>
      <c r="D5" s="8" t="n">
        <v>0</v>
      </c>
      <c r="E5" s="8">
        <f>C5-D5</f>
        <v/>
      </c>
      <c r="F5" s="8" t="inlineStr">
        <is>
          <t>8月</t>
        </is>
      </c>
      <c r="G5" s="8" t="inlineStr"/>
    </row>
    <row r="6">
      <c r="A6" s="8" t="inlineStr">
        <is>
          <t>变动</t>
        </is>
      </c>
      <c r="B6" s="8" t="inlineStr">
        <is>
          <t>机器人设备租赁（全年）</t>
        </is>
      </c>
      <c r="C6" s="8" t="n">
        <v>12</v>
      </c>
      <c r="D6" s="8" t="n">
        <v>0</v>
      </c>
      <c r="E6" s="8">
        <f>C6-D6</f>
        <v/>
      </c>
      <c r="F6" s="8" t="inlineStr">
        <is>
          <t>按场</t>
        </is>
      </c>
      <c r="G6" s="8" t="inlineStr">
        <is>
          <t>非购置</t>
        </is>
      </c>
    </row>
    <row r="7">
      <c r="A7" s="8" t="inlineStr">
        <is>
          <t>变动</t>
        </is>
      </c>
      <c r="B7" s="8" t="inlineStr">
        <is>
          <t>场地与活动执行</t>
        </is>
      </c>
      <c r="C7" s="8" t="n">
        <v>8</v>
      </c>
      <c r="D7" s="8" t="n">
        <v>0</v>
      </c>
      <c r="E7" s="8">
        <f>C7-D7</f>
        <v/>
      </c>
      <c r="F7" s="8" t="inlineStr">
        <is>
          <t>按月</t>
        </is>
      </c>
      <c r="G7" s="8" t="inlineStr">
        <is>
          <t>多点位</t>
        </is>
      </c>
    </row>
    <row r="8">
      <c r="A8" s="8" t="inlineStr">
        <is>
          <t>一次性</t>
        </is>
      </c>
      <c r="B8" s="8" t="inlineStr">
        <is>
          <t>课程与物料开发</t>
        </is>
      </c>
      <c r="C8" s="8" t="n">
        <v>4</v>
      </c>
      <c r="D8" s="8" t="n">
        <v>0</v>
      </c>
      <c r="E8" s="8">
        <f>C8-D8</f>
        <v/>
      </c>
      <c r="F8" s="8" t="inlineStr">
        <is>
          <t>10月</t>
        </is>
      </c>
      <c r="G8" s="8" t="inlineStr">
        <is>
          <t>PPT/视频/教材</t>
        </is>
      </c>
    </row>
    <row r="9">
      <c r="A9" s="8" t="inlineStr">
        <is>
          <t>变动</t>
        </is>
      </c>
      <c r="B9" s="8" t="inlineStr">
        <is>
          <t>市场招生与宣发</t>
        </is>
      </c>
      <c r="C9" s="8" t="n">
        <v>4</v>
      </c>
      <c r="D9" s="8" t="n">
        <v>0</v>
      </c>
      <c r="E9" s="8">
        <f>C9-D9</f>
        <v/>
      </c>
      <c r="F9" s="8" t="inlineStr">
        <is>
          <t>11月</t>
        </is>
      </c>
      <c r="G9" s="8" t="inlineStr"/>
    </row>
    <row r="10">
      <c r="A10" s="8" t="inlineStr">
        <is>
          <t>固定</t>
        </is>
      </c>
      <c r="B10" s="8" t="inlineStr">
        <is>
          <t>人员与日常运营</t>
        </is>
      </c>
      <c r="C10" s="8" t="n">
        <v>12</v>
      </c>
      <c r="D10" s="8" t="n">
        <v>0</v>
      </c>
      <c r="E10" s="8">
        <f>C10-D10</f>
        <v/>
      </c>
      <c r="F10" s="8" t="inlineStr">
        <is>
          <t>按月</t>
        </is>
      </c>
      <c r="G10" s="8" t="inlineStr">
        <is>
          <t>5-8人</t>
        </is>
      </c>
    </row>
    <row r="11">
      <c r="A11" s="8" t="inlineStr">
        <is>
          <t>储备</t>
        </is>
      </c>
      <c r="B11" s="8" t="inlineStr">
        <is>
          <t>预备金</t>
        </is>
      </c>
      <c r="C11" s="8" t="n">
        <v>5</v>
      </c>
      <c r="D11" s="8" t="n">
        <v>0</v>
      </c>
      <c r="E11" s="8">
        <f>C11-D11</f>
        <v/>
      </c>
      <c r="F11" s="8" t="inlineStr">
        <is>
          <t>随时</t>
        </is>
      </c>
      <c r="G11" s="8" t="inlineStr"/>
    </row>
    <row r="12">
      <c r="A12" s="21" t="inlineStr"/>
      <c r="B12" s="21" t="inlineStr">
        <is>
          <t>合计</t>
        </is>
      </c>
      <c r="C12" s="21">
        <f>SUM(C5:C11)</f>
        <v/>
      </c>
      <c r="D12" s="21">
        <f>SUM(D5:D11)</f>
        <v/>
      </c>
      <c r="E12" s="21">
        <f>C12-D12</f>
        <v/>
      </c>
      <c r="F12" s="21" t="inlineStr"/>
      <c r="G12" s="21" t="inlineStr">
        <is>
          <t>37-60万区间</t>
        </is>
      </c>
    </row>
    <row r="14" ht="24" customHeight="1">
      <c r="A14" s="6" t="inlineStr">
        <is>
          <t>与重资产方案对比</t>
        </is>
      </c>
    </row>
    <row r="15" ht="26" customHeight="1">
      <c r="A15" s="7" t="inlineStr">
        <is>
          <t>方案</t>
        </is>
      </c>
      <c r="B15" s="7" t="inlineStr">
        <is>
          <t>初期投入</t>
        </is>
      </c>
      <c r="C15" s="7" t="inlineStr">
        <is>
          <t>风险</t>
        </is>
      </c>
      <c r="D15" s="7" t="inlineStr">
        <is>
          <t>建议</t>
        </is>
      </c>
    </row>
    <row r="16">
      <c r="A16" s="8" t="inlineStr">
        <is>
          <t>轻资产研学营（本方案）</t>
        </is>
      </c>
      <c r="B16" s="8" t="inlineStr">
        <is>
          <t>37-60万</t>
        </is>
      </c>
      <c r="C16" s="8" t="inlineStr">
        <is>
          <t>低</t>
        </is>
      </c>
      <c r="D16" s="8" t="inlineStr">
        <is>
          <t>✅ 推荐</t>
        </is>
      </c>
    </row>
    <row r="17">
      <c r="A17" s="8" t="inlineStr">
        <is>
          <t>深蓝机器人区域代理</t>
        </is>
      </c>
      <c r="B17" s="8" t="inlineStr">
        <is>
          <t>50万+</t>
        </is>
      </c>
      <c r="C17" s="8" t="inlineStr">
        <is>
          <t>高（库存贬值）</t>
        </is>
      </c>
      <c r="D17" s="8" t="inlineStr">
        <is>
          <t>❌ 暂缓</t>
        </is>
      </c>
    </row>
    <row r="18">
      <c r="A18" s="8" t="inlineStr">
        <is>
          <t>智巨人AI代理</t>
        </is>
      </c>
      <c r="B18" s="8" t="inlineStr">
        <is>
          <t>20-30万</t>
        </is>
      </c>
      <c r="C18" s="8" t="inlineStr">
        <is>
          <t>中（非头部）</t>
        </is>
      </c>
      <c r="D18" s="8" t="inlineStr">
        <is>
          <t>❌ 暂缓</t>
        </is>
      </c>
    </row>
    <row r="19">
      <c r="A19" s="8" t="inlineStr">
        <is>
          <t>国企混改+展厅</t>
        </is>
      </c>
      <c r="B19" s="8" t="inlineStr">
        <is>
          <t>100万+</t>
        </is>
      </c>
      <c r="C19" s="8" t="inlineStr">
        <is>
          <t>极高</t>
        </is>
      </c>
      <c r="D19" s="8" t="inlineStr">
        <is>
          <t>❌ 暂缓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18" customWidth="1" min="5" max="5"/>
    <col width="10" customWidth="1" min="6" max="6"/>
    <col width="8" customWidth="1" min="7" max="7"/>
    <col width="18" customWidth="1" min="8" max="8"/>
  </cols>
  <sheetData>
    <row r="1" ht="36" customHeight="1">
      <c r="A1" s="1" t="inlineStr">
        <is>
          <t>品牌调研跟踪表</t>
        </is>
      </c>
    </row>
    <row r="2" ht="20" customHeight="1">
      <c r="A2" s="2" t="inlineStr">
        <is>
          <t>头部优先  |  一级代理+提成  |  勿压库存</t>
        </is>
      </c>
    </row>
    <row r="4" ht="26" customHeight="1">
      <c r="A4" s="7" t="inlineStr">
        <is>
          <t>品类</t>
        </is>
      </c>
      <c r="B4" s="7" t="inlineStr">
        <is>
          <t>品牌</t>
        </is>
      </c>
      <c r="C4" s="7" t="inlineStr">
        <is>
          <t>代理费/模式</t>
        </is>
      </c>
      <c r="D4" s="7" t="inlineStr">
        <is>
          <t>优势</t>
        </is>
      </c>
      <c r="E4" s="7" t="inlineStr">
        <is>
          <t>劣势</t>
        </is>
      </c>
      <c r="F4" s="7" t="inlineStr">
        <is>
          <t>调研状态</t>
        </is>
      </c>
      <c r="G4" s="7" t="inlineStr">
        <is>
          <t>优先级</t>
        </is>
      </c>
      <c r="H4" s="7" t="inlineStr">
        <is>
          <t>备注</t>
        </is>
      </c>
    </row>
    <row r="5">
      <c r="A5" s="8" t="inlineStr">
        <is>
          <t>人形机器人</t>
        </is>
      </c>
      <c r="B5" s="8" t="inlineStr">
        <is>
          <t>宇树</t>
        </is>
      </c>
      <c r="C5" s="8" t="inlineStr">
        <is>
          <t>租赁+代理提成</t>
        </is>
      </c>
      <c r="D5" s="8" t="inlineStr">
        <is>
          <t>头部、价格适中（约9.9万起）</t>
        </is>
      </c>
      <c r="E5" s="8" t="inlineStr">
        <is>
          <t>表演场景为主</t>
        </is>
      </c>
      <c r="F5" s="8" t="inlineStr">
        <is>
          <t>待调研</t>
        </is>
      </c>
      <c r="G5" s="8" t="inlineStr">
        <is>
          <t>P0</t>
        </is>
      </c>
      <c r="H5" s="8" t="inlineStr">
        <is>
          <t>会议纪要推荐</t>
        </is>
      </c>
    </row>
    <row r="6">
      <c r="A6" s="13" t="inlineStr">
        <is>
          <t>人形机器人</t>
        </is>
      </c>
      <c r="B6" s="13" t="inlineStr">
        <is>
          <t>智谱</t>
        </is>
      </c>
      <c r="C6" s="13" t="inlineStr">
        <is>
          <t>待了解</t>
        </is>
      </c>
      <c r="D6" s="13" t="inlineStr">
        <is>
          <t>头部品牌</t>
        </is>
      </c>
      <c r="E6" s="13" t="inlineStr">
        <is>
          <t>待了解</t>
        </is>
      </c>
      <c r="F6" s="13" t="inlineStr">
        <is>
          <t>待调研</t>
        </is>
      </c>
      <c r="G6" s="13" t="inlineStr">
        <is>
          <t>P0</t>
        </is>
      </c>
      <c r="H6" s="13" t="inlineStr"/>
    </row>
    <row r="7">
      <c r="A7" s="8" t="inlineStr">
        <is>
          <t>人形机器人</t>
        </is>
      </c>
      <c r="B7" s="8" t="inlineStr">
        <is>
          <t>深蓝科技</t>
        </is>
      </c>
      <c r="C7" s="8" t="inlineStr">
        <is>
          <t>50万黄岛区加盟</t>
        </is>
      </c>
      <c r="D7" s="8" t="inlineStr">
        <is>
          <t>有实体工厂</t>
        </is>
      </c>
      <c r="E7" s="8" t="inlineStr">
        <is>
          <t>价格高、买断风险</t>
        </is>
      </c>
      <c r="F7" s="8" t="inlineStr">
        <is>
          <t>已接触</t>
        </is>
      </c>
      <c r="G7" s="8" t="inlineStr">
        <is>
          <t>P2</t>
        </is>
      </c>
      <c r="H7" s="8" t="inlineStr">
        <is>
          <t>暂缓买断</t>
        </is>
      </c>
    </row>
    <row r="8">
      <c r="A8" s="13" t="inlineStr">
        <is>
          <t>AI视频/算力</t>
        </is>
      </c>
      <c r="B8" s="13" t="inlineStr">
        <is>
          <t>字节即梦</t>
        </is>
      </c>
      <c r="C8" s="13" t="inlineStr">
        <is>
          <t>一级代理4-5折</t>
        </is>
      </c>
      <c r="D8" s="13" t="inlineStr">
        <is>
          <t>头部、短视频场景匹配</t>
        </is>
      </c>
      <c r="E8" s="13" t="inlineStr">
        <is>
          <t>需谈代理</t>
        </is>
      </c>
      <c r="F8" s="13" t="inlineStr">
        <is>
          <t>待调研</t>
        </is>
      </c>
      <c r="G8" s="13" t="inlineStr">
        <is>
          <t>P0</t>
        </is>
      </c>
      <c r="H8" s="13" t="inlineStr">
        <is>
          <t>会议纪要推荐</t>
        </is>
      </c>
    </row>
    <row r="9">
      <c r="A9" s="8" t="inlineStr">
        <is>
          <t>AI算力</t>
        </is>
      </c>
      <c r="B9" s="8" t="inlineStr">
        <is>
          <t>DeepSeek</t>
        </is>
      </c>
      <c r="C9" s="8" t="inlineStr">
        <is>
          <t>待了解</t>
        </is>
      </c>
      <c r="D9" s="8" t="inlineStr">
        <is>
          <t>国内头部</t>
        </is>
      </c>
      <c r="E9" s="8" t="inlineStr">
        <is>
          <t>待了解</t>
        </is>
      </c>
      <c r="F9" s="8" t="inlineStr">
        <is>
          <t>待调研</t>
        </is>
      </c>
      <c r="G9" s="8" t="inlineStr">
        <is>
          <t>P1</t>
        </is>
      </c>
      <c r="H9" s="8" t="inlineStr"/>
    </row>
    <row r="10">
      <c r="A10" s="13" t="inlineStr">
        <is>
          <t>AI视频</t>
        </is>
      </c>
      <c r="B10" s="13" t="inlineStr">
        <is>
          <t>智巨人</t>
        </is>
      </c>
      <c r="C10" s="13" t="inlineStr">
        <is>
          <t>20-30万加盟</t>
        </is>
      </c>
      <c r="D10" s="13" t="inlineStr">
        <is>
          <t>已接触</t>
        </is>
      </c>
      <c r="E10" s="13" t="inlineStr">
        <is>
          <t>非头部</t>
        </is>
      </c>
      <c r="F10" s="13" t="inlineStr">
        <is>
          <t>已接触</t>
        </is>
      </c>
      <c r="G10" s="13" t="inlineStr">
        <is>
          <t>P3</t>
        </is>
      </c>
      <c r="H10" s="13" t="inlineStr">
        <is>
          <t>不建议</t>
        </is>
      </c>
    </row>
    <row r="11">
      <c r="A11" s="8" t="inlineStr">
        <is>
          <t>行业资源</t>
        </is>
      </c>
      <c r="B11" s="8" t="inlineStr">
        <is>
          <t>青岛AI/机器人协会</t>
        </is>
      </c>
      <c r="C11" s="8" t="inlineStr">
        <is>
          <t>3-5万副会长</t>
        </is>
      </c>
      <c r="D11" s="8" t="inlineStr">
        <is>
          <t>横向比选资源</t>
        </is>
      </c>
      <c r="E11" s="8" t="inlineStr">
        <is>
          <t>需时间积累</t>
        </is>
      </c>
      <c r="F11" s="8" t="inlineStr">
        <is>
          <t>待接触</t>
        </is>
      </c>
      <c r="G11" s="8" t="inlineStr">
        <is>
          <t>P1</t>
        </is>
      </c>
      <c r="H11" s="8" t="inlineStr"/>
    </row>
  </sheetData>
  <mergeCells count="2">
    <mergeCell ref="A2:H2"/>
    <mergeCell ref="A1:H1"/>
  </mergeCells>
  <dataValidations count="1">
    <dataValidation sqref="F5:F11" showDropDown="0" showInputMessage="0" showErrorMessage="0" allowBlank="1" error="请从下拉列表选择状态" type="list">
      <formula1>"未开始,进行中,已完成,延期,取消"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28" customWidth="1" min="4" max="4"/>
    <col width="10" customWidth="1" min="5" max="5"/>
    <col width="10" customWidth="1" min="6" max="6"/>
  </cols>
  <sheetData>
    <row r="1" ht="36" customHeight="1">
      <c r="A1" s="1" t="inlineStr">
        <is>
          <t>风险预案</t>
        </is>
      </c>
    </row>
    <row r="2" ht="20" customHeight="1">
      <c r="A2" s="2" t="inlineStr">
        <is>
          <t>会议纪要警示项 + 应对策略</t>
        </is>
      </c>
    </row>
    <row r="4" ht="26" customHeight="1">
      <c r="A4" s="7" t="inlineStr">
        <is>
          <t>风险项</t>
        </is>
      </c>
      <c r="B4" s="7" t="inlineStr">
        <is>
          <t>等级</t>
        </is>
      </c>
      <c r="C4" s="7" t="inlineStr">
        <is>
          <t>触发信号</t>
        </is>
      </c>
      <c r="D4" s="7" t="inlineStr">
        <is>
          <t>应对策略</t>
        </is>
      </c>
      <c r="E4" s="7" t="inlineStr">
        <is>
          <t>责任人</t>
        </is>
      </c>
      <c r="F4" s="7" t="inlineStr">
        <is>
          <t>状态</t>
        </is>
      </c>
    </row>
    <row r="5">
      <c r="A5" s="8" t="inlineStr">
        <is>
          <t>双线作战精力分散</t>
        </is>
      </c>
      <c r="B5" s="22" t="inlineStr">
        <is>
          <t>高</t>
        </is>
      </c>
      <c r="C5" s="8" t="inlineStr">
        <is>
          <t>机器人与AI团队互相抢资源</t>
        </is>
      </c>
      <c r="D5" s="8" t="inlineStr">
        <is>
          <t>统一研学客群，分渠道运营</t>
        </is>
      </c>
      <c r="E5" s="8" t="inlineStr"/>
      <c r="F5" s="8" t="inlineStr">
        <is>
          <t>监控中</t>
        </is>
      </c>
    </row>
    <row r="6">
      <c r="A6" s="8" t="inlineStr">
        <is>
          <t>机器人库存贬值</t>
        </is>
      </c>
      <c r="B6" s="22" t="inlineStr">
        <is>
          <t>高</t>
        </is>
      </c>
      <c r="C6" s="8" t="inlineStr">
        <is>
          <t>设备购入后滞销</t>
        </is>
      </c>
      <c r="D6" s="8" t="inlineStr">
        <is>
          <t>只租不买，成交后结算</t>
        </is>
      </c>
      <c r="E6" s="8" t="inlineStr"/>
      <c r="F6" s="8" t="inlineStr">
        <is>
          <t>监控中</t>
        </is>
      </c>
    </row>
    <row r="7">
      <c r="A7" s="8" t="inlineStr">
        <is>
          <t>政府资源被架空</t>
        </is>
      </c>
      <c r="B7" s="22" t="inlineStr">
        <is>
          <t>高</t>
        </is>
      </c>
      <c r="C7" s="8" t="inlineStr">
        <is>
          <t>合作方绕过对接厂家</t>
        </is>
      </c>
      <c r="D7" s="8" t="inlineStr">
        <is>
          <t>不依赖政府获客</t>
        </is>
      </c>
      <c r="E7" s="8" t="inlineStr"/>
      <c r="F7" s="8" t="inlineStr">
        <is>
          <t>已规避</t>
        </is>
      </c>
    </row>
    <row r="8">
      <c r="A8" s="8" t="inlineStr">
        <is>
          <t>招生不达预期</t>
        </is>
      </c>
      <c r="B8" s="23" t="inlineStr">
        <is>
          <t>中</t>
        </is>
      </c>
      <c r="C8" s="8" t="inlineStr">
        <is>
          <t>11月报名&lt;30人/期</t>
        </is>
      </c>
      <c r="D8" s="8" t="inlineStr">
        <is>
          <t>延期或合并期次</t>
        </is>
      </c>
      <c r="E8" s="8" t="inlineStr"/>
      <c r="F8" s="8" t="inlineStr">
        <is>
          <t>监控中</t>
        </is>
      </c>
    </row>
    <row r="9">
      <c r="A9" s="8" t="inlineStr">
        <is>
          <t>品牌代理政策变化</t>
        </is>
      </c>
      <c r="B9" s="23" t="inlineStr">
        <is>
          <t>中</t>
        </is>
      </c>
      <c r="C9" s="8" t="inlineStr">
        <is>
          <t>厂家提高门槛</t>
        </is>
      </c>
      <c r="D9" s="8" t="inlineStr">
        <is>
          <t>多品牌比选</t>
        </is>
      </c>
      <c r="E9" s="8" t="inlineStr"/>
      <c r="F9" s="8" t="inlineStr">
        <is>
          <t>监控中</t>
        </is>
      </c>
    </row>
    <row r="10">
      <c r="A10" s="8" t="inlineStr">
        <is>
          <t>免费课转化低</t>
        </is>
      </c>
      <c r="B10" s="23" t="inlineStr">
        <is>
          <t>中</t>
        </is>
      </c>
      <c r="C10" s="8" t="inlineStr">
        <is>
          <t>体验课到课率&lt;50%</t>
        </is>
      </c>
      <c r="D10" s="8" t="inlineStr">
        <is>
          <t>改收费筛选</t>
        </is>
      </c>
      <c r="E10" s="8" t="inlineStr"/>
      <c r="F10" s="8" t="inlineStr">
        <is>
          <t>监控中</t>
        </is>
      </c>
    </row>
    <row r="11">
      <c r="A11" s="8" t="inlineStr">
        <is>
          <t>安全事故</t>
        </is>
      </c>
      <c r="B11" s="22" t="inlineStr">
        <is>
          <t>高</t>
        </is>
      </c>
      <c r="C11" s="8" t="inlineStr">
        <is>
          <t>活动现场意外</t>
        </is>
      </c>
      <c r="D11" s="8" t="inlineStr">
        <is>
          <t>保险+预案+围栏</t>
        </is>
      </c>
      <c r="E11" s="8" t="inlineStr"/>
      <c r="F11" s="8" t="inlineStr">
        <is>
          <t>监控中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 ht="36" customHeight="1">
      <c r="A1" s="1" t="inlineStr">
        <is>
          <t>KPI 考核表</t>
        </is>
      </c>
    </row>
    <row r="2" ht="20" customHeight="1">
      <c r="A2" s="2" t="inlineStr">
        <is>
          <t>寒假验证期  |  每周更新</t>
        </is>
      </c>
    </row>
    <row r="4" ht="26" customHeight="1">
      <c r="A4" s="7" t="inlineStr">
        <is>
          <t>考核周期</t>
        </is>
      </c>
      <c r="B4" s="7" t="inlineStr">
        <is>
          <t>指标</t>
        </is>
      </c>
      <c r="C4" s="7" t="inlineStr">
        <is>
          <t>目标</t>
        </is>
      </c>
      <c r="D4" s="7" t="inlineStr">
        <is>
          <t>实际</t>
        </is>
      </c>
      <c r="E4" s="7" t="inlineStr">
        <is>
          <t>完成率</t>
        </is>
      </c>
      <c r="F4" s="7" t="inlineStr">
        <is>
          <t>考核人</t>
        </is>
      </c>
      <c r="G4" s="7" t="inlineStr">
        <is>
          <t>备注</t>
        </is>
      </c>
    </row>
    <row r="5">
      <c r="A5" s="8" t="inlineStr">
        <is>
          <t>7月</t>
        </is>
      </c>
      <c r="B5" s="8" t="inlineStr">
        <is>
          <t>策划案定稿</t>
        </is>
      </c>
      <c r="C5" s="8" t="inlineStr">
        <is>
          <t>1份</t>
        </is>
      </c>
      <c r="D5" s="8" t="n">
        <v>0</v>
      </c>
      <c r="E5" s="24">
        <f>IFERROR(D5/C5,0)</f>
        <v/>
      </c>
      <c r="F5" s="8" t="inlineStr"/>
      <c r="G5" s="8" t="inlineStr"/>
    </row>
    <row r="6">
      <c r="A6" s="8" t="inlineStr">
        <is>
          <t>7月</t>
        </is>
      </c>
      <c r="B6" s="8" t="inlineStr">
        <is>
          <t>品牌调研完成</t>
        </is>
      </c>
      <c r="C6" s="8" t="inlineStr">
        <is>
          <t>≥4家</t>
        </is>
      </c>
      <c r="D6" s="8" t="n">
        <v>0</v>
      </c>
      <c r="E6" s="24">
        <f>IFERROR(D6/C6,0)</f>
        <v/>
      </c>
      <c r="F6" s="8" t="inlineStr"/>
      <c r="G6" s="8" t="inlineStr"/>
    </row>
    <row r="7">
      <c r="A7" s="8" t="inlineStr">
        <is>
          <t>8月</t>
        </is>
      </c>
      <c r="B7" s="8" t="inlineStr">
        <is>
          <t>合作意向书</t>
        </is>
      </c>
      <c r="C7" s="8" t="inlineStr">
        <is>
          <t>≥3份</t>
        </is>
      </c>
      <c r="D7" s="8" t="n">
        <v>0</v>
      </c>
      <c r="E7" s="24">
        <f>IFERROR(D7/C7,0)</f>
        <v/>
      </c>
      <c r="F7" s="8" t="inlineStr"/>
      <c r="G7" s="8" t="inlineStr"/>
    </row>
    <row r="8">
      <c r="A8" s="8" t="inlineStr">
        <is>
          <t>9月</t>
        </is>
      </c>
      <c r="B8" s="8" t="inlineStr">
        <is>
          <t>试点活动场次</t>
        </is>
      </c>
      <c r="C8" s="8" t="inlineStr">
        <is>
          <t>≥3场</t>
        </is>
      </c>
      <c r="D8" s="8" t="n">
        <v>0</v>
      </c>
      <c r="E8" s="24">
        <f>IFERROR(D8/C8,0)</f>
        <v/>
      </c>
      <c r="F8" s="8" t="inlineStr"/>
      <c r="G8" s="8" t="inlineStr"/>
    </row>
    <row r="9">
      <c r="A9" s="8" t="inlineStr">
        <is>
          <t>10月</t>
        </is>
      </c>
      <c r="B9" s="8" t="inlineStr">
        <is>
          <t>课程物料完成度</t>
        </is>
      </c>
      <c r="C9" s="8" t="inlineStr">
        <is>
          <t>100%</t>
        </is>
      </c>
      <c r="D9" s="8" t="n">
        <v>0</v>
      </c>
      <c r="E9" s="24">
        <f>IFERROR(D9/C9,0)</f>
        <v/>
      </c>
      <c r="F9" s="8" t="inlineStr"/>
      <c r="G9" s="8" t="inlineStr"/>
    </row>
    <row r="10">
      <c r="A10" s="8" t="inlineStr">
        <is>
          <t>11月</t>
        </is>
      </c>
      <c r="B10" s="8" t="inlineStr">
        <is>
          <t>寒假预报名人数</t>
        </is>
      </c>
      <c r="C10" s="8" t="inlineStr">
        <is>
          <t>≥120人</t>
        </is>
      </c>
      <c r="D10" s="8" t="n">
        <v>0</v>
      </c>
      <c r="E10" s="24">
        <f>IFERROR(D10/C10,0)</f>
        <v/>
      </c>
      <c r="F10" s="8" t="inlineStr"/>
      <c r="G10" s="8" t="inlineStr"/>
    </row>
    <row r="11">
      <c r="A11" s="8" t="inlineStr">
        <is>
          <t>12月</t>
        </is>
      </c>
      <c r="B11" s="8" t="inlineStr">
        <is>
          <t>彩排完成</t>
        </is>
      </c>
      <c r="C11" s="8" t="inlineStr">
        <is>
          <t>1次全流程</t>
        </is>
      </c>
      <c r="D11" s="8" t="n">
        <v>0</v>
      </c>
      <c r="E11" s="24">
        <f>IFERROR(D11/C11,0)</f>
        <v/>
      </c>
      <c r="F11" s="8" t="inlineStr"/>
      <c r="G11" s="8" t="inlineStr"/>
    </row>
    <row r="12">
      <c r="A12" s="8" t="inlineStr">
        <is>
          <t>1-2月</t>
        </is>
      </c>
      <c r="B12" s="8" t="inlineStr">
        <is>
          <t>寒假营总收入</t>
        </is>
      </c>
      <c r="C12" s="8" t="inlineStr">
        <is>
          <t>≥15万元</t>
        </is>
      </c>
      <c r="D12" s="8" t="n">
        <v>0</v>
      </c>
      <c r="E12" s="24">
        <f>IFERROR(D12/C12,0)</f>
        <v/>
      </c>
      <c r="F12" s="8" t="inlineStr"/>
      <c r="G12" s="8" t="inlineStr"/>
    </row>
    <row r="13">
      <c r="A13" s="8" t="inlineStr">
        <is>
          <t>1-2月</t>
        </is>
      </c>
      <c r="B13" s="8" t="inlineStr">
        <is>
          <t>研学机构签约</t>
        </is>
      </c>
      <c r="C13" s="8" t="inlineStr">
        <is>
          <t>≥3家</t>
        </is>
      </c>
      <c r="D13" s="8" t="n">
        <v>0</v>
      </c>
      <c r="E13" s="24">
        <f>IFERROR(D13/C13,0)</f>
        <v/>
      </c>
      <c r="F13" s="8" t="inlineStr"/>
      <c r="G13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28" customWidth="1" min="4" max="4"/>
    <col width="12" customWidth="1" min="5" max="5"/>
  </cols>
  <sheetData>
    <row r="1" ht="36" customHeight="1">
      <c r="A1" s="1" t="inlineStr">
        <is>
          <t>待讨论事项</t>
        </is>
      </c>
    </row>
    <row r="2" ht="20" customHeight="1">
      <c r="A2" s="2" t="inlineStr">
        <is>
          <t>供团队评审  |  讨论后请在结论列填写</t>
        </is>
      </c>
    </row>
    <row r="4" ht="26" customHeight="1">
      <c r="A4" s="7" t="inlineStr">
        <is>
          <t>序号</t>
        </is>
      </c>
      <c r="B4" s="7" t="inlineStr">
        <is>
          <t>讨论议题</t>
        </is>
      </c>
      <c r="C4" s="7" t="inlineStr">
        <is>
          <t>建议方案</t>
        </is>
      </c>
      <c r="D4" s="7" t="inlineStr">
        <is>
          <t>结论（待填）</t>
        </is>
      </c>
      <c r="E4" s="7" t="inlineStr">
        <is>
          <t>决策人</t>
        </is>
      </c>
    </row>
    <row r="5">
      <c r="A5" s="8" t="n">
        <v>1</v>
      </c>
      <c r="B5" s="8" t="inlineStr">
        <is>
          <t>是否确认以寒假研学营为第一个MVP？</t>
        </is>
      </c>
      <c r="C5" s="8" t="inlineStr">
        <is>
          <t>是，暂缓展厅与混改</t>
        </is>
      </c>
      <c r="D5" s="8" t="inlineStr"/>
      <c r="E5" s="8" t="inlineStr"/>
    </row>
    <row r="6">
      <c r="A6" s="13" t="n">
        <v>2</v>
      </c>
      <c r="B6" s="13" t="inlineStr">
        <is>
          <t>机器人与AI算力如何组合？</t>
        </is>
      </c>
      <c r="C6" s="13" t="inlineStr">
        <is>
          <t>统一研学客群，分团队运营</t>
        </is>
      </c>
      <c r="D6" s="13" t="inlineStr"/>
      <c r="E6" s="13" t="inlineStr"/>
    </row>
    <row r="7">
      <c r="A7" s="8" t="n">
        <v>3</v>
      </c>
      <c r="B7" s="8" t="inlineStr">
        <is>
          <t>是否引入高校/中航科幻中心？</t>
        </is>
      </c>
      <c r="C7" s="8" t="inlineStr">
        <is>
          <t>建议引入，9月前签框架</t>
        </is>
      </c>
      <c r="D7" s="8" t="inlineStr"/>
      <c r="E7" s="8" t="inlineStr"/>
    </row>
    <row r="8">
      <c r="A8" s="13" t="n">
        <v>4</v>
      </c>
      <c r="B8" s="13" t="inlineStr">
        <is>
          <t>是否引入黄岛区科技企业？</t>
        </is>
      </c>
      <c r="C8" s="13" t="inlineStr">
        <is>
          <t>建议引入2-3家演示伙伴</t>
        </is>
      </c>
      <c r="D8" s="13" t="inlineStr"/>
      <c r="E8" s="13" t="inlineStr"/>
    </row>
    <row r="9">
      <c r="A9" s="8" t="n">
        <v>5</v>
      </c>
      <c r="B9" s="8" t="inlineStr">
        <is>
          <t>扬州区科技企业是否参与？</t>
        </is>
      </c>
      <c r="C9" s="8" t="inlineStr">
        <is>
          <t>仅作设备租赁备选</t>
        </is>
      </c>
      <c r="D9" s="8" t="inlineStr"/>
      <c r="E9" s="8" t="inlineStr"/>
    </row>
    <row r="10">
      <c r="A10" s="13" t="n">
        <v>6</v>
      </c>
      <c r="B10" s="13" t="inlineStr">
        <is>
          <t>代理品牌优先调研哪家？</t>
        </is>
      </c>
      <c r="C10" s="13" t="inlineStr">
        <is>
          <t>宇树+即梦+智谱</t>
        </is>
      </c>
      <c r="D10" s="13" t="inlineStr"/>
      <c r="E10" s="13" t="inlineStr"/>
    </row>
    <row r="11">
      <c r="A11" s="8" t="n">
        <v>7</v>
      </c>
      <c r="B11" s="8" t="inlineStr">
        <is>
          <t>轻资产预算37-60万是否可接受？</t>
        </is>
      </c>
      <c r="C11" s="8" t="inlineStr">
        <is>
          <t>可分阶段投入</t>
        </is>
      </c>
      <c r="D11" s="8" t="inlineStr"/>
      <c r="E11" s="8" t="inlineStr"/>
    </row>
    <row r="12">
      <c r="A12" s="13" t="n">
        <v>8</v>
      </c>
      <c r="B12" s="13" t="inlineStr">
        <is>
          <t>寒假主档期选1月还是2月？</t>
        </is>
      </c>
      <c r="C12" s="13" t="inlineStr">
        <is>
          <t>建议两月各排2-3期</t>
        </is>
      </c>
      <c r="D12" s="13" t="inlineStr"/>
      <c r="E12" s="13" t="inlineStr"/>
    </row>
    <row r="13">
      <c r="A13" s="8" t="n">
        <v>9</v>
      </c>
      <c r="B13" s="8" t="inlineStr">
        <is>
          <t>是否赴行业展会补看品牌？</t>
        </is>
      </c>
      <c r="C13" s="8" t="inlineStr">
        <is>
          <t>建议关注下一届人工智能大会</t>
        </is>
      </c>
      <c r="D13" s="8" t="inlineStr"/>
      <c r="E13" s="8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2026-07-15T16:57:38Z</dcterms:created>
  <dcterms:modified xmlns:dcterms="http://purl.org/dc/terms/" xmlns:xsi="http://www.w3.org/2001/XMLSchema-instance" xsi:type="dcterms:W3CDTF">2026-07-15T16:57:38Z</dcterms:modified>
</cp:coreProperties>
</file>