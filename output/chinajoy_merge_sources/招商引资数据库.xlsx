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67e68ddaf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招商总览" sheetId="1" r:id="R4866bdb1581b40af"/>
    <x:sheet xmlns:r="http://schemas.openxmlformats.org/officeDocument/2006/relationships" name="参展商数据库" sheetId="2" r:id="Rb702fd36a7484281"/>
    <x:sheet xmlns:r="http://schemas.openxmlformats.org/officeDocument/2006/relationships" name="活动与嘉宾" sheetId="3" r:id="Rcc35b18240604947"/>
    <x:sheet xmlns:r="http://schemas.openxmlformats.org/officeDocument/2006/relationships" name="渠道与联系" sheetId="4" r:id="R5f080f5d01e94c0b"/>
    <x:sheet xmlns:r="http://schemas.openxmlformats.org/officeDocument/2006/relationships" name="分类地图" sheetId="5" r:id="R3d97b66d977c4584"/>
    <x:sheet xmlns:r="http://schemas.openxmlformats.org/officeDocument/2006/relationships" name="招商跟进" sheetId="6" r:id="Rd0e96b7058f2496e"/>
    <x:sheet xmlns:r="http://schemas.openxmlformats.org/officeDocument/2006/relationships" name="口径与来源" sheetId="7" r:id="Rebf41a585e3a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#,##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0"/>
      <x:color rgb="FF222222"/>
      <x:name val="Aptos"/>
    </x:font>
    <x:font>
      <x:sz val="10"/>
      <x:color rgb="FF222222"/>
      <x:name val="Aptos"/>
    </x:font>
    <x:font>
      <x:i/>
      <x:sz val="11"/>
      <x:color rgb="FF17365D"/>
      <x:name val="Carlito"/>
    </x:font>
    <x:font>
      <x:b/>
      <x:sz val="22"/>
      <x:color rgb="FF17365D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22">
    <x:border/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D"/>
      </x:left>
      <x:top style="thin">
        <x:color rgb="FF9EADBD"/>
      </x:top>
    </x:border>
    <x:border>
      <x:top style="thin">
        <x:color rgb="FF9EADBD"/>
      </x:top>
    </x:border>
    <x:border>
      <x:right style="thin">
        <x:color rgb="FF9EADBD"/>
      </x:right>
      <x:top style="thin">
        <x:color rgb="FF9EADBD"/>
      </x:top>
    </x:border>
    <x:border>
      <x:left style="thin">
        <x:color rgb="FF9EADBD"/>
      </x:left>
      <x:bottom style="thin">
        <x:color rgb="FF9EADBD"/>
      </x:bottom>
    </x:border>
    <x:border>
      <x:bottom style="thin">
        <x:color rgb="FF9EADBD"/>
      </x:bottom>
    </x:border>
    <x:border>
      <x:right style="thin">
        <x:color rgb="FF9EADBD"/>
      </x:right>
      <x:bottom style="thin">
        <x:color rgb="FF9EADBD"/>
      </x:bottom>
    </x:border>
    <x:border>
      <x:left style="thin">
        <x:color rgb="FFD9E2F3"/>
      </x:left>
      <x:right style="thin">
        <x:color rgb="FFB4C6E7"/>
      </x:right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201" fontId="0" fillId="3" borderId="5" xfId="0" applyNumberFormat="1" applyFont="1" applyFill="1" applyBorder="1" applyAlignment="1">
      <x:alignment vertical="top" wrapText="1"/>
    </x:xf>
    <x:xf numFmtId="201" fontId="0" fillId="3" borderId="8" xfId="0" applyNumberFormat="1" applyFont="1" applyFill="1" applyBorder="1" applyAlignment="1">
      <x:alignment vertical="top" wrapText="1"/>
    </x:xf>
    <x:xf numFmtId="201" fontId="0" fillId="3" borderId="11" xfId="0" applyNumberFormat="1" applyFont="1" applyFill="1" applyBorder="1" applyAlignment="1">
      <x:alignment vertical="top" wrapText="1"/>
    </x:xf>
    <x:xf numFmtId="202" fontId="0" fillId="3" borderId="5" xfId="0" applyNumberFormat="1" applyFont="1" applyFill="1" applyBorder="1" applyAlignment="1">
      <x:alignment vertical="top" wrapText="1"/>
    </x:xf>
    <x:xf numFmtId="202" fontId="0" fillId="3" borderId="8" xfId="0" applyNumberFormat="1" applyFont="1" applyFill="1" applyBorder="1" applyAlignment="1">
      <x:alignment vertical="top" wrapText="1"/>
    </x:xf>
    <x:xf numFmtId="202" fontId="0" fillId="3" borderId="1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8" xfId="0" applyNumberFormat="1" applyFont="1" applyFill="1" applyBorder="1"/>
    <x:xf numFmtId="0" fontId="7" fillId="5" borderId="13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7" fillId="5" borderId="17" xfId="0" applyNumberFormat="1" applyFont="1" applyFill="1" applyBorder="1" applyAlignment="1">
      <x:alignment horizontal="center"/>
    </x:xf>
    <x:xf numFmtId="0" fontId="7" fillId="5" borderId="18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15" xfId="0" applyNumberFormat="1" applyFont="1" applyFill="1" applyBorder="1" applyAlignment="1">
      <x:alignment horizontal="center" vertical="center"/>
    </x:xf>
    <x:xf numFmtId="0" fontId="7" fillId="5" borderId="16" xfId="0" applyNumberFormat="1" applyFont="1" applyFill="1" applyBorder="1" applyAlignment="1">
      <x:alignment horizontal="center" vertical="center"/>
    </x:xf>
    <x:xf numFmtId="0" fontId="7" fillId="5" borderId="17" xfId="0" applyNumberFormat="1" applyFont="1" applyFill="1" applyBorder="1" applyAlignment="1">
      <x:alignment horizontal="center" vertical="center"/>
    </x:xf>
    <x:xf numFmtId="0" fontId="7" fillId="5" borderId="1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20" xfId="0" applyNumberFormat="1" applyFont="1" applyFill="1" applyBorder="1"/>
    <x:xf numFmtId="0" fontId="0" fillId="0" borderId="10" xfId="0" applyNumberFormat="1" applyFont="1" applyFill="1" applyBorder="1"/>
    <x:xf numFmtId="0" fontId="0" fillId="0" borderId="21" xfId="0" applyNumberFormat="1" applyFont="1" applyFill="1" applyBorder="1"/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11" xfId="0" applyNumberFormat="1" applyFont="1" applyFill="1" applyBorder="1"/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72671d0004ccd" /><Relationship Type="http://schemas.openxmlformats.org/officeDocument/2006/relationships/theme" Target="/xl/theme/theme1.xml" Id="R2a160720548f4a89" /><Relationship Type="http://schemas.openxmlformats.org/officeDocument/2006/relationships/sharedStrings" Target="/xl/sharedStrings.xml" Id="R45d75aa2c4474a87" /><Relationship Type="http://schemas.openxmlformats.org/officeDocument/2006/relationships/worksheet" Target="/xl/worksheets/sheet1.xml" Id="R4866bdb1581b40af" /><Relationship Type="http://schemas.openxmlformats.org/officeDocument/2006/relationships/worksheet" Target="/xl/worksheets/sheet2.xml" Id="Rb702fd36a7484281" /><Relationship Type="http://schemas.openxmlformats.org/officeDocument/2006/relationships/worksheet" Target="/xl/worksheets/sheet3.xml" Id="Rcc35b18240604947" /><Relationship Type="http://schemas.openxmlformats.org/officeDocument/2006/relationships/worksheet" Target="/xl/worksheets/sheet4.xml" Id="R5f080f5d01e94c0b" /><Relationship Type="http://schemas.openxmlformats.org/officeDocument/2006/relationships/worksheet" Target="/xl/worksheets/sheet5.xml" Id="R3d97b66d977c4584" /><Relationship Type="http://schemas.openxmlformats.org/officeDocument/2006/relationships/worksheet" Target="/xl/worksheets/sheet6.xml" Id="Rd0e96b7058f2496e" /><Relationship Type="http://schemas.openxmlformats.org/officeDocument/2006/relationships/worksheet" Target="/xl/worksheets/sheet7.xml" Id="Rebf41a585e3a40ba" /><Relationship Type="http://schemas.microsoft.com/office/2017/10/relationships/person" Target="/xl/persons/person.xml" Id="R51206f74e216435d" /></Relationships>
</file>

<file path=xl/persons/person.xml><?xml version="1.0" encoding="utf-8"?>
<xltc:personList xmlns:xltc="http://schemas.microsoft.com/office/spreadsheetml/2018/threadedcomments">
  <xltc:person displayName="User" id="{E2A19001-F439-47DD-83A6-8F96F63BE3E2}"/>
</xltc:personList>
</file>

<file path=xl/tables/table1.xml><?xml version="1.0" encoding="utf-8"?>
<x:table xmlns:x="http://schemas.openxmlformats.org/spreadsheetml/2006/main" id="1" name="ExhibitorsTable" displayName="ExhibitorsTable" ref="A3:X342" headerRowCount="1" totalsRowCount="0" totalsRowShown="0">
  <x:tableColumns count="24">
    <x:tableColumn id="1" name="ID"/>
    <x:tableColumn id="2" name="展馆"/>
    <x:tableColumn id="3" name="参展分类"/>
    <x:tableColumn id="4" name="展位号"/>
    <x:tableColumn id="5" name="品牌/展商"/>
    <x:tableColumn id="6" name="企业/主体（待补）"/>
    <x:tableColumn id="7" name="业务类型"/>
    <x:tableColumn id="8" name="规模评分(1-5)"/>
    <x:tableColumn id="9" name="匹配评分(1-5)"/>
    <x:tableColumn id="10" name="激活潜力(1-5)"/>
    <x:tableColumn id="11" name="渠道完整度(1-5)"/>
    <x:tableColumn id="12" name="招商总分"/>
    <x:tableColumn id="13" name="优先级"/>
    <x:tableColumn id="14" name="建议招商切入点"/>
    <x:tableColumn id="15" name="参展/产品备注"/>
    <x:tableColumn id="16" name="联系人"/>
    <x:tableColumn id="17" name="电话/微信"/>
    <x:tableColumn id="18" name="邮箱"/>
    <x:tableColumn id="19" name="官网"/>
    <x:tableColumn id="20" name="微博/公众号/小红书/视频号"/>
    <x:tableColumn id="21" name="跟进状态"/>
    <x:tableColumn id="22" name="负责人"/>
    <x:tableColumn id="23" name="置信度"/>
    <x:tableColumn id="24" name="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iesTable" displayName="ActivitiesTable" ref="A2:H19" headerRowCount="1" totalsRowCount="0" totalsRowShown="0">
  <x:tableColumns count="8">
    <x:tableColumn id="1" name="日期"/>
    <x:tableColumn id="2" name="地点/展馆"/>
    <x:tableColumn id="3" name="活动"/>
    <x:tableColumn id="4" name="类型"/>
    <x:tableColumn id="5" name="特别嘉宾/参与方"/>
    <x:tableColumn id="6" name="核心内容"/>
    <x:tableColumn id="7" name="招商价值/合作方式"/>
    <x:tableColumn id="8" name="来源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hannelsTable" displayName="ChannelsTable" ref="A2:G27" headerRowCount="1" totalsRowCount="0" totalsRowShown="0">
  <x:tableColumns count="7">
    <x:tableColumn id="1" name="品牌/机构"/>
    <x:tableColumn id="2" name="渠道类型"/>
    <x:tableColumn id="3" name="账号/关键词"/>
    <x:tableColumn id="4" name="公开链接/入口"/>
    <x:tableColumn id="5" name="可切入事项"/>
    <x:tableColumn id="6" name="核验状态"/>
    <x:tableColumn id="7" name="最近核验日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CategoryMapTable" displayName="CategoryMapTable" ref="A2:E14" headerRowCount="1" totalsRowCount="0" totalsRowShown="0">
  <x:tableColumns count="5">
    <x:tableColumn id="1" name="参展分类"/>
    <x:tableColumn id="2" name="主要展馆"/>
    <x:tableColumn id="3" name="典型对象"/>
    <x:tableColumn id="4" name="未来招商切入点"/>
    <x:tableColumn id="5" name="建议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cbfd743436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17091d53dc4a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c6f3944cf047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8d0e75f77948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6" hidden="0" customWidth="1"/>
    <x:col min="5" max="5" width="8" hidden="0" customWidth="1"/>
    <x:col min="6" max="6" width="24" hidden="0" customWidth="1"/>
    <x:col min="7" max="7" width="18" hidden="0" customWidth="1"/>
    <x:col min="8" max="8" width="40" hidden="0" customWidth="1"/>
  </x:cols>
  <x:sheetData>
    <x:row r="1" ht="32" customHeight="1">
      <x:c r="A1" s="3" t="str">
        <x:v>2026 ChinaJoy 招商线索总览</x:v>
      </x:c>
      <x:c r="B1" s="3" t="str">
        <x:v>2026 ChinaJoy 招商线索总览</x:v>
      </x:c>
      <x:c r="C1" s="3" t="str">
        <x:v>2026 ChinaJoy 招商线索总览</x:v>
      </x:c>
      <x:c r="D1" s="3" t="str">
        <x:v>2026 ChinaJoy 招商线索总览</x:v>
      </x:c>
      <x:c r="E1" s="3" t="str">
        <x:v>2026 ChinaJoy 招商线索总览</x:v>
      </x:c>
      <x:c r="F1" s="3" t="str">
        <x:v>2026 ChinaJoy 招商线索总览</x:v>
      </x:c>
      <x:c r="G1" s="3" t="str">
        <x:v>2026 ChinaJoy 招商线索总览</x:v>
      </x:c>
      <x:c r="H1" s="3" t="str">
        <x:v>2026 ChinaJoy 招商线索总览</x:v>
      </x:c>
    </x:row>
    <x:row r="2">
      <x:c r="A2" s="78" t="str">
        <x:v>面向未来招商引资：优先从“可落地产业 + 可激活活动 + 可触达渠道”三条线筛选。数据截至 2026-08-03。</x:v>
      </x:c>
      <x:c r="B2" s="78"/>
      <x:c r="C2" s="78"/>
      <x:c r="D2" s="78"/>
      <x:c r="E2" s="78"/>
      <x:c r="F2" s="78"/>
      <x:c r="G2" s="78"/>
      <x:c r="H2" s="78"/>
    </x:row>
    <x:row r="4">
      <x:c r="A4" s="79" t="str">
        <x:v>展商/品牌线索</x:v>
      </x:c>
      <x:c r="B4" s="79"/>
      <x:c r="C4" s="79" t="str">
        <x:v>小型/独立主体</x:v>
      </x:c>
      <x:c r="D4" s="79"/>
      <x:c r="E4" s="79" t="str">
        <x:v>A类优先线索</x:v>
      </x:c>
      <x:c r="F4" s="79"/>
      <x:c r="G4" s="79" t="str">
        <x:v>待复核条目</x:v>
      </x:c>
      <x:c r="H4" s="79"/>
    </x:row>
    <x:row r="5">
      <x:c r="A5" s="93" t="n">
        <x:f>COUNTA('参展商数据库'!$E$4:$E$342)</x:f>
        <x:v>339</x:v>
      </x:c>
      <x:c r="B5" s="94"/>
      <x:c r="C5" s="94" t="n">
        <x:f>COUNTIF('参展商数据库'!$G$4:$G$342,"独立游戏")+COUNTIF('参展商数据库'!$G$4:$G$342,"独立游戏发行")+COUNTIF('参展商数据库'!$G$4:$G$342,"独立游戏/IP")+COUNTIF('参展商数据库'!$G$4:$G$342,"独立游戏社区")+COUNTIF('参展商数据库'!$G$4:$G$342,"潮玩工作室")</x:f>
        <x:v>40</x:v>
      </x:c>
      <x:c r="D5" s="94"/>
      <x:c r="E5" s="94" t="n">
        <x:f>COUNTIF('参展商数据库'!$M$4:$M$342,"A-优先")</x:f>
        <x:v>57</x:v>
      </x:c>
      <x:c r="F5" s="94"/>
      <x:c r="G5" s="94" t="n">
        <x:f>COUNTIF('参展商数据库'!$W$4:$W$342,"中")</x:f>
        <x:v>21</x:v>
      </x:c>
      <x:c r="H5" s="95"/>
    </x:row>
    <x:row r="6">
      <x:c r="A6" s="96"/>
      <x:c r="B6" s="97"/>
      <x:c r="C6" s="97"/>
      <x:c r="D6" s="97"/>
      <x:c r="E6" s="97"/>
      <x:c r="F6" s="97"/>
      <x:c r="G6" s="97"/>
      <x:c r="H6" s="98"/>
    </x:row>
    <x:row r="8">
      <x:c r="A8" s="8" t="str">
        <x:v>按参展分类的线索数</x:v>
      </x:c>
      <x:c r="B8" s="8"/>
      <x:c r="C8" s="8"/>
      <x:c r="D8" s="8"/>
      <x:c r="E8" s="8" t="str">
        <x:v>建议优先推进的招商包</x:v>
      </x:c>
      <x:c r="F8" s="8"/>
      <x:c r="G8" s="8"/>
      <x:c r="H8" s="8"/>
    </x:row>
    <x:row r="9" ht="30" customHeight="1">
      <x:c r="A9" s="102" t="str">
        <x:v>参展分类</x:v>
      </x:c>
      <x:c r="B9" s="103" t="str">
        <x:v>线索数</x:v>
      </x:c>
      <x:c r="E9" s="102" t="str">
        <x:v>序号</x:v>
      </x:c>
      <x:c r="F9" s="108" t="str">
        <x:v>招商包</x:v>
      </x:c>
      <x:c r="G9" s="108" t="str">
        <x:v>目标展区</x:v>
      </x:c>
      <x:c r="H9" s="103" t="str">
        <x:v>建议话术/方案</x:v>
      </x:c>
    </x:row>
    <x:row r="10">
      <x:c r="A10" s="104" t="str">
        <x:v>游戏风云</x:v>
      </x:c>
      <x:c r="B10" s="105" t="n">
        <x:f>COUNTIF('参展商数据库'!$C$4:$C$342,A10)</x:f>
        <x:v>92</x:v>
      </x:c>
      <x:c r="E10" s="104" t="str">
        <x:v>1</x:v>
      </x:c>
      <x:c r="F10" s="109" t="str">
        <x:v>AI/机器人与前沿科技</x:v>
      </x:c>
      <x:c r="G10" s="109" t="str">
        <x:v>E6 Vision Future</x:v>
      </x:c>
      <x:c r="H10" s="105" t="str">
        <x:v>产业落地 + 场景示范 + 政策服务</x:v>
      </x:c>
    </x:row>
    <x:row r="11">
      <x:c r="A11" s="104" t="str">
        <x:v>骁龙主题馆</x:v>
      </x:c>
      <x:c r="B11" s="105" t="n">
        <x:f>COUNTIF('参展商数据库'!$C$4:$C$342,A11)</x:f>
        <x:v>9</x:v>
      </x:c>
      <x:c r="E11" s="104" t="str">
        <x:v>2</x:v>
      </x:c>
      <x:c r="F11" s="109" t="str">
        <x:v>游戏与独立开发者</x:v>
      </x:c>
      <x:c r="G11" s="109" t="str">
        <x:v>N1-N4/Next Play</x:v>
      </x:c>
      <x:c r="H11" s="105" t="str">
        <x:v>发行投资 + 孵化器 + 游戏出海</x:v>
      </x:c>
    </x:row>
    <x:row r="12">
      <x:c r="A12" s="104" t="str">
        <x:v>潮流生活</x:v>
      </x:c>
      <x:c r="B12" s="105" t="n">
        <x:f>COUNTIF('参展商数据库'!$C$4:$C$342,A12)</x:f>
        <x:v>5</x:v>
      </x:c>
      <x:c r="E12" s="104" t="str">
        <x:v>3</x:v>
      </x:c>
      <x:c r="F12" s="109" t="str">
        <x:v>电竞硬件与供应链</x:v>
      </x:c>
      <x:c r="G12" s="109" t="str">
        <x:v>E6-E7</x:v>
      </x:c>
      <x:c r="H12" s="105" t="str">
        <x:v>首店/渠道 + 电竞空间 + 制造供应链</x:v>
      </x:c>
    </x:row>
    <x:row r="13">
      <x:c r="A13" s="104" t="str">
        <x:v>甜次元</x:v>
      </x:c>
      <x:c r="B13" s="105" t="n">
        <x:f>COUNTIF('参展商数据库'!$C$4:$C$342,A13)</x:f>
        <x:v>5</x:v>
      </x:c>
      <x:c r="E13" s="104" t="str">
        <x:v>4</x:v>
      </x:c>
      <x:c r="F13" s="109" t="str">
        <x:v>潮玩谷子与IP消费</x:v>
      </x:c>
      <x:c r="G13" s="109" t="str">
        <x:v>E3/E5</x:v>
      </x:c>
      <x:c r="H13" s="105" t="str">
        <x:v>IP授权 + 商业体快闪 + 谷子嘉年华</x:v>
      </x:c>
    </x:row>
    <x:row r="14">
      <x:c r="A14" s="104" t="str">
        <x:v>ChinaJoy大赛</x:v>
      </x:c>
      <x:c r="B14" s="105" t="n">
        <x:f>COUNTIF('参展商数据库'!$C$4:$C$342,A14)</x:f>
        <x:v>5</x:v>
      </x:c>
      <x:c r="E14" s="106" t="str">
        <x:v>5</x:v>
      </x:c>
      <x:c r="F14" s="110" t="str">
        <x:v>影像创作者经济</x:v>
      </x:c>
      <x:c r="G14" s="110" t="str">
        <x:v>E4</x:v>
      </x:c>
      <x:c r="H14" s="107" t="str">
        <x:v>创作者基地 + 影像节 + 达人内容合作</x:v>
      </x:c>
    </x:row>
    <x:row r="15">
      <x:c r="A15" s="104" t="str">
        <x:v>次元世界</x:v>
      </x:c>
      <x:c r="B15" s="105" t="n">
        <x:f>COUNTIF('参展商数据库'!$C$4:$C$342,A15)</x:f>
        <x:v>2</x:v>
      </x:c>
    </x:row>
    <x:row r="16">
      <x:c r="A16" s="104" t="str">
        <x:v>创作者展区</x:v>
      </x:c>
      <x:c r="B16" s="105" t="n">
        <x:f>COUNTIF('参展商数据库'!$C$4:$C$342,A16)</x:f>
        <x:v>14</x:v>
      </x:c>
    </x:row>
    <x:row r="17">
      <x:c r="A17" s="104" t="str">
        <x:v>摄影区</x:v>
      </x:c>
      <x:c r="B17" s="105" t="n">
        <x:f>COUNTIF('参展商数据库'!$C$4:$C$342,A17)</x:f>
        <x:v>15</x:v>
      </x:c>
    </x:row>
    <x:row r="18">
      <x:c r="A18" s="104" t="str">
        <x:v>魔玩天地</x:v>
      </x:c>
      <x:c r="B18" s="105" t="n">
        <x:f>COUNTIF('参展商数据库'!$C$4:$C$342,A18)</x:f>
        <x:v>55</x:v>
      </x:c>
    </x:row>
    <x:row r="19">
      <x:c r="A19" s="104" t="str">
        <x:v>发烧硬件</x:v>
      </x:c>
      <x:c r="B19" s="105" t="n">
        <x:f>COUNTIF('参展商数据库'!$C$4:$C$342,A19)</x:f>
        <x:v>107</x:v>
      </x:c>
    </x:row>
    <x:row r="20">
      <x:c r="A20" s="104" t="str">
        <x:v>前沿科技</x:v>
      </x:c>
      <x:c r="B20" s="105" t="n">
        <x:f>COUNTIF('参展商数据库'!$C$4:$C$342,A20)</x:f>
        <x:v>22</x:v>
      </x:c>
    </x:row>
    <x:row r="21">
      <x:c r="A21" s="106" t="str">
        <x:v>极致装备</x:v>
      </x:c>
      <x:c r="B21" s="107" t="n">
        <x:f>COUNTIF('参展商数据库'!$C$4:$C$342,A21)</x:f>
        <x:v>8</x:v>
      </x:c>
    </x:row>
    <x:row r="23">
      <x:c r="A23" s="101" t="str">
        <x:v>使用方法：先在“参展商数据库”筛选 A-优先与目标分类 → 在“渠道与联系”确认官方入口 → 将重点对象复制到“招商跟进”持续维护。</x:v>
      </x:c>
      <x:c r="B23" s="101"/>
      <x:c r="C23" s="101"/>
      <x:c r="D23" s="101"/>
      <x:c r="E23" s="101"/>
      <x:c r="F23" s="101"/>
      <x:c r="G23" s="101"/>
      <x:c r="H23" s="10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D8"/>
    <x:mergeCell ref="E8:H8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" hidden="0" customWidth="1"/>
    <x:col min="3" max="3" width="12" hidden="0" customWidth="1"/>
    <x:col min="4" max="4" width="11" hidden="0" customWidth="1"/>
    <x:col min="5" max="5" width="24" hidden="0" customWidth="1"/>
    <x:col min="6" max="6" width="20" hidden="0" customWidth="1"/>
    <x:col min="7" max="7" width="18" hidden="0" customWidth="1"/>
    <x:col min="8" max="8" width="9" hidden="0" customWidth="1"/>
    <x:col min="9" max="9" width="9" hidden="0" customWidth="1"/>
    <x:col min="10" max="10" width="10" hidden="0" customWidth="1"/>
    <x:col min="11" max="11" width="10" hidden="0" customWidth="1"/>
    <x:col min="12" max="12" width="9" hidden="0" customWidth="1"/>
    <x:col min="13" max="13" width="10" hidden="0" customWidth="1"/>
    <x:col min="14" max="14" width="30" hidden="0" customWidth="1"/>
    <x:col min="15" max="15" width="28" hidden="0" customWidth="1"/>
    <x:col min="16" max="16" width="12" hidden="0" customWidth="1"/>
    <x:col min="17" max="17" width="16" hidden="0" customWidth="1"/>
    <x:col min="18" max="18" width="20" hidden="0" customWidth="1"/>
    <x:col min="19" max="19" width="25" hidden="0" customWidth="1"/>
    <x:col min="20" max="20" width="28" hidden="0" customWidth="1"/>
    <x:col min="21" max="21" width="11" hidden="0" customWidth="1"/>
    <x:col min="22" max="22" width="10" hidden="0" customWidth="1"/>
    <x:col min="23" max="23" width="8" hidden="0" customWidth="1"/>
    <x:col min="24" max="24" width="45" hidden="0" customWidth="1"/>
  </x:cols>
  <x:sheetData>
    <x:row r="1" ht="32" customHeight="1">
      <x:c r="A1" s="3" t="str">
        <x:v>2026 ChinaJoy 参展商招商数据库（BTOC重点展区）</x:v>
      </x:c>
      <x:c r="B1" s="3" t="str">
        <x:v>2026 ChinaJoy 参展商招商数据库（BTOC重点展区）</x:v>
      </x:c>
      <x:c r="C1" s="3" t="str">
        <x:v>2026 ChinaJoy 参展商招商数据库（BTOC重点展区）</x:v>
      </x:c>
      <x:c r="D1" s="3" t="str">
        <x:v>2026 ChinaJoy 参展商招商数据库（BTOC重点展区）</x:v>
      </x:c>
      <x:c r="E1" s="3" t="str">
        <x:v>2026 ChinaJoy 参展商招商数据库（BTOC重点展区）</x:v>
      </x:c>
      <x:c r="F1" s="3" t="str">
        <x:v>2026 ChinaJoy 参展商招商数据库（BTOC重点展区）</x:v>
      </x:c>
      <x:c r="G1" s="3" t="str">
        <x:v>2026 ChinaJoy 参展商招商数据库（BTOC重点展区）</x:v>
      </x:c>
      <x:c r="H1" s="3" t="str">
        <x:v>2026 ChinaJoy 参展商招商数据库（BTOC重点展区）</x:v>
      </x:c>
      <x:c r="I1" s="3" t="str">
        <x:v>2026 ChinaJoy 参展商招商数据库（BTOC重点展区）</x:v>
      </x:c>
      <x:c r="J1" s="3" t="str">
        <x:v>2026 ChinaJoy 参展商招商数据库（BTOC重点展区）</x:v>
      </x:c>
      <x:c r="K1" s="3" t="str">
        <x:v>2026 ChinaJoy 参展商招商数据库（BTOC重点展区）</x:v>
      </x:c>
      <x:c r="L1" s="3" t="str">
        <x:v>2026 ChinaJoy 参展商招商数据库（BTOC重点展区）</x:v>
      </x:c>
      <x:c r="M1" s="3" t="str">
        <x:v>2026 ChinaJoy 参展商招商数据库（BTOC重点展区）</x:v>
      </x:c>
      <x:c r="N1" s="3" t="str">
        <x:v>2026 ChinaJoy 参展商招商数据库（BTOC重点展区）</x:v>
      </x:c>
      <x:c r="O1" s="3" t="str">
        <x:v>2026 ChinaJoy 参展商招商数据库（BTOC重点展区）</x:v>
      </x:c>
      <x:c r="P1" s="3" t="str">
        <x:v>2026 ChinaJoy 参展商招商数据库（BTOC重点展区）</x:v>
      </x:c>
      <x:c r="Q1" s="3" t="str">
        <x:v>2026 ChinaJoy 参展商招商数据库（BTOC重点展区）</x:v>
      </x:c>
      <x:c r="R1" s="3" t="str">
        <x:v>2026 ChinaJoy 参展商招商数据库（BTOC重点展区）</x:v>
      </x:c>
      <x:c r="S1" s="3" t="str">
        <x:v>2026 ChinaJoy 参展商招商数据库（BTOC重点展区）</x:v>
      </x:c>
      <x:c r="T1" s="3" t="str">
        <x:v>2026 ChinaJoy 参展商招商数据库（BTOC重点展区）</x:v>
      </x:c>
      <x:c r="U1" s="3" t="str">
        <x:v>2026 ChinaJoy 参展商招商数据库（BTOC重点展区）</x:v>
      </x:c>
      <x:c r="V1" s="3" t="str">
        <x:v>2026 ChinaJoy 参展商招商数据库（BTOC重点展区）</x:v>
      </x:c>
      <x:c r="W1" s="3" t="str">
        <x:v>2026 ChinaJoy 参展商招商数据库（BTOC重点展区）</x:v>
      </x:c>
      <x:c r="X1" s="3" t="str">
        <x:v>2026 ChinaJoy 参展商招商数据库（BTOC重点展区）</x:v>
      </x:c>
    </x:row>
    <x:row r="2">
      <x:c r="A2" s="6" t="str">
        <x:v>数据窗口：2026-07-28 至 2026-08-03；黄色列为建议补录/跟进字段；“中”置信度条目需招商前二次核验。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3" ht="30" customHeight="1">
      <x:c r="A3" s="25" t="str">
        <x:v>ID</x:v>
      </x:c>
      <x:c r="B3" s="26" t="str">
        <x:v>展馆</x:v>
      </x:c>
      <x:c r="C3" s="26" t="str">
        <x:v>参展分类</x:v>
      </x:c>
      <x:c r="D3" s="26" t="str">
        <x:v>展位号</x:v>
      </x:c>
      <x:c r="E3" s="26" t="str">
        <x:v>品牌/展商</x:v>
      </x:c>
      <x:c r="F3" s="26" t="str">
        <x:v>企业/主体（待补）</x:v>
      </x:c>
      <x:c r="G3" s="26" t="str">
        <x:v>业务类型</x:v>
      </x:c>
      <x:c r="H3" s="26" t="str">
        <x:v>规模评分(1-5)</x:v>
      </x:c>
      <x:c r="I3" s="26" t="str">
        <x:v>匹配评分(1-5)</x:v>
      </x:c>
      <x:c r="J3" s="26" t="str">
        <x:v>激活潜力(1-5)</x:v>
      </x:c>
      <x:c r="K3" s="26" t="str">
        <x:v>渠道完整度(1-5)</x:v>
      </x:c>
      <x:c r="L3" s="26" t="str">
        <x:v>招商总分</x:v>
      </x:c>
      <x:c r="M3" s="26" t="str">
        <x:v>优先级</x:v>
      </x:c>
      <x:c r="N3" s="26" t="str">
        <x:v>建议招商切入点</x:v>
      </x:c>
      <x:c r="O3" s="26" t="str">
        <x:v>参展/产品备注</x:v>
      </x:c>
      <x:c r="P3" s="26" t="str">
        <x:v>联系人</x:v>
      </x:c>
      <x:c r="Q3" s="26" t="str">
        <x:v>电话/微信</x:v>
      </x:c>
      <x:c r="R3" s="26" t="str">
        <x:v>邮箱</x:v>
      </x:c>
      <x:c r="S3" s="26" t="str">
        <x:v>官网</x:v>
      </x:c>
      <x:c r="T3" s="26" t="str">
        <x:v>微博/公众号/小红书/视频号</x:v>
      </x:c>
      <x:c r="U3" s="26" t="str">
        <x:v>跟进状态</x:v>
      </x:c>
      <x:c r="V3" s="26" t="str">
        <x:v>负责人</x:v>
      </x:c>
      <x:c r="W3" s="26" t="str">
        <x:v>置信度</x:v>
      </x:c>
      <x:c r="X3" s="27" t="str">
        <x:v>来源URL</x:v>
      </x:c>
    </x:row>
    <x:row r="4">
      <x:c r="A4" s="29" t="n">
        <x:v>1</x:v>
      </x:c>
      <x:c r="B4" s="29" t="str">
        <x:v>N1</x:v>
      </x:c>
      <x:c r="C4" s="29" t="str">
        <x:v>游戏风云</x:v>
      </x:c>
      <x:c r="D4" s="29" t="str">
        <x:v>G001</x:v>
      </x:c>
      <x:c r="E4" s="29" t="str">
        <x:v>PlayStation</x:v>
      </x:c>
      <x:c r="F4" s="30" t="str"/>
      <x:c r="G4" s="29" t="str">
        <x:v>游戏平台/主机</x:v>
      </x:c>
      <x:c r="H4" s="29" t="n">
        <x:v>4</x:v>
      </x:c>
      <x:c r="I4" s="29" t="n">
        <x:v>5</x:v>
      </x:c>
      <x:c r="J4" s="29" t="n">
        <x:v>5</x:v>
      </x:c>
      <x:c r="K4" s="29" t="n">
        <x:v>4</x:v>
      </x:c>
      <x:c r="L4" s="31" t="n">
        <x:f>SUM(H4:K4)</x:f>
        <x:v>18</x:v>
      </x:c>
      <x:c r="M4" s="29" t="str">
        <x:f>IF(L4&gt;=16,"A-优先",IF(L4&gt;=12,"B-培育","C-观察"))</x:f>
        <x:v>A-优先</x:v>
      </x:c>
      <x:c r="N4" s="29" t="str">
        <x:v>游戏IP活动、电竞赛事、研发/发行团队落地、出海服务</x:v>
      </x:c>
      <x:c r="O4" s="29" t="str"/>
      <x:c r="P4" s="30" t="str"/>
      <x:c r="Q4" s="30" t="str"/>
      <x:c r="R4" s="30" t="str"/>
      <x:c r="S4" s="30" t="str">
        <x:v>https://www.playstation.com/zh-hans-cn/</x:v>
      </x:c>
      <x:c r="T4" s="30" t="str">
        <x:v>PlayStation 官方网站/认证公众号/微博（招商前复核具体商务入口）</x:v>
      </x:c>
      <x:c r="U4" s="30" t="str">
        <x:v>未联系</x:v>
      </x:c>
      <x:c r="V4" s="30" t="str"/>
      <x:c r="W4" s="29" t="str">
        <x:v>高</x:v>
      </x:c>
      <x:c r="X4" s="29" t="str">
        <x:v>https://www.vgover.com/zh-tw/news/226267</x:v>
      </x:c>
    </x:row>
    <x:row r="5">
      <x:c r="A5" s="29" t="n">
        <x:v>2</x:v>
      </x:c>
      <x:c r="B5" s="29" t="str">
        <x:v>N1</x:v>
      </x:c>
      <x:c r="C5" s="29" t="str">
        <x:v>游戏风云</x:v>
      </x:c>
      <x:c r="D5" s="29" t="str">
        <x:v>G002</x:v>
      </x:c>
      <x:c r="E5" s="29" t="str">
        <x:v>完美世界</x:v>
      </x:c>
      <x:c r="F5" s="30" t="str"/>
      <x:c r="G5" s="29" t="str">
        <x:v>游戏企业</x:v>
      </x:c>
      <x:c r="H5" s="29" t="n">
        <x:v>5</x:v>
      </x:c>
      <x:c r="I5" s="29" t="n">
        <x:v>5</x:v>
      </x:c>
      <x:c r="J5" s="29" t="n">
        <x:v>5</x:v>
      </x:c>
      <x:c r="K5" s="29" t="n">
        <x:v>4</x:v>
      </x:c>
      <x:c r="L5" s="31" t="n">
        <x:f>SUM(H5:K5)</x:f>
        <x:v>19</x:v>
      </x:c>
      <x:c r="M5" s="29" t="str">
        <x:f>IF(L5&gt;=16,"A-优先",IF(L5&gt;=12,"B-培育","C-观察"))</x:f>
        <x:v>A-优先</x:v>
      </x:c>
      <x:c r="N5" s="29" t="str">
        <x:v>游戏IP活动、电竞赛事、研发/发行团队落地、出海服务</x:v>
      </x:c>
      <x:c r="O5" s="29" t="str"/>
      <x:c r="P5" s="30" t="str"/>
      <x:c r="Q5" s="30" t="str"/>
      <x:c r="R5" s="30" t="str"/>
      <x:c r="S5" s="30" t="str">
        <x:v>https://www.wanmei.com/</x:v>
      </x:c>
      <x:c r="T5" s="30" t="str">
        <x:v>完美世界 官方网站/认证公众号/微博（招商前复核具体商务入口）</x:v>
      </x:c>
      <x:c r="U5" s="30" t="str">
        <x:v>未联系</x:v>
      </x:c>
      <x:c r="V5" s="30" t="str"/>
      <x:c r="W5" s="29" t="str">
        <x:v>高</x:v>
      </x:c>
      <x:c r="X5" s="29" t="str">
        <x:v>https://www.vgover.com/zh-tw/news/226267</x:v>
      </x:c>
    </x:row>
    <x:row r="6">
      <x:c r="A6" s="29" t="n">
        <x:v>3</x:v>
      </x:c>
      <x:c r="B6" s="29" t="str">
        <x:v>N1</x:v>
      </x:c>
      <x:c r="C6" s="29" t="str">
        <x:v>游戏风云</x:v>
      </x:c>
      <x:c r="D6" s="29" t="str">
        <x:v>G101</x:v>
      </x:c>
      <x:c r="E6" s="29" t="str">
        <x:v>中国游戏创新大赛</x:v>
      </x:c>
      <x:c r="F6" s="30" t="str"/>
      <x:c r="G6" s="29" t="str">
        <x:v>赛事/创新项目</x:v>
      </x:c>
      <x:c r="H6" s="29" t="n">
        <x:v>3</x:v>
      </x:c>
      <x:c r="I6" s="29" t="n">
        <x:v>5</x:v>
      </x:c>
      <x:c r="J6" s="29" t="n">
        <x:v>3</x:v>
      </x:c>
      <x:c r="K6" s="29" t="n">
        <x:v>2</x:v>
      </x:c>
      <x:c r="L6" s="31" t="n">
        <x:f>SUM(H6:K6)</x:f>
        <x:v>13</x:v>
      </x:c>
      <x:c r="M6" s="29" t="str">
        <x:f>IF(L6&gt;=16,"A-优先",IF(L6&gt;=12,"B-培育","C-观察"))</x:f>
        <x:v>B-培育</x:v>
      </x:c>
      <x:c r="N6" s="29" t="str">
        <x:v>游戏IP活动、电竞赛事、研发/发行团队落地、出海服务</x:v>
      </x:c>
      <x:c r="O6" s="29" t="str"/>
      <x:c r="P6" s="30" t="str"/>
      <x:c r="Q6" s="30" t="str"/>
      <x:c r="R6" s="30" t="str"/>
      <x:c r="S6" s="30" t="str"/>
      <x:c r="T6" s="30" t="str">
        <x:v>建议检索：中国游戏创新大赛 官方 / 公众号 / 微博 / 小红书 / 视频号</x:v>
      </x:c>
      <x:c r="U6" s="30" t="str">
        <x:v>未联系</x:v>
      </x:c>
      <x:c r="V6" s="30" t="str"/>
      <x:c r="W6" s="29" t="str">
        <x:v>高</x:v>
      </x:c>
      <x:c r="X6" s="29" t="str">
        <x:v>https://www.vgover.com/zh-tw/news/226267</x:v>
      </x:c>
    </x:row>
    <x:row r="7">
      <x:c r="A7" s="29" t="n">
        <x:v>4</x:v>
      </x:c>
      <x:c r="B7" s="29" t="str">
        <x:v>N1</x:v>
      </x:c>
      <x:c r="C7" s="29" t="str">
        <x:v>游戏风云</x:v>
      </x:c>
      <x:c r="D7" s="29" t="str">
        <x:v>G102</x:v>
      </x:c>
      <x:c r="E7" s="29" t="str">
        <x:v>顺网科技</x:v>
      </x:c>
      <x:c r="F7" s="30" t="str"/>
      <x:c r="G7" s="29" t="str">
        <x:v>数字娱乐/平台</x:v>
      </x:c>
      <x:c r="H7" s="29" t="n">
        <x:v>4</x:v>
      </x:c>
      <x:c r="I7" s="29" t="n">
        <x:v>5</x:v>
      </x:c>
      <x:c r="J7" s="29" t="n">
        <x:v>5</x:v>
      </x:c>
      <x:c r="K7" s="29" t="n">
        <x:v>4</x:v>
      </x:c>
      <x:c r="L7" s="31" t="n">
        <x:f>SUM(H7:K7)</x:f>
        <x:v>18</x:v>
      </x:c>
      <x:c r="M7" s="29" t="str">
        <x:f>IF(L7&gt;=16,"A-优先",IF(L7&gt;=12,"B-培育","C-观察"))</x:f>
        <x:v>A-优先</x:v>
      </x:c>
      <x:c r="N7" s="29" t="str">
        <x:v>游戏IP活动、电竞赛事、研发/发行团队落地、出海服务</x:v>
      </x:c>
      <x:c r="O7" s="29" t="str"/>
      <x:c r="P7" s="30" t="str"/>
      <x:c r="Q7" s="30" t="str"/>
      <x:c r="R7" s="30" t="str"/>
      <x:c r="S7" s="30" t="str">
        <x:v>https://www.shunwang.com/</x:v>
      </x:c>
      <x:c r="T7" s="30" t="str">
        <x:v>顺网科技 官方网站/认证公众号/微博（招商前复核具体商务入口）</x:v>
      </x:c>
      <x:c r="U7" s="30" t="str">
        <x:v>未联系</x:v>
      </x:c>
      <x:c r="V7" s="30" t="str"/>
      <x:c r="W7" s="29" t="str">
        <x:v>高</x:v>
      </x:c>
      <x:c r="X7" s="29" t="str">
        <x:v>https://www.vgover.com/zh-tw/news/226267</x:v>
      </x:c>
    </x:row>
    <x:row r="8">
      <x:c r="A8" s="29" t="n">
        <x:v>5</x:v>
      </x:c>
      <x:c r="B8" s="29" t="str">
        <x:v>N1</x:v>
      </x:c>
      <x:c r="C8" s="29" t="str">
        <x:v>游戏风云</x:v>
      </x:c>
      <x:c r="D8" s="29" t="str">
        <x:v>G113</x:v>
      </x:c>
      <x:c r="E8" s="29" t="str">
        <x:v>“指尖星河”游戏创新大赛获奖作品展区</x:v>
      </x:c>
      <x:c r="F8" s="30" t="str"/>
      <x:c r="G8" s="29" t="str">
        <x:v>独立游戏/赛事</x:v>
      </x:c>
      <x:c r="H8" s="29" t="n">
        <x:v>2</x:v>
      </x:c>
      <x:c r="I8" s="29" t="n">
        <x:v>5</x:v>
      </x:c>
      <x:c r="J8" s="29" t="n">
        <x:v>5</x:v>
      </x:c>
      <x:c r="K8" s="29" t="n">
        <x:v>2</x:v>
      </x:c>
      <x:c r="L8" s="31" t="n">
        <x:f>SUM(H8:K8)</x:f>
        <x:v>14</x:v>
      </x:c>
      <x:c r="M8" s="29" t="str">
        <x:f>IF(L8&gt;=16,"A-优先",IF(L8&gt;=12,"B-培育","C-观察"))</x:f>
        <x:v>B-培育</x:v>
      </x:c>
      <x:c r="N8" s="29" t="str">
        <x:v>独立游戏孵化、版号/发行、出海服务、低成本办公与人才对接</x:v>
      </x:c>
      <x:c r="O8" s="29" t="str"/>
      <x:c r="P8" s="30" t="str"/>
      <x:c r="Q8" s="30" t="str"/>
      <x:c r="R8" s="30" t="str"/>
      <x:c r="S8" s="30" t="str"/>
      <x:c r="T8" s="30" t="str">
        <x:v>建议检索：“指尖星河”游戏创新大赛获奖作品展区 官方 / 公众号 / 微博 / 小红书 / 视频号</x:v>
      </x:c>
      <x:c r="U8" s="30" t="str">
        <x:v>未联系</x:v>
      </x:c>
      <x:c r="V8" s="30" t="str"/>
      <x:c r="W8" s="29" t="str">
        <x:v>高</x:v>
      </x:c>
      <x:c r="X8" s="29" t="str">
        <x:v>https://www.vgover.com/zh-tw/news/226267</x:v>
      </x:c>
    </x:row>
    <x:row r="9">
      <x:c r="A9" s="29" t="n">
        <x:v>6</x:v>
      </x:c>
      <x:c r="B9" s="29" t="str">
        <x:v>N1</x:v>
      </x:c>
      <x:c r="C9" s="29" t="str">
        <x:v>游戏风云</x:v>
      </x:c>
      <x:c r="D9" s="29" t="str">
        <x:v>G201</x:v>
      </x:c>
      <x:c r="E9" s="29" t="str">
        <x:v>感光者</x:v>
      </x:c>
      <x:c r="F9" s="30" t="str"/>
      <x:c r="G9" s="29" t="str">
        <x:v>游戏/内容</x:v>
      </x:c>
      <x:c r="H9" s="29" t="n">
        <x:v>3</x:v>
      </x:c>
      <x:c r="I9" s="29" t="n">
        <x:v>5</x:v>
      </x:c>
      <x:c r="J9" s="29" t="n">
        <x:v>5</x:v>
      </x:c>
      <x:c r="K9" s="29" t="n">
        <x:v>2</x:v>
      </x:c>
      <x:c r="L9" s="31" t="n">
        <x:f>SUM(H9:K9)</x:f>
        <x:v>15</x:v>
      </x:c>
      <x:c r="M9" s="29" t="str">
        <x:f>IF(L9&gt;=16,"A-优先",IF(L9&gt;=12,"B-培育","C-观察"))</x:f>
        <x:v>B-培育</x:v>
      </x:c>
      <x:c r="N9" s="29" t="str">
        <x:v>游戏IP活动、电竞赛事、研发/发行团队落地、出海服务</x:v>
      </x:c>
      <x:c r="O9" s="29" t="str"/>
      <x:c r="P9" s="30" t="str"/>
      <x:c r="Q9" s="30" t="str"/>
      <x:c r="R9" s="30" t="str"/>
      <x:c r="S9" s="30" t="str"/>
      <x:c r="T9" s="30" t="str">
        <x:v>建议检索：感光者 官方 / 公众号 / 微博 / 小红书 / 视频号</x:v>
      </x:c>
      <x:c r="U9" s="30" t="str">
        <x:v>未联系</x:v>
      </x:c>
      <x:c r="V9" s="30" t="str"/>
      <x:c r="W9" s="29" t="str">
        <x:v>高</x:v>
      </x:c>
      <x:c r="X9" s="29" t="str">
        <x:v>https://www.vgover.com/zh-tw/news/226267</x:v>
      </x:c>
    </x:row>
    <x:row r="10">
      <x:c r="A10" s="29" t="n">
        <x:v>7</x:v>
      </x:c>
      <x:c r="B10" s="29" t="str">
        <x:v>N1</x:v>
      </x:c>
      <x:c r="C10" s="29" t="str">
        <x:v>游戏风云</x:v>
      </x:c>
      <x:c r="D10" s="29" t="str">
        <x:v>G202</x:v>
      </x:c>
      <x:c r="E10" s="29" t="str">
        <x:v>aigo 国民好物</x:v>
      </x:c>
      <x:c r="F10" s="30" t="str"/>
      <x:c r="G10" s="29" t="str">
        <x:v>消费电子</x:v>
      </x:c>
      <x:c r="H10" s="29" t="n">
        <x:v>5</x:v>
      </x:c>
      <x:c r="I10" s="29" t="n">
        <x:v>5</x:v>
      </x:c>
      <x:c r="J10" s="29" t="n">
        <x:v>3</x:v>
      </x:c>
      <x:c r="K10" s="29" t="n">
        <x:v>2</x:v>
      </x:c>
      <x:c r="L10" s="31" t="n">
        <x:f>SUM(H10:K10)</x:f>
        <x:v>15</x:v>
      </x:c>
      <x:c r="M10" s="29" t="str">
        <x:f>IF(L10&gt;=16,"A-优先",IF(L10&gt;=12,"B-培育","C-观察"))</x:f>
        <x:v>B-培育</x:v>
      </x:c>
      <x:c r="N10" s="29" t="str">
        <x:v>游戏IP活动、电竞赛事、研发/发行团队落地、出海服务</x:v>
      </x:c>
      <x:c r="O10" s="29" t="str"/>
      <x:c r="P10" s="30" t="str"/>
      <x:c r="Q10" s="30" t="str"/>
      <x:c r="R10" s="30" t="str"/>
      <x:c r="S10" s="30" t="str"/>
      <x:c r="T10" s="30" t="str">
        <x:v>建议检索：aigo 国民好物 官方 / 公众号 / 微博 / 小红书 / 视频号</x:v>
      </x:c>
      <x:c r="U10" s="30" t="str">
        <x:v>未联系</x:v>
      </x:c>
      <x:c r="V10" s="30" t="str"/>
      <x:c r="W10" s="29" t="str">
        <x:v>高</x:v>
      </x:c>
      <x:c r="X10" s="29" t="str">
        <x:v>https://www.vgover.com/zh-tw/news/226267</x:v>
      </x:c>
    </x:row>
    <x:row r="11">
      <x:c r="A11" s="29" t="n">
        <x:v>8</x:v>
      </x:c>
      <x:c r="B11" s="29" t="str">
        <x:v>N1</x:v>
      </x:c>
      <x:c r="C11" s="29" t="str">
        <x:v>游戏风云</x:v>
      </x:c>
      <x:c r="D11" s="29" t="str">
        <x:v>G203</x:v>
      </x:c>
      <x:c r="E11" s="29" t="str">
        <x:v>毫厘网络</x:v>
      </x:c>
      <x:c r="F11" s="30" t="str"/>
      <x:c r="G11" s="29" t="str">
        <x:v>游戏/技术</x:v>
      </x:c>
      <x:c r="H11" s="29" t="n">
        <x:v>3</x:v>
      </x:c>
      <x:c r="I11" s="29" t="n">
        <x:v>5</x:v>
      </x:c>
      <x:c r="J11" s="29" t="n">
        <x:v>5</x:v>
      </x:c>
      <x:c r="K11" s="29" t="n">
        <x:v>2</x:v>
      </x:c>
      <x:c r="L11" s="31" t="n">
        <x:f>SUM(H11:K11)</x:f>
        <x:v>15</x:v>
      </x:c>
      <x:c r="M11" s="29" t="str">
        <x:f>IF(L11&gt;=16,"A-优先",IF(L11&gt;=12,"B-培育","C-观察"))</x:f>
        <x:v>B-培育</x:v>
      </x:c>
      <x:c r="N11" s="29" t="str">
        <x:v>游戏IP活动、电竞赛事、研发/发行团队落地、出海服务</x:v>
      </x:c>
      <x:c r="O11" s="29" t="str"/>
      <x:c r="P11" s="30" t="str"/>
      <x:c r="Q11" s="30" t="str"/>
      <x:c r="R11" s="30" t="str"/>
      <x:c r="S11" s="30" t="str"/>
      <x:c r="T11" s="30" t="str">
        <x:v>建议检索：毫厘网络 官方 / 公众号 / 微博 / 小红书 / 视频号</x:v>
      </x:c>
      <x:c r="U11" s="30" t="str">
        <x:v>未联系</x:v>
      </x:c>
      <x:c r="V11" s="30" t="str"/>
      <x:c r="W11" s="29" t="str">
        <x:v>高</x:v>
      </x:c>
      <x:c r="X11" s="29" t="str">
        <x:v>https://www.vgover.com/zh-tw/news/226267</x:v>
      </x:c>
    </x:row>
    <x:row r="12">
      <x:c r="A12" s="29" t="n">
        <x:v>9</x:v>
      </x:c>
      <x:c r="B12" s="29" t="str">
        <x:v>N1</x:v>
      </x:c>
      <x:c r="C12" s="29" t="str">
        <x:v>游戏风云</x:v>
      </x:c>
      <x:c r="D12" s="29" t="str">
        <x:v>G205</x:v>
      </x:c>
      <x:c r="E12" s="29" t="str">
        <x:v>GSE</x:v>
      </x:c>
      <x:c r="F12" s="30" t="str"/>
      <x:c r="G12" s="29" t="str">
        <x:v>游戏/内容</x:v>
      </x:c>
      <x:c r="H12" s="29" t="n">
        <x:v>3</x:v>
      </x:c>
      <x:c r="I12" s="29" t="n">
        <x:v>5</x:v>
      </x:c>
      <x:c r="J12" s="29" t="n">
        <x:v>5</x:v>
      </x:c>
      <x:c r="K12" s="29" t="n">
        <x:v>2</x:v>
      </x:c>
      <x:c r="L12" s="31" t="n">
        <x:f>SUM(H12:K12)</x:f>
        <x:v>15</x:v>
      </x:c>
      <x:c r="M12" s="29" t="str">
        <x:f>IF(L12&gt;=16,"A-优先",IF(L12&gt;=12,"B-培育","C-观察"))</x:f>
        <x:v>B-培育</x:v>
      </x:c>
      <x:c r="N12" s="29" t="str">
        <x:v>游戏IP活动、电竞赛事、研发/发行团队落地、出海服务</x:v>
      </x:c>
      <x:c r="O12" s="29" t="str"/>
      <x:c r="P12" s="30" t="str"/>
      <x:c r="Q12" s="30" t="str"/>
      <x:c r="R12" s="30" t="str"/>
      <x:c r="S12" s="30" t="str"/>
      <x:c r="T12" s="30" t="str">
        <x:v>建议检索：GSE 官方 / 公众号 / 微博 / 小红书 / 视频号</x:v>
      </x:c>
      <x:c r="U12" s="30" t="str">
        <x:v>未联系</x:v>
      </x:c>
      <x:c r="V12" s="30" t="str"/>
      <x:c r="W12" s="29" t="str">
        <x:v>高</x:v>
      </x:c>
      <x:c r="X12" s="29" t="str">
        <x:v>https://www.vgover.com/zh-tw/news/226267</x:v>
      </x:c>
    </x:row>
    <x:row r="13">
      <x:c r="A13" s="29" t="n">
        <x:v>10</x:v>
      </x:c>
      <x:c r="B13" s="29" t="str">
        <x:v>N1</x:v>
      </x:c>
      <x:c r="C13" s="29" t="str">
        <x:v>游戏风云</x:v>
      </x:c>
      <x:c r="D13" s="29" t="str">
        <x:v>G301</x:v>
      </x:c>
      <x:c r="E13" s="29" t="str">
        <x:v>正面效应</x:v>
      </x:c>
      <x:c r="F13" s="30" t="str"/>
      <x:c r="G13" s="29" t="str">
        <x:v>游戏/内容</x:v>
      </x:c>
      <x:c r="H13" s="29" t="n">
        <x:v>3</x:v>
      </x:c>
      <x:c r="I13" s="29" t="n">
        <x:v>5</x:v>
      </x:c>
      <x:c r="J13" s="29" t="n">
        <x:v>5</x:v>
      </x:c>
      <x:c r="K13" s="29" t="n">
        <x:v>2</x:v>
      </x:c>
      <x:c r="L13" s="31" t="n">
        <x:f>SUM(H13:K13)</x:f>
        <x:v>15</x:v>
      </x:c>
      <x:c r="M13" s="29" t="str">
        <x:f>IF(L13&gt;=16,"A-优先",IF(L13&gt;=12,"B-培育","C-观察"))</x:f>
        <x:v>B-培育</x:v>
      </x:c>
      <x:c r="N13" s="29" t="str">
        <x:v>游戏IP活动、电竞赛事、研发/发行团队落地、出海服务</x:v>
      </x:c>
      <x:c r="O13" s="29" t="str"/>
      <x:c r="P13" s="30" t="str"/>
      <x:c r="Q13" s="30" t="str"/>
      <x:c r="R13" s="30" t="str"/>
      <x:c r="S13" s="30" t="str"/>
      <x:c r="T13" s="30" t="str">
        <x:v>建议检索：正面效应 官方 / 公众号 / 微博 / 小红书 / 视频号</x:v>
      </x:c>
      <x:c r="U13" s="30" t="str">
        <x:v>未联系</x:v>
      </x:c>
      <x:c r="V13" s="30" t="str"/>
      <x:c r="W13" s="29" t="str">
        <x:v>高</x:v>
      </x:c>
      <x:c r="X13" s="29" t="str">
        <x:v>https://www.vgover.com/zh-tw/news/226267</x:v>
      </x:c>
    </x:row>
    <x:row r="14">
      <x:c r="A14" s="29" t="n">
        <x:v>11</x:v>
      </x:c>
      <x:c r="B14" s="29" t="str">
        <x:v>N1</x:v>
      </x:c>
      <x:c r="C14" s="29" t="str">
        <x:v>游戏风云</x:v>
      </x:c>
      <x:c r="D14" s="29" t="str">
        <x:v>G302</x:v>
      </x:c>
      <x:c r="E14" s="29" t="str">
        <x:v>SNK</x:v>
      </x:c>
      <x:c r="F14" s="30" t="str"/>
      <x:c r="G14" s="29" t="str">
        <x:v>游戏企业</x:v>
      </x:c>
      <x:c r="H14" s="29" t="n">
        <x:v>5</x:v>
      </x:c>
      <x:c r="I14" s="29" t="n">
        <x:v>5</x:v>
      </x:c>
      <x:c r="J14" s="29" t="n">
        <x:v>5</x:v>
      </x:c>
      <x:c r="K14" s="29" t="n">
        <x:v>2</x:v>
      </x:c>
      <x:c r="L14" s="31" t="n">
        <x:f>SUM(H14:K14)</x:f>
        <x:v>17</x:v>
      </x:c>
      <x:c r="M14" s="29" t="str">
        <x:f>IF(L14&gt;=16,"A-优先",IF(L14&gt;=12,"B-培育","C-观察"))</x:f>
        <x:v>A-优先</x:v>
      </x:c>
      <x:c r="N14" s="29" t="str">
        <x:v>游戏IP活动、电竞赛事、研发/发行团队落地、出海服务</x:v>
      </x:c>
      <x:c r="O14" s="29" t="str"/>
      <x:c r="P14" s="30" t="str"/>
      <x:c r="Q14" s="30" t="str"/>
      <x:c r="R14" s="30" t="str"/>
      <x:c r="S14" s="30" t="str"/>
      <x:c r="T14" s="30" t="str">
        <x:v>建议检索：SNK 官方 / 公众号 / 微博 / 小红书 / 视频号</x:v>
      </x:c>
      <x:c r="U14" s="30" t="str">
        <x:v>未联系</x:v>
      </x:c>
      <x:c r="V14" s="30" t="str"/>
      <x:c r="W14" s="29" t="str">
        <x:v>高</x:v>
      </x:c>
      <x:c r="X14" s="29" t="str">
        <x:v>https://www.vgover.com/zh-tw/news/226267</x:v>
      </x:c>
    </x:row>
    <x:row r="15">
      <x:c r="A15" s="29" t="n">
        <x:v>12</x:v>
      </x:c>
      <x:c r="B15" s="29" t="str">
        <x:v>N1</x:v>
      </x:c>
      <x:c r="C15" s="29" t="str">
        <x:v>游戏风云</x:v>
      </x:c>
      <x:c r="D15" s="29" t="str">
        <x:v>G303</x:v>
      </x:c>
      <x:c r="E15" s="29" t="str">
        <x:v>星矿岛</x:v>
      </x:c>
      <x:c r="F15" s="30" t="str"/>
      <x:c r="G15" s="29" t="str">
        <x:v>独立游戏</x:v>
      </x:c>
      <x:c r="H15" s="29" t="n">
        <x:v>2</x:v>
      </x:c>
      <x:c r="I15" s="29" t="n">
        <x:v>5</x:v>
      </x:c>
      <x:c r="J15" s="29" t="n">
        <x:v>5</x:v>
      </x:c>
      <x:c r="K15" s="29" t="n">
        <x:v>2</x:v>
      </x:c>
      <x:c r="L15" s="31" t="n">
        <x:f>SUM(H15:K15)</x:f>
        <x:v>14</x:v>
      </x:c>
      <x:c r="M15" s="29" t="str">
        <x:f>IF(L15&gt;=16,"A-优先",IF(L15&gt;=12,"B-培育","C-观察"))</x:f>
        <x:v>B-培育</x:v>
      </x:c>
      <x:c r="N15" s="29" t="str">
        <x:v>独立游戏孵化、版号/发行、出海服务、低成本办公与人才对接</x:v>
      </x:c>
      <x:c r="O15" s="29" t="str"/>
      <x:c r="P15" s="30" t="str"/>
      <x:c r="Q15" s="30" t="str"/>
      <x:c r="R15" s="30" t="str"/>
      <x:c r="S15" s="30" t="str"/>
      <x:c r="T15" s="30" t="str">
        <x:v>建议检索：星矿岛 官方 / 公众号 / 微博 / 小红书 / 视频号</x:v>
      </x:c>
      <x:c r="U15" s="30" t="str">
        <x:v>未联系</x:v>
      </x:c>
      <x:c r="V15" s="30" t="str"/>
      <x:c r="W15" s="29" t="str">
        <x:v>高</x:v>
      </x:c>
      <x:c r="X15" s="29" t="str">
        <x:v>https://www.vgover.com/zh-tw/news/226267</x:v>
      </x:c>
    </x:row>
    <x:row r="16">
      <x:c r="A16" s="29" t="n">
        <x:v>13</x:v>
      </x:c>
      <x:c r="B16" s="29" t="str">
        <x:v>N1</x:v>
      </x:c>
      <x:c r="C16" s="29" t="str">
        <x:v>游戏风云</x:v>
      </x:c>
      <x:c r="D16" s="29" t="str">
        <x:v>G305</x:v>
      </x:c>
      <x:c r="E16" s="29" t="str">
        <x:v>鲨鱼工作室</x:v>
      </x:c>
      <x:c r="F16" s="30" t="str"/>
      <x:c r="G16" s="29" t="str">
        <x:v>独立游戏</x:v>
      </x:c>
      <x:c r="H16" s="29" t="n">
        <x:v>2</x:v>
      </x:c>
      <x:c r="I16" s="29" t="n">
        <x:v>5</x:v>
      </x:c>
      <x:c r="J16" s="29" t="n">
        <x:v>5</x:v>
      </x:c>
      <x:c r="K16" s="29" t="n">
        <x:v>2</x:v>
      </x:c>
      <x:c r="L16" s="31" t="n">
        <x:f>SUM(H16:K16)</x:f>
        <x:v>14</x:v>
      </x:c>
      <x:c r="M16" s="29" t="str">
        <x:f>IF(L16&gt;=16,"A-优先",IF(L16&gt;=12,"B-培育","C-观察"))</x:f>
        <x:v>B-培育</x:v>
      </x:c>
      <x:c r="N16" s="29" t="str">
        <x:v>独立游戏孵化、版号/发行、出海服务、低成本办公与人才对接</x:v>
      </x:c>
      <x:c r="O16" s="29" t="str"/>
      <x:c r="P16" s="30" t="str"/>
      <x:c r="Q16" s="30" t="str"/>
      <x:c r="R16" s="30" t="str"/>
      <x:c r="S16" s="30" t="str"/>
      <x:c r="T16" s="30" t="str">
        <x:v>建议检索：鲨鱼工作室 官方 / 公众号 / 微博 / 小红书 / 视频号</x:v>
      </x:c>
      <x:c r="U16" s="30" t="str">
        <x:v>未联系</x:v>
      </x:c>
      <x:c r="V16" s="30" t="str"/>
      <x:c r="W16" s="29" t="str">
        <x:v>高</x:v>
      </x:c>
      <x:c r="X16" s="29" t="str">
        <x:v>https://www.vgover.com/zh-tw/news/226267</x:v>
      </x:c>
    </x:row>
    <x:row r="17">
      <x:c r="A17" s="29" t="n">
        <x:v>14</x:v>
      </x:c>
      <x:c r="B17" s="29" t="str">
        <x:v>N1</x:v>
      </x:c>
      <x:c r="C17" s="29" t="str">
        <x:v>游戏风云</x:v>
      </x:c>
      <x:c r="D17" s="29" t="str">
        <x:v>G306</x:v>
      </x:c>
      <x:c r="E17" s="29" t="str">
        <x:v>Snail Games 蜗牛游戏</x:v>
      </x:c>
      <x:c r="F17" s="30" t="str"/>
      <x:c r="G17" s="29" t="str">
        <x:v>游戏企业</x:v>
      </x:c>
      <x:c r="H17" s="29" t="n">
        <x:v>5</x:v>
      </x:c>
      <x:c r="I17" s="29" t="n">
        <x:v>5</x:v>
      </x:c>
      <x:c r="J17" s="29" t="n">
        <x:v>5</x:v>
      </x:c>
      <x:c r="K17" s="29" t="n">
        <x:v>2</x:v>
      </x:c>
      <x:c r="L17" s="31" t="n">
        <x:f>SUM(H17:K17)</x:f>
        <x:v>17</x:v>
      </x:c>
      <x:c r="M17" s="29" t="str">
        <x:f>IF(L17&gt;=16,"A-优先",IF(L17&gt;=12,"B-培育","C-观察"))</x:f>
        <x:v>A-优先</x:v>
      </x:c>
      <x:c r="N17" s="29" t="str">
        <x:v>游戏IP活动、电竞赛事、研发/发行团队落地、出海服务</x:v>
      </x:c>
      <x:c r="O17" s="29" t="str"/>
      <x:c r="P17" s="30" t="str"/>
      <x:c r="Q17" s="30" t="str"/>
      <x:c r="R17" s="30" t="str"/>
      <x:c r="S17" s="30" t="str"/>
      <x:c r="T17" s="30" t="str">
        <x:v>建议检索：Snail Games 蜗牛游戏 官方 / 公众号 / 微博 / 小红书 / 视频号</x:v>
      </x:c>
      <x:c r="U17" s="30" t="str">
        <x:v>未联系</x:v>
      </x:c>
      <x:c r="V17" s="30" t="str"/>
      <x:c r="W17" s="29" t="str">
        <x:v>高</x:v>
      </x:c>
      <x:c r="X17" s="29" t="str">
        <x:v>https://www.vgover.com/zh-tw/news/226267</x:v>
      </x:c>
    </x:row>
    <x:row r="18">
      <x:c r="A18" s="29" t="n">
        <x:v>15</x:v>
      </x:c>
      <x:c r="B18" s="29" t="str">
        <x:v>N1</x:v>
      </x:c>
      <x:c r="C18" s="29" t="str">
        <x:v>游戏风云</x:v>
      </x:c>
      <x:c r="D18" s="29" t="str">
        <x:v>G501</x:v>
      </x:c>
      <x:c r="E18" s="29" t="str">
        <x:v>龙图智库</x:v>
      </x:c>
      <x:c r="F18" s="30" t="str"/>
      <x:c r="G18" s="29" t="str">
        <x:v>游戏/产业服务</x:v>
      </x:c>
      <x:c r="H18" s="29" t="n">
        <x:v>3</x:v>
      </x:c>
      <x:c r="I18" s="29" t="n">
        <x:v>5</x:v>
      </x:c>
      <x:c r="J18" s="29" t="n">
        <x:v>5</x:v>
      </x:c>
      <x:c r="K18" s="29" t="n">
        <x:v>2</x:v>
      </x:c>
      <x:c r="L18" s="31" t="n">
        <x:f>SUM(H18:K18)</x:f>
        <x:v>15</x:v>
      </x:c>
      <x:c r="M18" s="29" t="str">
        <x:f>IF(L18&gt;=16,"A-优先",IF(L18&gt;=12,"B-培育","C-观察"))</x:f>
        <x:v>B-培育</x:v>
      </x:c>
      <x:c r="N18" s="29" t="str">
        <x:v>游戏IP活动、电竞赛事、研发/发行团队落地、出海服务</x:v>
      </x:c>
      <x:c r="O18" s="29" t="str"/>
      <x:c r="P18" s="30" t="str"/>
      <x:c r="Q18" s="30" t="str"/>
      <x:c r="R18" s="30" t="str"/>
      <x:c r="S18" s="30" t="str"/>
      <x:c r="T18" s="30" t="str">
        <x:v>建议检索：龙图智库 官方 / 公众号 / 微博 / 小红书 / 视频号</x:v>
      </x:c>
      <x:c r="U18" s="30" t="str">
        <x:v>未联系</x:v>
      </x:c>
      <x:c r="V18" s="30" t="str"/>
      <x:c r="W18" s="29" t="str">
        <x:v>高</x:v>
      </x:c>
      <x:c r="X18" s="29" t="str">
        <x:v>https://www.vgover.com/zh-tw/news/226267</x:v>
      </x:c>
    </x:row>
    <x:row r="19">
      <x:c r="A19" s="29" t="n">
        <x:v>16</x:v>
      </x:c>
      <x:c r="B19" s="29" t="str">
        <x:v>N1</x:v>
      </x:c>
      <x:c r="C19" s="29" t="str">
        <x:v>游戏风云</x:v>
      </x:c>
      <x:c r="D19" s="29" t="str">
        <x:v>G502</x:v>
      </x:c>
      <x:c r="E19" s="29" t="str">
        <x:v>2P Games</x:v>
      </x:c>
      <x:c r="F19" s="30" t="str"/>
      <x:c r="G19" s="29" t="str">
        <x:v>独立游戏发行</x:v>
      </x:c>
      <x:c r="H19" s="29" t="n">
        <x:v>2</x:v>
      </x:c>
      <x:c r="I19" s="29" t="n">
        <x:v>5</x:v>
      </x:c>
      <x:c r="J19" s="29" t="n">
        <x:v>5</x:v>
      </x:c>
      <x:c r="K19" s="29" t="n">
        <x:v>2</x:v>
      </x:c>
      <x:c r="L19" s="31" t="n">
        <x:f>SUM(H19:K19)</x:f>
        <x:v>14</x:v>
      </x:c>
      <x:c r="M19" s="29" t="str">
        <x:f>IF(L19&gt;=16,"A-优先",IF(L19&gt;=12,"B-培育","C-观察"))</x:f>
        <x:v>B-培育</x:v>
      </x:c>
      <x:c r="N19" s="29" t="str">
        <x:v>独立游戏孵化、版号/发行、出海服务、低成本办公与人才对接</x:v>
      </x:c>
      <x:c r="O19" s="29" t="str"/>
      <x:c r="P19" s="30" t="str"/>
      <x:c r="Q19" s="30" t="str"/>
      <x:c r="R19" s="30" t="str"/>
      <x:c r="S19" s="30" t="str"/>
      <x:c r="T19" s="30" t="str">
        <x:v>建议检索：2P Games 官方 / 公众号 / 微博 / 小红书 / 视频号</x:v>
      </x:c>
      <x:c r="U19" s="30" t="str">
        <x:v>未联系</x:v>
      </x:c>
      <x:c r="V19" s="30" t="str"/>
      <x:c r="W19" s="29" t="str">
        <x:v>高</x:v>
      </x:c>
      <x:c r="X19" s="29" t="str">
        <x:v>https://www.vgover.com/zh-tw/news/226267</x:v>
      </x:c>
    </x:row>
    <x:row r="20">
      <x:c r="A20" s="29" t="n">
        <x:v>17</x:v>
      </x:c>
      <x:c r="B20" s="29" t="str">
        <x:v>N1</x:v>
      </x:c>
      <x:c r="C20" s="29" t="str">
        <x:v>游戏风云</x:v>
      </x:c>
      <x:c r="D20" s="29" t="str">
        <x:v>G503</x:v>
      </x:c>
      <x:c r="E20" s="29" t="str">
        <x:v>Momodora/月雨</x:v>
      </x:c>
      <x:c r="F20" s="30" t="str"/>
      <x:c r="G20" s="29" t="str">
        <x:v>独立游戏/IP</x:v>
      </x:c>
      <x:c r="H20" s="29" t="n">
        <x:v>2</x:v>
      </x:c>
      <x:c r="I20" s="29" t="n">
        <x:v>5</x:v>
      </x:c>
      <x:c r="J20" s="29" t="n">
        <x:v>5</x:v>
      </x:c>
      <x:c r="K20" s="29" t="n">
        <x:v>2</x:v>
      </x:c>
      <x:c r="L20" s="31" t="n">
        <x:f>SUM(H20:K20)</x:f>
        <x:v>14</x:v>
      </x:c>
      <x:c r="M20" s="29" t="str">
        <x:f>IF(L20&gt;=16,"A-优先",IF(L20&gt;=12,"B-培育","C-观察"))</x:f>
        <x:v>B-培育</x:v>
      </x:c>
      <x:c r="N20" s="29" t="str">
        <x:v>独立游戏孵化、版号/发行、出海服务、低成本办公与人才对接</x:v>
      </x:c>
      <x:c r="O20" s="29" t="str"/>
      <x:c r="P20" s="30" t="str"/>
      <x:c r="Q20" s="30" t="str"/>
      <x:c r="R20" s="30" t="str"/>
      <x:c r="S20" s="30" t="str"/>
      <x:c r="T20" s="30" t="str">
        <x:v>建议检索：Momodora/月雨 官方 / 公众号 / 微博 / 小红书 / 视频号</x:v>
      </x:c>
      <x:c r="U20" s="30" t="str">
        <x:v>未联系</x:v>
      </x:c>
      <x:c r="V20" s="30" t="str"/>
      <x:c r="W20" s="29" t="str">
        <x:v>高</x:v>
      </x:c>
      <x:c r="X20" s="29" t="str">
        <x:v>https://www.vgover.com/zh-tw/news/226267</x:v>
      </x:c>
    </x:row>
    <x:row r="21">
      <x:c r="A21" s="29" t="n">
        <x:v>18</x:v>
      </x:c>
      <x:c r="B21" s="29" t="str">
        <x:v>N1</x:v>
      </x:c>
      <x:c r="C21" s="29" t="str">
        <x:v>游戏风云</x:v>
      </x:c>
      <x:c r="D21" s="29" t="str">
        <x:v>G505</x:v>
      </x:c>
      <x:c r="E21" s="29" t="str">
        <x:v>独立游戏联合展位</x:v>
      </x:c>
      <x:c r="F21" s="30" t="str"/>
      <x:c r="G21" s="29" t="str">
        <x:v>独立游戏</x:v>
      </x:c>
      <x:c r="H21" s="29" t="n">
        <x:v>2</x:v>
      </x:c>
      <x:c r="I21" s="29" t="n">
        <x:v>5</x:v>
      </x:c>
      <x:c r="J21" s="29" t="n">
        <x:v>5</x:v>
      </x:c>
      <x:c r="K21" s="29" t="n">
        <x:v>2</x:v>
      </x:c>
      <x:c r="L21" s="31" t="n">
        <x:f>SUM(H21:K21)</x:f>
        <x:v>14</x:v>
      </x:c>
      <x:c r="M21" s="29" t="str">
        <x:f>IF(L21&gt;=16,"A-优先",IF(L21&gt;=12,"B-培育","C-观察"))</x:f>
        <x:v>B-培育</x:v>
      </x:c>
      <x:c r="N21" s="29" t="str">
        <x:v>独立游戏孵化、版号/发行、出海服务、低成本办公与人才对接</x:v>
      </x:c>
      <x:c r="O21" s="29" t="str"/>
      <x:c r="P21" s="30" t="str"/>
      <x:c r="Q21" s="30" t="str"/>
      <x:c r="R21" s="30" t="str"/>
      <x:c r="S21" s="30" t="str"/>
      <x:c r="T21" s="30" t="str">
        <x:v>建议检索：独立游戏联合展位 官方 / 公众号 / 微博 / 小红书 / 视频号</x:v>
      </x:c>
      <x:c r="U21" s="30" t="str">
        <x:v>未联系</x:v>
      </x:c>
      <x:c r="V21" s="30" t="str"/>
      <x:c r="W21" s="29" t="str">
        <x:v>高</x:v>
      </x:c>
      <x:c r="X21" s="29" t="str">
        <x:v>https://www.vgover.com/zh-tw/news/226267</x:v>
      </x:c>
    </x:row>
    <x:row r="22">
      <x:c r="A22" s="29" t="n">
        <x:v>19</x:v>
      </x:c>
      <x:c r="B22" s="29" t="str">
        <x:v>N1</x:v>
      </x:c>
      <x:c r="C22" s="29" t="str">
        <x:v>游戏风云</x:v>
      </x:c>
      <x:c r="D22" s="29" t="str">
        <x:v>G506</x:v>
      </x:c>
      <x:c r="E22" s="29" t="str">
        <x:v>MOZA 魔爪</x:v>
      </x:c>
      <x:c r="F22" s="30" t="str"/>
      <x:c r="G22" s="29" t="str">
        <x:v>游戏硬件</x:v>
      </x:c>
      <x:c r="H22" s="29" t="n">
        <x:v>4</x:v>
      </x:c>
      <x:c r="I22" s="29" t="n">
        <x:v>5</x:v>
      </x:c>
      <x:c r="J22" s="29" t="n">
        <x:v>5</x:v>
      </x:c>
      <x:c r="K22" s="29" t="n">
        <x:v>2</x:v>
      </x:c>
      <x:c r="L22" s="31" t="n">
        <x:f>SUM(H22:K22)</x:f>
        <x:v>16</x:v>
      </x:c>
      <x:c r="M22" s="29" t="str">
        <x:f>IF(L22&gt;=16,"A-优先",IF(L22&gt;=12,"B-培育","C-观察"))</x:f>
        <x:v>A-优先</x:v>
      </x:c>
      <x:c r="N22" s="29" t="str">
        <x:v>游戏IP活动、电竞赛事、研发/发行团队落地、出海服务</x:v>
      </x:c>
      <x:c r="O22" s="29" t="str"/>
      <x:c r="P22" s="30" t="str"/>
      <x:c r="Q22" s="30" t="str"/>
      <x:c r="R22" s="30" t="str"/>
      <x:c r="S22" s="30" t="str"/>
      <x:c r="T22" s="30" t="str">
        <x:v>建议检索：MOZA 魔爪 官方 / 公众号 / 微博 / 小红书 / 视频号</x:v>
      </x:c>
      <x:c r="U22" s="30" t="str">
        <x:v>未联系</x:v>
      </x:c>
      <x:c r="V22" s="30" t="str"/>
      <x:c r="W22" s="29" t="str">
        <x:v>高</x:v>
      </x:c>
      <x:c r="X22" s="29" t="str">
        <x:v>https://www.vgover.com/zh-tw/news/226267</x:v>
      </x:c>
    </x:row>
    <x:row r="23">
      <x:c r="A23" s="29" t="n">
        <x:v>20</x:v>
      </x:c>
      <x:c r="B23" s="29" t="str">
        <x:v>N1</x:v>
      </x:c>
      <x:c r="C23" s="29" t="str">
        <x:v>游戏风云</x:v>
      </x:c>
      <x:c r="D23" s="29" t="str">
        <x:v>G507</x:v>
      </x:c>
      <x:c r="E23" s="29" t="str">
        <x:v>BOLTRAY GAMES</x:v>
      </x:c>
      <x:c r="F23" s="30" t="str"/>
      <x:c r="G23" s="29" t="str">
        <x:v>游戏发行</x:v>
      </x:c>
      <x:c r="H23" s="29" t="n">
        <x:v>3</x:v>
      </x:c>
      <x:c r="I23" s="29" t="n">
        <x:v>5</x:v>
      </x:c>
      <x:c r="J23" s="29" t="n">
        <x:v>5</x:v>
      </x:c>
      <x:c r="K23" s="29" t="n">
        <x:v>2</x:v>
      </x:c>
      <x:c r="L23" s="31" t="n">
        <x:f>SUM(H23:K23)</x:f>
        <x:v>15</x:v>
      </x:c>
      <x:c r="M23" s="29" t="str">
        <x:f>IF(L23&gt;=16,"A-优先",IF(L23&gt;=12,"B-培育","C-观察"))</x:f>
        <x:v>B-培育</x:v>
      </x:c>
      <x:c r="N23" s="29" t="str">
        <x:v>游戏IP活动、电竞赛事、研发/发行团队落地、出海服务</x:v>
      </x:c>
      <x:c r="O23" s="29" t="str"/>
      <x:c r="P23" s="30" t="str"/>
      <x:c r="Q23" s="30" t="str"/>
      <x:c r="R23" s="30" t="str"/>
      <x:c r="S23" s="30" t="str"/>
      <x:c r="T23" s="30" t="str">
        <x:v>建议检索：BOLTRAY GAMES 官方 / 公众号 / 微博 / 小红书 / 视频号</x:v>
      </x:c>
      <x:c r="U23" s="30" t="str">
        <x:v>未联系</x:v>
      </x:c>
      <x:c r="V23" s="30" t="str"/>
      <x:c r="W23" s="29" t="str">
        <x:v>高</x:v>
      </x:c>
      <x:c r="X23" s="29" t="str">
        <x:v>https://www.vgover.com/zh-tw/news/226267</x:v>
      </x:c>
    </x:row>
    <x:row r="24">
      <x:c r="A24" s="29" t="n">
        <x:v>21</x:v>
      </x:c>
      <x:c r="B24" s="29" t="str">
        <x:v>N1</x:v>
      </x:c>
      <x:c r="C24" s="29" t="str">
        <x:v>游戏风云</x:v>
      </x:c>
      <x:c r="D24" s="29" t="str">
        <x:v>G601</x:v>
      </x:c>
      <x:c r="E24" s="29" t="str">
        <x:v>天下归心</x:v>
      </x:c>
      <x:c r="F24" s="30" t="str"/>
      <x:c r="G24" s="29" t="str">
        <x:v>游戏/IP</x:v>
      </x:c>
      <x:c r="H24" s="29" t="n">
        <x:v>3</x:v>
      </x:c>
      <x:c r="I24" s="29" t="n">
        <x:v>5</x:v>
      </x:c>
      <x:c r="J24" s="29" t="n">
        <x:v>5</x:v>
      </x:c>
      <x:c r="K24" s="29" t="n">
        <x:v>2</x:v>
      </x:c>
      <x:c r="L24" s="31" t="n">
        <x:f>SUM(H24:K24)</x:f>
        <x:v>15</x:v>
      </x:c>
      <x:c r="M24" s="29" t="str">
        <x:f>IF(L24&gt;=16,"A-优先",IF(L24&gt;=12,"B-培育","C-观察"))</x:f>
        <x:v>B-培育</x:v>
      </x:c>
      <x:c r="N24" s="29" t="str">
        <x:v>游戏IP活动、电竞赛事、研发/发行团队落地、出海服务</x:v>
      </x:c>
      <x:c r="O24" s="29" t="str"/>
      <x:c r="P24" s="30" t="str"/>
      <x:c r="Q24" s="30" t="str"/>
      <x:c r="R24" s="30" t="str"/>
      <x:c r="S24" s="30" t="str"/>
      <x:c r="T24" s="30" t="str">
        <x:v>建议检索：天下归心 官方 / 公众号 / 微博 / 小红书 / 视频号</x:v>
      </x:c>
      <x:c r="U24" s="30" t="str">
        <x:v>未联系</x:v>
      </x:c>
      <x:c r="V24" s="30" t="str"/>
      <x:c r="W24" s="29" t="str">
        <x:v>高</x:v>
      </x:c>
      <x:c r="X24" s="29" t="str">
        <x:v>https://www.vgover.com/zh-tw/news/226267</x:v>
      </x:c>
    </x:row>
    <x:row r="25">
      <x:c r="A25" s="29" t="n">
        <x:v>22</x:v>
      </x:c>
      <x:c r="B25" s="29" t="str">
        <x:v>N1</x:v>
      </x:c>
      <x:c r="C25" s="29" t="str">
        <x:v>游戏风云</x:v>
      </x:c>
      <x:c r="D25" s="29" t="str">
        <x:v>G602</x:v>
      </x:c>
      <x:c r="E25" s="29" t="str">
        <x:v>幻兽帕鲁主题内容</x:v>
      </x:c>
      <x:c r="F25" s="30" t="str"/>
      <x:c r="G25" s="29" t="str">
        <x:v>游戏/IP</x:v>
      </x:c>
      <x:c r="H25" s="29" t="n">
        <x:v>3</x:v>
      </x:c>
      <x:c r="I25" s="29" t="n">
        <x:v>5</x:v>
      </x:c>
      <x:c r="J25" s="29" t="n">
        <x:v>5</x:v>
      </x:c>
      <x:c r="K25" s="29" t="n">
        <x:v>2</x:v>
      </x:c>
      <x:c r="L25" s="31" t="n">
        <x:f>SUM(H25:K25)</x:f>
        <x:v>15</x:v>
      </x:c>
      <x:c r="M25" s="29" t="str">
        <x:f>IF(L25&gt;=16,"A-优先",IF(L25&gt;=12,"B-培育","C-观察"))</x:f>
        <x:v>B-培育</x:v>
      </x:c>
      <x:c r="N25" s="29" t="str">
        <x:v>游戏IP活动、电竞赛事、研发/发行团队落地、出海服务</x:v>
      </x:c>
      <x:c r="O25" s="29" t="str"/>
      <x:c r="P25" s="30" t="str"/>
      <x:c r="Q25" s="30" t="str"/>
      <x:c r="R25" s="30" t="str"/>
      <x:c r="S25" s="30" t="str"/>
      <x:c r="T25" s="30" t="str">
        <x:v>建议检索：幻兽帕鲁主题内容 官方 / 公众号 / 微博 / 小红书 / 视频号</x:v>
      </x:c>
      <x:c r="U25" s="30" t="str">
        <x:v>未联系</x:v>
      </x:c>
      <x:c r="V25" s="30" t="str"/>
      <x:c r="W25" s="29" t="str">
        <x:v>高</x:v>
      </x:c>
      <x:c r="X25" s="29" t="str">
        <x:v>https://www.vgover.com/zh-tw/news/226267</x:v>
      </x:c>
    </x:row>
    <x:row r="26">
      <x:c r="A26" s="29" t="n">
        <x:v>23</x:v>
      </x:c>
      <x:c r="B26" s="29" t="str">
        <x:v>N1</x:v>
      </x:c>
      <x:c r="C26" s="29" t="str">
        <x:v>游戏风云</x:v>
      </x:c>
      <x:c r="D26" s="29" t="str">
        <x:v>G603</x:v>
      </x:c>
      <x:c r="E26" s="29" t="str">
        <x:v>星矿岛</x:v>
      </x:c>
      <x:c r="F26" s="30" t="str"/>
      <x:c r="G26" s="29" t="str">
        <x:v>独立游戏</x:v>
      </x:c>
      <x:c r="H26" s="29" t="n">
        <x:v>2</x:v>
      </x:c>
      <x:c r="I26" s="29" t="n">
        <x:v>5</x:v>
      </x:c>
      <x:c r="J26" s="29" t="n">
        <x:v>5</x:v>
      </x:c>
      <x:c r="K26" s="29" t="n">
        <x:v>2</x:v>
      </x:c>
      <x:c r="L26" s="31" t="n">
        <x:f>SUM(H26:K26)</x:f>
        <x:v>14</x:v>
      </x:c>
      <x:c r="M26" s="29" t="str">
        <x:f>IF(L26&gt;=16,"A-优先",IF(L26&gt;=12,"B-培育","C-观察"))</x:f>
        <x:v>B-培育</x:v>
      </x:c>
      <x:c r="N26" s="29" t="str">
        <x:v>独立游戏孵化、版号/发行、出海服务、低成本办公与人才对接</x:v>
      </x:c>
      <x:c r="O26" s="29" t="str"/>
      <x:c r="P26" s="30" t="str"/>
      <x:c r="Q26" s="30" t="str"/>
      <x:c r="R26" s="30" t="str"/>
      <x:c r="S26" s="30" t="str"/>
      <x:c r="T26" s="30" t="str">
        <x:v>建议检索：星矿岛 官方 / 公众号 / 微博 / 小红书 / 视频号</x:v>
      </x:c>
      <x:c r="U26" s="30" t="str">
        <x:v>未联系</x:v>
      </x:c>
      <x:c r="V26" s="30" t="str"/>
      <x:c r="W26" s="29" t="str">
        <x:v>高</x:v>
      </x:c>
      <x:c r="X26" s="29" t="str">
        <x:v>https://www.vgover.com/zh-tw/news/226267</x:v>
      </x:c>
    </x:row>
    <x:row r="27">
      <x:c r="A27" s="29" t="n">
        <x:v>24</x:v>
      </x:c>
      <x:c r="B27" s="29" t="str">
        <x:v>N1</x:v>
      </x:c>
      <x:c r="C27" s="29" t="str">
        <x:v>游戏风云</x:v>
      </x:c>
      <x:c r="D27" s="29" t="str">
        <x:v>G605</x:v>
      </x:c>
      <x:c r="E27" s="29" t="str">
        <x:v>PXN 莱仕达</x:v>
      </x:c>
      <x:c r="F27" s="30" t="str"/>
      <x:c r="G27" s="29" t="str">
        <x:v>游戏外设</x:v>
      </x:c>
      <x:c r="H27" s="29" t="n">
        <x:v>3</x:v>
      </x:c>
      <x:c r="I27" s="29" t="n">
        <x:v>5</x:v>
      </x:c>
      <x:c r="J27" s="29" t="n">
        <x:v>5</x:v>
      </x:c>
      <x:c r="K27" s="29" t="n">
        <x:v>2</x:v>
      </x:c>
      <x:c r="L27" s="31" t="n">
        <x:f>SUM(H27:K27)</x:f>
        <x:v>15</x:v>
      </x:c>
      <x:c r="M27" s="29" t="str">
        <x:f>IF(L27&gt;=16,"A-优先",IF(L27&gt;=12,"B-培育","C-观察"))</x:f>
        <x:v>B-培育</x:v>
      </x:c>
      <x:c r="N27" s="29" t="str">
        <x:v>游戏IP活动、电竞赛事、研发/发行团队落地、出海服务</x:v>
      </x:c>
      <x:c r="O27" s="29" t="str"/>
      <x:c r="P27" s="30" t="str"/>
      <x:c r="Q27" s="30" t="str"/>
      <x:c r="R27" s="30" t="str"/>
      <x:c r="S27" s="30" t="str"/>
      <x:c r="T27" s="30" t="str">
        <x:v>建议检索：PXN 莱仕达 官方 / 公众号 / 微博 / 小红书 / 视频号</x:v>
      </x:c>
      <x:c r="U27" s="30" t="str">
        <x:v>未联系</x:v>
      </x:c>
      <x:c r="V27" s="30" t="str"/>
      <x:c r="W27" s="29" t="str">
        <x:v>高</x:v>
      </x:c>
      <x:c r="X27" s="29" t="str">
        <x:v>https://www.vgover.com/zh-tw/news/226267</x:v>
      </x:c>
    </x:row>
    <x:row r="28">
      <x:c r="A28" s="29" t="n">
        <x:v>25</x:v>
      </x:c>
      <x:c r="B28" s="29" t="str">
        <x:v>N1</x:v>
      </x:c>
      <x:c r="C28" s="29" t="str">
        <x:v>游戏风云</x:v>
      </x:c>
      <x:c r="D28" s="29" t="str">
        <x:v>G606</x:v>
      </x:c>
      <x:c r="E28" s="29" t="str">
        <x:v>UXIYO</x:v>
      </x:c>
      <x:c r="F28" s="30" t="str"/>
      <x:c r="G28" s="29" t="str">
        <x:v>独立游戏</x:v>
      </x:c>
      <x:c r="H28" s="29" t="n">
        <x:v>2</x:v>
      </x:c>
      <x:c r="I28" s="29" t="n">
        <x:v>5</x:v>
      </x:c>
      <x:c r="J28" s="29" t="n">
        <x:v>5</x:v>
      </x:c>
      <x:c r="K28" s="29" t="n">
        <x:v>2</x:v>
      </x:c>
      <x:c r="L28" s="31" t="n">
        <x:f>SUM(H28:K28)</x:f>
        <x:v>14</x:v>
      </x:c>
      <x:c r="M28" s="29" t="str">
        <x:f>IF(L28&gt;=16,"A-优先",IF(L28&gt;=12,"B-培育","C-观察"))</x:f>
        <x:v>B-培育</x:v>
      </x:c>
      <x:c r="N28" s="29" t="str">
        <x:v>独立游戏孵化、版号/发行、出海服务、低成本办公与人才对接</x:v>
      </x:c>
      <x:c r="O28" s="29" t="str"/>
      <x:c r="P28" s="30" t="str"/>
      <x:c r="Q28" s="30" t="str"/>
      <x:c r="R28" s="30" t="str"/>
      <x:c r="S28" s="30" t="str"/>
      <x:c r="T28" s="30" t="str">
        <x:v>建议检索：UXIYO 官方 / 公众号 / 微博 / 小红书 / 视频号</x:v>
      </x:c>
      <x:c r="U28" s="30" t="str">
        <x:v>未联系</x:v>
      </x:c>
      <x:c r="V28" s="30" t="str"/>
      <x:c r="W28" s="29" t="str">
        <x:v>高</x:v>
      </x:c>
      <x:c r="X28" s="29" t="str">
        <x:v>https://www.vgover.com/zh-tw/news/226267</x:v>
      </x:c>
    </x:row>
    <x:row r="29">
      <x:c r="A29" s="29" t="n">
        <x:v>26</x:v>
      </x:c>
      <x:c r="B29" s="29" t="str">
        <x:v>N1</x:v>
      </x:c>
      <x:c r="C29" s="29" t="str">
        <x:v>游戏风云</x:v>
      </x:c>
      <x:c r="D29" s="29" t="str">
        <x:v>G607</x:v>
      </x:c>
      <x:c r="E29" s="29" t="str">
        <x:v>财之兔</x:v>
      </x:c>
      <x:c r="F29" s="30" t="str"/>
      <x:c r="G29" s="29" t="str">
        <x:v>游戏/内容</x:v>
      </x:c>
      <x:c r="H29" s="29" t="n">
        <x:v>3</x:v>
      </x:c>
      <x:c r="I29" s="29" t="n">
        <x:v>5</x:v>
      </x:c>
      <x:c r="J29" s="29" t="n">
        <x:v>5</x:v>
      </x:c>
      <x:c r="K29" s="29" t="n">
        <x:v>2</x:v>
      </x:c>
      <x:c r="L29" s="31" t="n">
        <x:f>SUM(H29:K29)</x:f>
        <x:v>15</x:v>
      </x:c>
      <x:c r="M29" s="29" t="str">
        <x:f>IF(L29&gt;=16,"A-优先",IF(L29&gt;=12,"B-培育","C-观察"))</x:f>
        <x:v>B-培育</x:v>
      </x:c>
      <x:c r="N29" s="29" t="str">
        <x:v>游戏IP活动、电竞赛事、研发/发行团队落地、出海服务</x:v>
      </x:c>
      <x:c r="O29" s="29" t="str"/>
      <x:c r="P29" s="30" t="str"/>
      <x:c r="Q29" s="30" t="str"/>
      <x:c r="R29" s="30" t="str"/>
      <x:c r="S29" s="30" t="str"/>
      <x:c r="T29" s="30" t="str">
        <x:v>建议检索：财之兔 官方 / 公众号 / 微博 / 小红书 / 视频号</x:v>
      </x:c>
      <x:c r="U29" s="30" t="str">
        <x:v>未联系</x:v>
      </x:c>
      <x:c r="V29" s="30" t="str"/>
      <x:c r="W29" s="29" t="str">
        <x:v>高</x:v>
      </x:c>
      <x:c r="X29" s="29" t="str">
        <x:v>https://www.vgover.com/zh-tw/news/226267</x:v>
      </x:c>
    </x:row>
    <x:row r="30">
      <x:c r="A30" s="29" t="n">
        <x:v>27</x:v>
      </x:c>
      <x:c r="B30" s="29" t="str">
        <x:v>N1</x:v>
      </x:c>
      <x:c r="C30" s="29" t="str">
        <x:v>游戏风云</x:v>
      </x:c>
      <x:c r="D30" s="29" t="str">
        <x:v>G801</x:v>
      </x:c>
      <x:c r="E30" s="29" t="str">
        <x:v>AMAZING JOE</x:v>
      </x:c>
      <x:c r="F30" s="30" t="str"/>
      <x:c r="G30" s="29" t="str">
        <x:v>独立游戏</x:v>
      </x:c>
      <x:c r="H30" s="29" t="n">
        <x:v>2</x:v>
      </x:c>
      <x:c r="I30" s="29" t="n">
        <x:v>5</x:v>
      </x:c>
      <x:c r="J30" s="29" t="n">
        <x:v>5</x:v>
      </x:c>
      <x:c r="K30" s="29" t="n">
        <x:v>2</x:v>
      </x:c>
      <x:c r="L30" s="31" t="n">
        <x:f>SUM(H30:K30)</x:f>
        <x:v>14</x:v>
      </x:c>
      <x:c r="M30" s="29" t="str">
        <x:f>IF(L30&gt;=16,"A-优先",IF(L30&gt;=12,"B-培育","C-观察"))</x:f>
        <x:v>B-培育</x:v>
      </x:c>
      <x:c r="N30" s="29" t="str">
        <x:v>独立游戏孵化、版号/发行、出海服务、低成本办公与人才对接</x:v>
      </x:c>
      <x:c r="O30" s="29" t="str"/>
      <x:c r="P30" s="30" t="str"/>
      <x:c r="Q30" s="30" t="str"/>
      <x:c r="R30" s="30" t="str"/>
      <x:c r="S30" s="30" t="str"/>
      <x:c r="T30" s="30" t="str">
        <x:v>建议检索：AMAZING JOE 官方 / 公众号 / 微博 / 小红书 / 视频号</x:v>
      </x:c>
      <x:c r="U30" s="30" t="str">
        <x:v>未联系</x:v>
      </x:c>
      <x:c r="V30" s="30" t="str"/>
      <x:c r="W30" s="29" t="str">
        <x:v>高</x:v>
      </x:c>
      <x:c r="X30" s="29" t="str">
        <x:v>https://www.vgover.com/zh-tw/news/226267</x:v>
      </x:c>
    </x:row>
    <x:row r="31">
      <x:c r="A31" s="29" t="n">
        <x:v>28</x:v>
      </x:c>
      <x:c r="B31" s="29" t="str">
        <x:v>N1</x:v>
      </x:c>
      <x:c r="C31" s="29" t="str">
        <x:v>游戏风云</x:v>
      </x:c>
      <x:c r="D31" s="29" t="str">
        <x:v>G802</x:v>
      </x:c>
      <x:c r="E31" s="29" t="str">
        <x:v>零下联盟</x:v>
      </x:c>
      <x:c r="F31" s="30" t="str"/>
      <x:c r="G31" s="29" t="str">
        <x:v>游戏/内容</x:v>
      </x:c>
      <x:c r="H31" s="29" t="n">
        <x:v>3</x:v>
      </x:c>
      <x:c r="I31" s="29" t="n">
        <x:v>5</x:v>
      </x:c>
      <x:c r="J31" s="29" t="n">
        <x:v>5</x:v>
      </x:c>
      <x:c r="K31" s="29" t="n">
        <x:v>2</x:v>
      </x:c>
      <x:c r="L31" s="31" t="n">
        <x:f>SUM(H31:K31)</x:f>
        <x:v>15</x:v>
      </x:c>
      <x:c r="M31" s="29" t="str">
        <x:f>IF(L31&gt;=16,"A-优先",IF(L31&gt;=12,"B-培育","C-观察"))</x:f>
        <x:v>B-培育</x:v>
      </x:c>
      <x:c r="N31" s="29" t="str">
        <x:v>游戏IP活动、电竞赛事、研发/发行团队落地、出海服务</x:v>
      </x:c>
      <x:c r="O31" s="29" t="str"/>
      <x:c r="P31" s="30" t="str"/>
      <x:c r="Q31" s="30" t="str"/>
      <x:c r="R31" s="30" t="str"/>
      <x:c r="S31" s="30" t="str"/>
      <x:c r="T31" s="30" t="str">
        <x:v>建议检索：零下联盟 官方 / 公众号 / 微博 / 小红书 / 视频号</x:v>
      </x:c>
      <x:c r="U31" s="30" t="str">
        <x:v>未联系</x:v>
      </x:c>
      <x:c r="V31" s="30" t="str"/>
      <x:c r="W31" s="29" t="str">
        <x:v>高</x:v>
      </x:c>
      <x:c r="X31" s="29" t="str">
        <x:v>https://www.vgover.com/zh-tw/news/226267</x:v>
      </x:c>
    </x:row>
    <x:row r="32">
      <x:c r="A32" s="29" t="n">
        <x:v>29</x:v>
      </x:c>
      <x:c r="B32" s="29" t="str">
        <x:v>N1</x:v>
      </x:c>
      <x:c r="C32" s="29" t="str">
        <x:v>游戏风云</x:v>
      </x:c>
      <x:c r="D32" s="29" t="str">
        <x:v>G188</x:v>
      </x:c>
      <x:c r="E32" s="29" t="str">
        <x:v>星辰铸造</x:v>
      </x:c>
      <x:c r="F32" s="30" t="str"/>
      <x:c r="G32" s="29" t="str">
        <x:v>独立游戏</x:v>
      </x:c>
      <x:c r="H32" s="29" t="n">
        <x:v>2</x:v>
      </x:c>
      <x:c r="I32" s="29" t="n">
        <x:v>5</x:v>
      </x:c>
      <x:c r="J32" s="29" t="n">
        <x:v>5</x:v>
      </x:c>
      <x:c r="K32" s="29" t="n">
        <x:v>2</x:v>
      </x:c>
      <x:c r="L32" s="31" t="n">
        <x:f>SUM(H32:K32)</x:f>
        <x:v>14</x:v>
      </x:c>
      <x:c r="M32" s="29" t="str">
        <x:f>IF(L32&gt;=16,"A-优先",IF(L32&gt;=12,"B-培育","C-观察"))</x:f>
        <x:v>B-培育</x:v>
      </x:c>
      <x:c r="N32" s="29" t="str">
        <x:v>独立游戏孵化、版号/发行、出海服务、低成本办公与人才对接</x:v>
      </x:c>
      <x:c r="O32" s="29" t="str"/>
      <x:c r="P32" s="30" t="str"/>
      <x:c r="Q32" s="30" t="str"/>
      <x:c r="R32" s="30" t="str"/>
      <x:c r="S32" s="30" t="str"/>
      <x:c r="T32" s="30" t="str">
        <x:v>建议检索：星辰铸造 官方 / 公众号 / 微博 / 小红书 / 视频号</x:v>
      </x:c>
      <x:c r="U32" s="30" t="str">
        <x:v>未联系</x:v>
      </x:c>
      <x:c r="V32" s="30" t="str"/>
      <x:c r="W32" s="29" t="str">
        <x:v>高</x:v>
      </x:c>
      <x:c r="X32" s="29" t="str">
        <x:v>https://www.vgover.com/zh-tw/news/226267</x:v>
      </x:c>
    </x:row>
    <x:row r="33">
      <x:c r="A33" s="29" t="n">
        <x:v>30</x:v>
      </x:c>
      <x:c r="B33" s="29" t="str">
        <x:v>N1</x:v>
      </x:c>
      <x:c r="C33" s="29" t="str">
        <x:v>游戏风云</x:v>
      </x:c>
      <x:c r="D33" s="29" t="str">
        <x:v>G191</x:v>
      </x:c>
      <x:c r="E33" s="29" t="str">
        <x:v>字符无限</x:v>
      </x:c>
      <x:c r="F33" s="30" t="str"/>
      <x:c r="G33" s="29" t="str">
        <x:v>独立游戏</x:v>
      </x:c>
      <x:c r="H33" s="29" t="n">
        <x:v>2</x:v>
      </x:c>
      <x:c r="I33" s="29" t="n">
        <x:v>5</x:v>
      </x:c>
      <x:c r="J33" s="29" t="n">
        <x:v>5</x:v>
      </x:c>
      <x:c r="K33" s="29" t="n">
        <x:v>2</x:v>
      </x:c>
      <x:c r="L33" s="31" t="n">
        <x:f>SUM(H33:K33)</x:f>
        <x:v>14</x:v>
      </x:c>
      <x:c r="M33" s="29" t="str">
        <x:f>IF(L33&gt;=16,"A-优先",IF(L33&gt;=12,"B-培育","C-观察"))</x:f>
        <x:v>B-培育</x:v>
      </x:c>
      <x:c r="N33" s="29" t="str">
        <x:v>独立游戏孵化、版号/发行、出海服务、低成本办公与人才对接</x:v>
      </x:c>
      <x:c r="O33" s="29" t="str"/>
      <x:c r="P33" s="30" t="str"/>
      <x:c r="Q33" s="30" t="str"/>
      <x:c r="R33" s="30" t="str"/>
      <x:c r="S33" s="30" t="str"/>
      <x:c r="T33" s="30" t="str">
        <x:v>建议检索：字符无限 官方 / 公众号 / 微博 / 小红书 / 视频号</x:v>
      </x:c>
      <x:c r="U33" s="30" t="str">
        <x:v>未联系</x:v>
      </x:c>
      <x:c r="V33" s="30" t="str"/>
      <x:c r="W33" s="29" t="str">
        <x:v>高</x:v>
      </x:c>
      <x:c r="X33" s="29" t="str">
        <x:v>https://www.vgover.com/zh-tw/news/226267</x:v>
      </x:c>
    </x:row>
    <x:row r="34">
      <x:c r="A34" s="29" t="n">
        <x:v>31</x:v>
      </x:c>
      <x:c r="B34" s="29" t="str">
        <x:v>N1</x:v>
      </x:c>
      <x:c r="C34" s="29" t="str">
        <x:v>游戏风云</x:v>
      </x:c>
      <x:c r="D34" s="29" t="str">
        <x:v>G193</x:v>
      </x:c>
      <x:c r="E34" s="29" t="str">
        <x:v>雨港互动</x:v>
      </x:c>
      <x:c r="F34" s="30" t="str"/>
      <x:c r="G34" s="29" t="str">
        <x:v>独立游戏</x:v>
      </x:c>
      <x:c r="H34" s="29" t="n">
        <x:v>2</x:v>
      </x:c>
      <x:c r="I34" s="29" t="n">
        <x:v>5</x:v>
      </x:c>
      <x:c r="J34" s="29" t="n">
        <x:v>5</x:v>
      </x:c>
      <x:c r="K34" s="29" t="n">
        <x:v>2</x:v>
      </x:c>
      <x:c r="L34" s="31" t="n">
        <x:f>SUM(H34:K34)</x:f>
        <x:v>14</x:v>
      </x:c>
      <x:c r="M34" s="29" t="str">
        <x:f>IF(L34&gt;=16,"A-优先",IF(L34&gt;=12,"B-培育","C-观察"))</x:f>
        <x:v>B-培育</x:v>
      </x:c>
      <x:c r="N34" s="29" t="str">
        <x:v>独立游戏孵化、版号/发行、出海服务、低成本办公与人才对接</x:v>
      </x:c>
      <x:c r="O34" s="29" t="str"/>
      <x:c r="P34" s="30" t="str"/>
      <x:c r="Q34" s="30" t="str"/>
      <x:c r="R34" s="30" t="str"/>
      <x:c r="S34" s="30" t="str"/>
      <x:c r="T34" s="30" t="str">
        <x:v>建议检索：雨港互动 官方 / 公众号 / 微博 / 小红书 / 视频号</x:v>
      </x:c>
      <x:c r="U34" s="30" t="str">
        <x:v>未联系</x:v>
      </x:c>
      <x:c r="V34" s="30" t="str"/>
      <x:c r="W34" s="29" t="str">
        <x:v>高</x:v>
      </x:c>
      <x:c r="X34" s="29" t="str">
        <x:v>https://www.vgover.com/zh-tw/news/226267</x:v>
      </x:c>
    </x:row>
    <x:row r="35">
      <x:c r="A35" s="29" t="n">
        <x:v>32</x:v>
      </x:c>
      <x:c r="B35" s="29" t="str">
        <x:v>N1</x:v>
      </x:c>
      <x:c r="C35" s="29" t="str">
        <x:v>游戏风云</x:v>
      </x:c>
      <x:c r="D35" s="29" t="str">
        <x:v>G195</x:v>
      </x:c>
      <x:c r="E35" s="29" t="str">
        <x:v>来路门</x:v>
      </x:c>
      <x:c r="F35" s="30" t="str"/>
      <x:c r="G35" s="29" t="str">
        <x:v>独立游戏</x:v>
      </x:c>
      <x:c r="H35" s="29" t="n">
        <x:v>2</x:v>
      </x:c>
      <x:c r="I35" s="29" t="n">
        <x:v>5</x:v>
      </x:c>
      <x:c r="J35" s="29" t="n">
        <x:v>5</x:v>
      </x:c>
      <x:c r="K35" s="29" t="n">
        <x:v>2</x:v>
      </x:c>
      <x:c r="L35" s="31" t="n">
        <x:f>SUM(H35:K35)</x:f>
        <x:v>14</x:v>
      </x:c>
      <x:c r="M35" s="29" t="str">
        <x:f>IF(L35&gt;=16,"A-优先",IF(L35&gt;=12,"B-培育","C-观察"))</x:f>
        <x:v>B-培育</x:v>
      </x:c>
      <x:c r="N35" s="29" t="str">
        <x:v>独立游戏孵化、版号/发行、出海服务、低成本办公与人才对接</x:v>
      </x:c>
      <x:c r="O35" s="29" t="str">
        <x:v>展位图小字识别，名称待复核</x:v>
      </x:c>
      <x:c r="P35" s="30" t="str"/>
      <x:c r="Q35" s="30" t="str"/>
      <x:c r="R35" s="30" t="str"/>
      <x:c r="S35" s="30" t="str"/>
      <x:c r="T35" s="30" t="str">
        <x:v>建议检索：来路门 官方 / 公众号 / 微博 / 小红书 / 视频号</x:v>
      </x:c>
      <x:c r="U35" s="30" t="str">
        <x:v>未联系</x:v>
      </x:c>
      <x:c r="V35" s="30" t="str"/>
      <x:c r="W35" s="29" t="str">
        <x:v>中</x:v>
      </x:c>
      <x:c r="X35" s="29" t="str">
        <x:v>https://www.vgover.com/zh-tw/news/226267</x:v>
      </x:c>
    </x:row>
    <x:row r="36">
      <x:c r="A36" s="29" t="n">
        <x:v>33</x:v>
      </x:c>
      <x:c r="B36" s="29" t="str">
        <x:v>N1</x:v>
      </x:c>
      <x:c r="C36" s="29" t="str">
        <x:v>游戏风云</x:v>
      </x:c>
      <x:c r="D36" s="29" t="str">
        <x:v>G196</x:v>
      </x:c>
      <x:c r="E36" s="29" t="str">
        <x:v>ARCADE CREW</x:v>
      </x:c>
      <x:c r="F36" s="30" t="str"/>
      <x:c r="G36" s="29" t="str">
        <x:v>独立游戏发行</x:v>
      </x:c>
      <x:c r="H36" s="29" t="n">
        <x:v>2</x:v>
      </x:c>
      <x:c r="I36" s="29" t="n">
        <x:v>5</x:v>
      </x:c>
      <x:c r="J36" s="29" t="n">
        <x:v>5</x:v>
      </x:c>
      <x:c r="K36" s="29" t="n">
        <x:v>2</x:v>
      </x:c>
      <x:c r="L36" s="31" t="n">
        <x:f>SUM(H36:K36)</x:f>
        <x:v>14</x:v>
      </x:c>
      <x:c r="M36" s="29" t="str">
        <x:f>IF(L36&gt;=16,"A-优先",IF(L36&gt;=12,"B-培育","C-观察"))</x:f>
        <x:v>B-培育</x:v>
      </x:c>
      <x:c r="N36" s="29" t="str">
        <x:v>独立游戏孵化、版号/发行、出海服务、低成本办公与人才对接</x:v>
      </x:c>
      <x:c r="O36" s="29" t="str"/>
      <x:c r="P36" s="30" t="str"/>
      <x:c r="Q36" s="30" t="str"/>
      <x:c r="R36" s="30" t="str"/>
      <x:c r="S36" s="30" t="str"/>
      <x:c r="T36" s="30" t="str">
        <x:v>建议检索：ARCADE CREW 官方 / 公众号 / 微博 / 小红书 / 视频号</x:v>
      </x:c>
      <x:c r="U36" s="30" t="str">
        <x:v>未联系</x:v>
      </x:c>
      <x:c r="V36" s="30" t="str"/>
      <x:c r="W36" s="29" t="str">
        <x:v>高</x:v>
      </x:c>
      <x:c r="X36" s="29" t="str">
        <x:v>https://www.vgover.com/zh-tw/news/226267</x:v>
      </x:c>
    </x:row>
    <x:row r="37">
      <x:c r="A37" s="29" t="n">
        <x:v>34</x:v>
      </x:c>
      <x:c r="B37" s="29" t="str">
        <x:v>N1</x:v>
      </x:c>
      <x:c r="C37" s="29" t="str">
        <x:v>游戏风云</x:v>
      </x:c>
      <x:c r="D37" s="29" t="str">
        <x:v>G197</x:v>
      </x:c>
      <x:c r="E37" s="29" t="str">
        <x:v>多少兄弟？</x:v>
      </x:c>
      <x:c r="F37" s="30" t="str"/>
      <x:c r="G37" s="29" t="str">
        <x:v>独立游戏</x:v>
      </x:c>
      <x:c r="H37" s="29" t="n">
        <x:v>2</x:v>
      </x:c>
      <x:c r="I37" s="29" t="n">
        <x:v>5</x:v>
      </x:c>
      <x:c r="J37" s="29" t="n">
        <x:v>5</x:v>
      </x:c>
      <x:c r="K37" s="29" t="n">
        <x:v>2</x:v>
      </x:c>
      <x:c r="L37" s="31" t="n">
        <x:f>SUM(H37:K37)</x:f>
        <x:v>14</x:v>
      </x:c>
      <x:c r="M37" s="29" t="str">
        <x:f>IF(L37&gt;=16,"A-优先",IF(L37&gt;=12,"B-培育","C-观察"))</x:f>
        <x:v>B-培育</x:v>
      </x:c>
      <x:c r="N37" s="29" t="str">
        <x:v>独立游戏孵化、版号/发行、出海服务、低成本办公与人才对接</x:v>
      </x:c>
      <x:c r="O37" s="29" t="str">
        <x:v>名称按展位图录入</x:v>
      </x:c>
      <x:c r="P37" s="30" t="str"/>
      <x:c r="Q37" s="30" t="str"/>
      <x:c r="R37" s="30" t="str"/>
      <x:c r="S37" s="30" t="str"/>
      <x:c r="T37" s="30" t="str">
        <x:v>建议检索：多少兄弟？ 官方 / 公众号 / 微博 / 小红书 / 视频号</x:v>
      </x:c>
      <x:c r="U37" s="30" t="str">
        <x:v>未联系</x:v>
      </x:c>
      <x:c r="V37" s="30" t="str"/>
      <x:c r="W37" s="29" t="str">
        <x:v>中</x:v>
      </x:c>
      <x:c r="X37" s="29" t="str">
        <x:v>https://www.vgover.com/zh-tw/news/226267</x:v>
      </x:c>
    </x:row>
    <x:row r="38">
      <x:c r="A38" s="29" t="n">
        <x:v>35</x:v>
      </x:c>
      <x:c r="B38" s="29" t="str">
        <x:v>N1</x:v>
      </x:c>
      <x:c r="C38" s="29" t="str">
        <x:v>游戏风云</x:v>
      </x:c>
      <x:c r="D38" s="29" t="str">
        <x:v>G198</x:v>
      </x:c>
      <x:c r="E38" s="29" t="str">
        <x:v>GAME SMITHING</x:v>
      </x:c>
      <x:c r="F38" s="30" t="str"/>
      <x:c r="G38" s="29" t="str">
        <x:v>独立游戏</x:v>
      </x:c>
      <x:c r="H38" s="29" t="n">
        <x:v>2</x:v>
      </x:c>
      <x:c r="I38" s="29" t="n">
        <x:v>5</x:v>
      </x:c>
      <x:c r="J38" s="29" t="n">
        <x:v>5</x:v>
      </x:c>
      <x:c r="K38" s="29" t="n">
        <x:v>2</x:v>
      </x:c>
      <x:c r="L38" s="31" t="n">
        <x:f>SUM(H38:K38)</x:f>
        <x:v>14</x:v>
      </x:c>
      <x:c r="M38" s="29" t="str">
        <x:f>IF(L38&gt;=16,"A-优先",IF(L38&gt;=12,"B-培育","C-观察"))</x:f>
        <x:v>B-培育</x:v>
      </x:c>
      <x:c r="N38" s="29" t="str">
        <x:v>独立游戏孵化、版号/发行、出海服务、低成本办公与人才对接</x:v>
      </x:c>
      <x:c r="O38" s="29" t="str"/>
      <x:c r="P38" s="30" t="str"/>
      <x:c r="Q38" s="30" t="str"/>
      <x:c r="R38" s="30" t="str"/>
      <x:c r="S38" s="30" t="str"/>
      <x:c r="T38" s="30" t="str">
        <x:v>建议检索：GAME SMITHING 官方 / 公众号 / 微博 / 小红书 / 视频号</x:v>
      </x:c>
      <x:c r="U38" s="30" t="str">
        <x:v>未联系</x:v>
      </x:c>
      <x:c r="V38" s="30" t="str"/>
      <x:c r="W38" s="29" t="str">
        <x:v>高</x:v>
      </x:c>
      <x:c r="X38" s="29" t="str">
        <x:v>https://www.vgover.com/zh-tw/news/226267</x:v>
      </x:c>
    </x:row>
    <x:row r="39">
      <x:c r="A39" s="29" t="n">
        <x:v>36</x:v>
      </x:c>
      <x:c r="B39" s="29" t="str">
        <x:v>N1</x:v>
      </x:c>
      <x:c r="C39" s="29" t="str">
        <x:v>游戏风云</x:v>
      </x:c>
      <x:c r="D39" s="29" t="str">
        <x:v>G199</x:v>
      </x:c>
      <x:c r="E39" s="29" t="str">
        <x:v>演我</x:v>
      </x:c>
      <x:c r="F39" s="30" t="str"/>
      <x:c r="G39" s="29" t="str">
        <x:v>独立游戏</x:v>
      </x:c>
      <x:c r="H39" s="29" t="n">
        <x:v>2</x:v>
      </x:c>
      <x:c r="I39" s="29" t="n">
        <x:v>5</x:v>
      </x:c>
      <x:c r="J39" s="29" t="n">
        <x:v>5</x:v>
      </x:c>
      <x:c r="K39" s="29" t="n">
        <x:v>2</x:v>
      </x:c>
      <x:c r="L39" s="31" t="n">
        <x:f>SUM(H39:K39)</x:f>
        <x:v>14</x:v>
      </x:c>
      <x:c r="M39" s="29" t="str">
        <x:f>IF(L39&gt;=16,"A-优先",IF(L39&gt;=12,"B-培育","C-观察"))</x:f>
        <x:v>B-培育</x:v>
      </x:c>
      <x:c r="N39" s="29" t="str">
        <x:v>独立游戏孵化、版号/发行、出海服务、低成本办公与人才对接</x:v>
      </x:c>
      <x:c r="O39" s="29" t="str"/>
      <x:c r="P39" s="30" t="str"/>
      <x:c r="Q39" s="30" t="str"/>
      <x:c r="R39" s="30" t="str"/>
      <x:c r="S39" s="30" t="str"/>
      <x:c r="T39" s="30" t="str">
        <x:v>建议检索：演我 官方 / 公众号 / 微博 / 小红书 / 视频号</x:v>
      </x:c>
      <x:c r="U39" s="30" t="str">
        <x:v>未联系</x:v>
      </x:c>
      <x:c r="V39" s="30" t="str"/>
      <x:c r="W39" s="29" t="str">
        <x:v>高</x:v>
      </x:c>
      <x:c r="X39" s="29" t="str">
        <x:v>https://www.vgover.com/zh-tw/news/226267</x:v>
      </x:c>
    </x:row>
    <x:row r="40">
      <x:c r="A40" s="29" t="n">
        <x:v>37</x:v>
      </x:c>
      <x:c r="B40" s="29" t="str">
        <x:v>N1</x:v>
      </x:c>
      <x:c r="C40" s="29" t="str">
        <x:v>游戏风云</x:v>
      </x:c>
      <x:c r="D40" s="29" t="str">
        <x:v>G391</x:v>
      </x:c>
      <x:c r="E40" s="29" t="str">
        <x:v>唱舞</x:v>
      </x:c>
      <x:c r="F40" s="30" t="str"/>
      <x:c r="G40" s="29" t="str">
        <x:v>游戏/音乐</x:v>
      </x:c>
      <x:c r="H40" s="29" t="n">
        <x:v>3</x:v>
      </x:c>
      <x:c r="I40" s="29" t="n">
        <x:v>5</x:v>
      </x:c>
      <x:c r="J40" s="29" t="n">
        <x:v>5</x:v>
      </x:c>
      <x:c r="K40" s="29" t="n">
        <x:v>2</x:v>
      </x:c>
      <x:c r="L40" s="31" t="n">
        <x:f>SUM(H40:K40)</x:f>
        <x:v>15</x:v>
      </x:c>
      <x:c r="M40" s="29" t="str">
        <x:f>IF(L40&gt;=16,"A-优先",IF(L40&gt;=12,"B-培育","C-观察"))</x:f>
        <x:v>B-培育</x:v>
      </x:c>
      <x:c r="N40" s="29" t="str">
        <x:v>游戏IP活动、电竞赛事、研发/发行团队落地、出海服务</x:v>
      </x:c>
      <x:c r="O40" s="29" t="str"/>
      <x:c r="P40" s="30" t="str"/>
      <x:c r="Q40" s="30" t="str"/>
      <x:c r="R40" s="30" t="str"/>
      <x:c r="S40" s="30" t="str"/>
      <x:c r="T40" s="30" t="str">
        <x:v>建议检索：唱舞 官方 / 公众号 / 微博 / 小红书 / 视频号</x:v>
      </x:c>
      <x:c r="U40" s="30" t="str">
        <x:v>未联系</x:v>
      </x:c>
      <x:c r="V40" s="30" t="str"/>
      <x:c r="W40" s="29" t="str">
        <x:v>高</x:v>
      </x:c>
      <x:c r="X40" s="29" t="str">
        <x:v>https://www.vgover.com/zh-tw/news/226267</x:v>
      </x:c>
    </x:row>
    <x:row r="41">
      <x:c r="A41" s="29" t="n">
        <x:v>38</x:v>
      </x:c>
      <x:c r="B41" s="29" t="str">
        <x:v>N1</x:v>
      </x:c>
      <x:c r="C41" s="29" t="str">
        <x:v>游戏风云</x:v>
      </x:c>
      <x:c r="D41" s="29" t="str">
        <x:v>G393</x:v>
      </x:c>
      <x:c r="E41" s="29" t="str">
        <x:v>HAUNTED PAWS</x:v>
      </x:c>
      <x:c r="F41" s="30" t="str"/>
      <x:c r="G41" s="29" t="str">
        <x:v>独立游戏</x:v>
      </x:c>
      <x:c r="H41" s="29" t="n">
        <x:v>2</x:v>
      </x:c>
      <x:c r="I41" s="29" t="n">
        <x:v>5</x:v>
      </x:c>
      <x:c r="J41" s="29" t="n">
        <x:v>5</x:v>
      </x:c>
      <x:c r="K41" s="29" t="n">
        <x:v>2</x:v>
      </x:c>
      <x:c r="L41" s="31" t="n">
        <x:f>SUM(H41:K41)</x:f>
        <x:v>14</x:v>
      </x:c>
      <x:c r="M41" s="29" t="str">
        <x:f>IF(L41&gt;=16,"A-优先",IF(L41&gt;=12,"B-培育","C-观察"))</x:f>
        <x:v>B-培育</x:v>
      </x:c>
      <x:c r="N41" s="29" t="str">
        <x:v>独立游戏孵化、版号/发行、出海服务、低成本办公与人才对接</x:v>
      </x:c>
      <x:c r="O41" s="29" t="str"/>
      <x:c r="P41" s="30" t="str"/>
      <x:c r="Q41" s="30" t="str"/>
      <x:c r="R41" s="30" t="str"/>
      <x:c r="S41" s="30" t="str"/>
      <x:c r="T41" s="30" t="str">
        <x:v>建议检索：HAUNTED PAWS 官方 / 公众号 / 微博 / 小红书 / 视频号</x:v>
      </x:c>
      <x:c r="U41" s="30" t="str">
        <x:v>未联系</x:v>
      </x:c>
      <x:c r="V41" s="30" t="str"/>
      <x:c r="W41" s="29" t="str">
        <x:v>高</x:v>
      </x:c>
      <x:c r="X41" s="29" t="str">
        <x:v>https://www.vgover.com/zh-tw/news/226267</x:v>
      </x:c>
    </x:row>
    <x:row r="42">
      <x:c r="A42" s="29" t="n">
        <x:v>39</x:v>
      </x:c>
      <x:c r="B42" s="29" t="str">
        <x:v>N1</x:v>
      </x:c>
      <x:c r="C42" s="29" t="str">
        <x:v>游戏风云</x:v>
      </x:c>
      <x:c r="D42" s="29" t="str">
        <x:v>G395</x:v>
      </x:c>
      <x:c r="E42" s="29" t="str">
        <x:v>雷神加速器</x:v>
      </x:c>
      <x:c r="F42" s="30" t="str"/>
      <x:c r="G42" s="29" t="str">
        <x:v>网络服务</x:v>
      </x:c>
      <x:c r="H42" s="29" t="n">
        <x:v>3</x:v>
      </x:c>
      <x:c r="I42" s="29" t="n">
        <x:v>5</x:v>
      </x:c>
      <x:c r="J42" s="29" t="n">
        <x:v>3</x:v>
      </x:c>
      <x:c r="K42" s="29" t="n">
        <x:v>2</x:v>
      </x:c>
      <x:c r="L42" s="31" t="n">
        <x:f>SUM(H42:K42)</x:f>
        <x:v>13</x:v>
      </x:c>
      <x:c r="M42" s="29" t="str">
        <x:f>IF(L42&gt;=16,"A-优先",IF(L42&gt;=12,"B-培育","C-观察"))</x:f>
        <x:v>B-培育</x:v>
      </x:c>
      <x:c r="N42" s="29" t="str">
        <x:v>游戏IP活动、电竞赛事、研发/发行团队落地、出海服务</x:v>
      </x:c>
      <x:c r="O42" s="29" t="str"/>
      <x:c r="P42" s="30" t="str"/>
      <x:c r="Q42" s="30" t="str"/>
      <x:c r="R42" s="30" t="str"/>
      <x:c r="S42" s="30" t="str"/>
      <x:c r="T42" s="30" t="str">
        <x:v>建议检索：雷神加速器 官方 / 公众号 / 微博 / 小红书 / 视频号</x:v>
      </x:c>
      <x:c r="U42" s="30" t="str">
        <x:v>未联系</x:v>
      </x:c>
      <x:c r="V42" s="30" t="str"/>
      <x:c r="W42" s="29" t="str">
        <x:v>高</x:v>
      </x:c>
      <x:c r="X42" s="29" t="str">
        <x:v>https://www.vgover.com/zh-tw/news/226267</x:v>
      </x:c>
    </x:row>
    <x:row r="43">
      <x:c r="A43" s="29" t="n">
        <x:v>40</x:v>
      </x:c>
      <x:c r="B43" s="29" t="str">
        <x:v>N1</x:v>
      </x:c>
      <x:c r="C43" s="29" t="str">
        <x:v>游戏风云</x:v>
      </x:c>
      <x:c r="D43" s="29" t="str">
        <x:v>G396</x:v>
      </x:c>
      <x:c r="E43" s="29" t="str">
        <x:v>科技诺克岛龙战纪</x:v>
      </x:c>
      <x:c r="F43" s="30" t="str"/>
      <x:c r="G43" s="29" t="str">
        <x:v>独立游戏</x:v>
      </x:c>
      <x:c r="H43" s="29" t="n">
        <x:v>2</x:v>
      </x:c>
      <x:c r="I43" s="29" t="n">
        <x:v>5</x:v>
      </x:c>
      <x:c r="J43" s="29" t="n">
        <x:v>5</x:v>
      </x:c>
      <x:c r="K43" s="29" t="n">
        <x:v>2</x:v>
      </x:c>
      <x:c r="L43" s="31" t="n">
        <x:f>SUM(H43:K43)</x:f>
        <x:v>14</x:v>
      </x:c>
      <x:c r="M43" s="29" t="str">
        <x:f>IF(L43&gt;=16,"A-优先",IF(L43&gt;=12,"B-培育","C-观察"))</x:f>
        <x:v>B-培育</x:v>
      </x:c>
      <x:c r="N43" s="29" t="str">
        <x:v>独立游戏孵化、版号/发行、出海服务、低成本办公与人才对接</x:v>
      </x:c>
      <x:c r="O43" s="29" t="str">
        <x:v>展位图小字识别，待复核</x:v>
      </x:c>
      <x:c r="P43" s="30" t="str"/>
      <x:c r="Q43" s="30" t="str"/>
      <x:c r="R43" s="30" t="str"/>
      <x:c r="S43" s="30" t="str"/>
      <x:c r="T43" s="30" t="str">
        <x:v>建议检索：科技诺克岛龙战纪 官方 / 公众号 / 微博 / 小红书 / 视频号</x:v>
      </x:c>
      <x:c r="U43" s="30" t="str">
        <x:v>未联系</x:v>
      </x:c>
      <x:c r="V43" s="30" t="str"/>
      <x:c r="W43" s="29" t="str">
        <x:v>中</x:v>
      </x:c>
      <x:c r="X43" s="29" t="str">
        <x:v>https://www.vgover.com/zh-tw/news/226267</x:v>
      </x:c>
    </x:row>
    <x:row r="44">
      <x:c r="A44" s="29" t="n">
        <x:v>41</x:v>
      </x:c>
      <x:c r="B44" s="29" t="str">
        <x:v>N1</x:v>
      </x:c>
      <x:c r="C44" s="29" t="str">
        <x:v>游戏风云</x:v>
      </x:c>
      <x:c r="D44" s="29" t="str">
        <x:v>G397</x:v>
      </x:c>
      <x:c r="E44" s="29" t="str">
        <x:v>WTF</x:v>
      </x:c>
      <x:c r="F44" s="30" t="str"/>
      <x:c r="G44" s="29" t="str">
        <x:v>独立游戏</x:v>
      </x:c>
      <x:c r="H44" s="29" t="n">
        <x:v>2</x:v>
      </x:c>
      <x:c r="I44" s="29" t="n">
        <x:v>5</x:v>
      </x:c>
      <x:c r="J44" s="29" t="n">
        <x:v>5</x:v>
      </x:c>
      <x:c r="K44" s="29" t="n">
        <x:v>2</x:v>
      </x:c>
      <x:c r="L44" s="31" t="n">
        <x:f>SUM(H44:K44)</x:f>
        <x:v>14</x:v>
      </x:c>
      <x:c r="M44" s="29" t="str">
        <x:f>IF(L44&gt;=16,"A-优先",IF(L44&gt;=12,"B-培育","C-观察"))</x:f>
        <x:v>B-培育</x:v>
      </x:c>
      <x:c r="N44" s="29" t="str">
        <x:v>独立游戏孵化、版号/发行、出海服务、低成本办公与人才对接</x:v>
      </x:c>
      <x:c r="O44" s="29" t="str"/>
      <x:c r="P44" s="30" t="str"/>
      <x:c r="Q44" s="30" t="str"/>
      <x:c r="R44" s="30" t="str"/>
      <x:c r="S44" s="30" t="str"/>
      <x:c r="T44" s="30" t="str">
        <x:v>建议检索：WTF 官方 / 公众号 / 微博 / 小红书 / 视频号</x:v>
      </x:c>
      <x:c r="U44" s="30" t="str">
        <x:v>未联系</x:v>
      </x:c>
      <x:c r="V44" s="30" t="str"/>
      <x:c r="W44" s="29" t="str">
        <x:v>高</x:v>
      </x:c>
      <x:c r="X44" s="29" t="str">
        <x:v>https://www.vgover.com/zh-tw/news/226267</x:v>
      </x:c>
    </x:row>
    <x:row r="45">
      <x:c r="A45" s="29" t="n">
        <x:v>42</x:v>
      </x:c>
      <x:c r="B45" s="29" t="str">
        <x:v>N1</x:v>
      </x:c>
      <x:c r="C45" s="29" t="str">
        <x:v>游戏风云</x:v>
      </x:c>
      <x:c r="D45" s="29" t="str">
        <x:v>G398</x:v>
      </x:c>
      <x:c r="E45" s="29" t="str">
        <x:v>MESHY GAME STUDIO</x:v>
      </x:c>
      <x:c r="F45" s="30" t="str"/>
      <x:c r="G45" s="29" t="str">
        <x:v>独立游戏</x:v>
      </x:c>
      <x:c r="H45" s="29" t="n">
        <x:v>2</x:v>
      </x:c>
      <x:c r="I45" s="29" t="n">
        <x:v>5</x:v>
      </x:c>
      <x:c r="J45" s="29" t="n">
        <x:v>5</x:v>
      </x:c>
      <x:c r="K45" s="29" t="n">
        <x:v>2</x:v>
      </x:c>
      <x:c r="L45" s="31" t="n">
        <x:f>SUM(H45:K45)</x:f>
        <x:v>14</x:v>
      </x:c>
      <x:c r="M45" s="29" t="str">
        <x:f>IF(L45&gt;=16,"A-优先",IF(L45&gt;=12,"B-培育","C-观察"))</x:f>
        <x:v>B-培育</x:v>
      </x:c>
      <x:c r="N45" s="29" t="str">
        <x:v>独立游戏孵化、版号/发行、出海服务、低成本办公与人才对接</x:v>
      </x:c>
      <x:c r="O45" s="29" t="str"/>
      <x:c r="P45" s="30" t="str"/>
      <x:c r="Q45" s="30" t="str"/>
      <x:c r="R45" s="30" t="str"/>
      <x:c r="S45" s="30" t="str"/>
      <x:c r="T45" s="30" t="str">
        <x:v>建议检索：MESHY GAME STUDIO 官方 / 公众号 / 微博 / 小红书 / 视频号</x:v>
      </x:c>
      <x:c r="U45" s="30" t="str">
        <x:v>未联系</x:v>
      </x:c>
      <x:c r="V45" s="30" t="str"/>
      <x:c r="W45" s="29" t="str">
        <x:v>高</x:v>
      </x:c>
      <x:c r="X45" s="29" t="str">
        <x:v>https://www.vgover.com/zh-tw/news/226267</x:v>
      </x:c>
    </x:row>
    <x:row r="46">
      <x:c r="A46" s="29" t="n">
        <x:v>43</x:v>
      </x:c>
      <x:c r="B46" s="29" t="str">
        <x:v>N1</x:v>
      </x:c>
      <x:c r="C46" s="29" t="str">
        <x:v>游戏风云</x:v>
      </x:c>
      <x:c r="D46" s="29" t="str">
        <x:v>G691</x:v>
      </x:c>
      <x:c r="E46" s="29" t="str">
        <x:v>KOOK语音</x:v>
      </x:c>
      <x:c r="F46" s="30" t="str"/>
      <x:c r="G46" s="29" t="str">
        <x:v>游戏社区/语音</x:v>
      </x:c>
      <x:c r="H46" s="29" t="n">
        <x:v>3</x:v>
      </x:c>
      <x:c r="I46" s="29" t="n">
        <x:v>5</x:v>
      </x:c>
      <x:c r="J46" s="29" t="n">
        <x:v>5</x:v>
      </x:c>
      <x:c r="K46" s="29" t="n">
        <x:v>2</x:v>
      </x:c>
      <x:c r="L46" s="31" t="n">
        <x:f>SUM(H46:K46)</x:f>
        <x:v>15</x:v>
      </x:c>
      <x:c r="M46" s="29" t="str">
        <x:f>IF(L46&gt;=16,"A-优先",IF(L46&gt;=12,"B-培育","C-观察"))</x:f>
        <x:v>B-培育</x:v>
      </x:c>
      <x:c r="N46" s="29" t="str">
        <x:v>游戏IP活动、电竞赛事、研发/发行团队落地、出海服务</x:v>
      </x:c>
      <x:c r="O46" s="29" t="str"/>
      <x:c r="P46" s="30" t="str"/>
      <x:c r="Q46" s="30" t="str"/>
      <x:c r="R46" s="30" t="str"/>
      <x:c r="S46" s="30" t="str"/>
      <x:c r="T46" s="30" t="str">
        <x:v>建议检索：KOOK语音 官方 / 公众号 / 微博 / 小红书 / 视频号</x:v>
      </x:c>
      <x:c r="U46" s="30" t="str">
        <x:v>未联系</x:v>
      </x:c>
      <x:c r="V46" s="30" t="str"/>
      <x:c r="W46" s="29" t="str">
        <x:v>高</x:v>
      </x:c>
      <x:c r="X46" s="29" t="str">
        <x:v>https://www.vgover.com/zh-tw/news/226267</x:v>
      </x:c>
    </x:row>
    <x:row r="47">
      <x:c r="A47" s="29" t="n">
        <x:v>44</x:v>
      </x:c>
      <x:c r="B47" s="29" t="str">
        <x:v>N1</x:v>
      </x:c>
      <x:c r="C47" s="29" t="str">
        <x:v>游戏风云</x:v>
      </x:c>
      <x:c r="D47" s="29" t="str">
        <x:v>G692</x:v>
      </x:c>
      <x:c r="E47" s="29" t="str">
        <x:v>HUIQIAOGAMES</x:v>
      </x:c>
      <x:c r="F47" s="30" t="str"/>
      <x:c r="G47" s="29" t="str">
        <x:v>独立游戏</x:v>
      </x:c>
      <x:c r="H47" s="29" t="n">
        <x:v>2</x:v>
      </x:c>
      <x:c r="I47" s="29" t="n">
        <x:v>5</x:v>
      </x:c>
      <x:c r="J47" s="29" t="n">
        <x:v>5</x:v>
      </x:c>
      <x:c r="K47" s="29" t="n">
        <x:v>2</x:v>
      </x:c>
      <x:c r="L47" s="31" t="n">
        <x:f>SUM(H47:K47)</x:f>
        <x:v>14</x:v>
      </x:c>
      <x:c r="M47" s="29" t="str">
        <x:f>IF(L47&gt;=16,"A-优先",IF(L47&gt;=12,"B-培育","C-观察"))</x:f>
        <x:v>B-培育</x:v>
      </x:c>
      <x:c r="N47" s="29" t="str">
        <x:v>独立游戏孵化、版号/发行、出海服务、低成本办公与人才对接</x:v>
      </x:c>
      <x:c r="O47" s="29" t="str"/>
      <x:c r="P47" s="30" t="str"/>
      <x:c r="Q47" s="30" t="str"/>
      <x:c r="R47" s="30" t="str"/>
      <x:c r="S47" s="30" t="str"/>
      <x:c r="T47" s="30" t="str">
        <x:v>建议检索：HUIQIAOGAMES 官方 / 公众号 / 微博 / 小红书 / 视频号</x:v>
      </x:c>
      <x:c r="U47" s="30" t="str">
        <x:v>未联系</x:v>
      </x:c>
      <x:c r="V47" s="30" t="str"/>
      <x:c r="W47" s="29" t="str">
        <x:v>高</x:v>
      </x:c>
      <x:c r="X47" s="29" t="str">
        <x:v>https://www.vgover.com/zh-tw/news/226267</x:v>
      </x:c>
    </x:row>
    <x:row r="48">
      <x:c r="A48" s="29" t="n">
        <x:v>45</x:v>
      </x:c>
      <x:c r="B48" s="29" t="str">
        <x:v>N1</x:v>
      </x:c>
      <x:c r="C48" s="29" t="str">
        <x:v>游戏风云</x:v>
      </x:c>
      <x:c r="D48" s="29" t="str">
        <x:v>G693</x:v>
      </x:c>
      <x:c r="E48" s="29" t="str">
        <x:v>Ludere 独游社</x:v>
      </x:c>
      <x:c r="F48" s="30" t="str"/>
      <x:c r="G48" s="29" t="str">
        <x:v>独立游戏社区</x:v>
      </x:c>
      <x:c r="H48" s="29" t="n">
        <x:v>2</x:v>
      </x:c>
      <x:c r="I48" s="29" t="n">
        <x:v>5</x:v>
      </x:c>
      <x:c r="J48" s="29" t="n">
        <x:v>5</x:v>
      </x:c>
      <x:c r="K48" s="29" t="n">
        <x:v>2</x:v>
      </x:c>
      <x:c r="L48" s="31" t="n">
        <x:f>SUM(H48:K48)</x:f>
        <x:v>14</x:v>
      </x:c>
      <x:c r="M48" s="29" t="str">
        <x:f>IF(L48&gt;=16,"A-优先",IF(L48&gt;=12,"B-培育","C-观察"))</x:f>
        <x:v>B-培育</x:v>
      </x:c>
      <x:c r="N48" s="29" t="str">
        <x:v>独立游戏孵化、版号/发行、出海服务、低成本办公与人才对接</x:v>
      </x:c>
      <x:c r="O48" s="29" t="str"/>
      <x:c r="P48" s="30" t="str"/>
      <x:c r="Q48" s="30" t="str"/>
      <x:c r="R48" s="30" t="str"/>
      <x:c r="S48" s="30" t="str"/>
      <x:c r="T48" s="30" t="str">
        <x:v>建议检索：Ludere 独游社 官方 / 公众号 / 微博 / 小红书 / 视频号</x:v>
      </x:c>
      <x:c r="U48" s="30" t="str">
        <x:v>未联系</x:v>
      </x:c>
      <x:c r="V48" s="30" t="str"/>
      <x:c r="W48" s="29" t="str">
        <x:v>高</x:v>
      </x:c>
      <x:c r="X48" s="29" t="str">
        <x:v>https://www.vgover.com/zh-tw/news/226267</x:v>
      </x:c>
    </x:row>
    <x:row r="49">
      <x:c r="A49" s="29" t="n">
        <x:v>46</x:v>
      </x:c>
      <x:c r="B49" s="29" t="str">
        <x:v>N1</x:v>
      </x:c>
      <x:c r="C49" s="29" t="str">
        <x:v>游戏风云</x:v>
      </x:c>
      <x:c r="D49" s="29" t="str">
        <x:v>G695</x:v>
      </x:c>
      <x:c r="E49" s="29" t="str">
        <x:v>呼然临境科技</x:v>
      </x:c>
      <x:c r="F49" s="30" t="str"/>
      <x:c r="G49" s="29" t="str">
        <x:v>XR/互动技术</x:v>
      </x:c>
      <x:c r="H49" s="29" t="n">
        <x:v>3</x:v>
      </x:c>
      <x:c r="I49" s="29" t="n">
        <x:v>5</x:v>
      </x:c>
      <x:c r="J49" s="29" t="n">
        <x:v>3</x:v>
      </x:c>
      <x:c r="K49" s="29" t="n">
        <x:v>2</x:v>
      </x:c>
      <x:c r="L49" s="31" t="n">
        <x:f>SUM(H49:K49)</x:f>
        <x:v>13</x:v>
      </x:c>
      <x:c r="M49" s="29" t="str">
        <x:f>IF(L49&gt;=16,"A-优先",IF(L49&gt;=12,"B-培育","C-观察"))</x:f>
        <x:v>B-培育</x:v>
      </x:c>
      <x:c r="N49" s="29" t="str">
        <x:v>游戏IP活动、电竞赛事、研发/发行团队落地、出海服务</x:v>
      </x:c>
      <x:c r="O49" s="29" t="str">
        <x:v>展位图小字识别，待复核</x:v>
      </x:c>
      <x:c r="P49" s="30" t="str"/>
      <x:c r="Q49" s="30" t="str"/>
      <x:c r="R49" s="30" t="str"/>
      <x:c r="S49" s="30" t="str"/>
      <x:c r="T49" s="30" t="str">
        <x:v>建议检索：呼然临境科技 官方 / 公众号 / 微博 / 小红书 / 视频号</x:v>
      </x:c>
      <x:c r="U49" s="30" t="str">
        <x:v>未联系</x:v>
      </x:c>
      <x:c r="V49" s="30" t="str"/>
      <x:c r="W49" s="29" t="str">
        <x:v>中</x:v>
      </x:c>
      <x:c r="X49" s="29" t="str">
        <x:v>https://www.vgover.com/zh-tw/news/226267</x:v>
      </x:c>
    </x:row>
    <x:row r="50">
      <x:c r="A50" s="29" t="n">
        <x:v>47</x:v>
      </x:c>
      <x:c r="B50" s="29" t="str">
        <x:v>N1</x:v>
      </x:c>
      <x:c r="C50" s="29" t="str">
        <x:v>游戏风云</x:v>
      </x:c>
      <x:c r="D50" s="29" t="str">
        <x:v>G696</x:v>
      </x:c>
      <x:c r="E50" s="29" t="str">
        <x:v>18183</x:v>
      </x:c>
      <x:c r="F50" s="30" t="str"/>
      <x:c r="G50" s="29" t="str">
        <x:v>游戏媒体</x:v>
      </x:c>
      <x:c r="H50" s="29" t="n">
        <x:v>3</x:v>
      </x:c>
      <x:c r="I50" s="29" t="n">
        <x:v>5</x:v>
      </x:c>
      <x:c r="J50" s="29" t="n">
        <x:v>5</x:v>
      </x:c>
      <x:c r="K50" s="29" t="n">
        <x:v>2</x:v>
      </x:c>
      <x:c r="L50" s="31" t="n">
        <x:f>SUM(H50:K50)</x:f>
        <x:v>15</x:v>
      </x:c>
      <x:c r="M50" s="29" t="str">
        <x:f>IF(L50&gt;=16,"A-优先",IF(L50&gt;=12,"B-培育","C-观察"))</x:f>
        <x:v>B-培育</x:v>
      </x:c>
      <x:c r="N50" s="29" t="str">
        <x:v>游戏IP活动、电竞赛事、研发/发行团队落地、出海服务</x:v>
      </x:c>
      <x:c r="O50" s="29" t="str"/>
      <x:c r="P50" s="30" t="str"/>
      <x:c r="Q50" s="30" t="str"/>
      <x:c r="R50" s="30" t="str"/>
      <x:c r="S50" s="30" t="str"/>
      <x:c r="T50" s="30" t="str">
        <x:v>建议检索：18183 官方 / 公众号 / 微博 / 小红书 / 视频号</x:v>
      </x:c>
      <x:c r="U50" s="30" t="str">
        <x:v>未联系</x:v>
      </x:c>
      <x:c r="V50" s="30" t="str"/>
      <x:c r="W50" s="29" t="str">
        <x:v>高</x:v>
      </x:c>
      <x:c r="X50" s="29" t="str">
        <x:v>https://www.vgover.com/zh-tw/news/226267</x:v>
      </x:c>
    </x:row>
    <x:row r="51">
      <x:c r="A51" s="29" t="n">
        <x:v>48</x:v>
      </x:c>
      <x:c r="B51" s="29" t="str">
        <x:v>N1</x:v>
      </x:c>
      <x:c r="C51" s="29" t="str">
        <x:v>游戏风云</x:v>
      </x:c>
      <x:c r="D51" s="29" t="str">
        <x:v>G698</x:v>
      </x:c>
      <x:c r="E51" s="29" t="str">
        <x:v>叨叨巫师</x:v>
      </x:c>
      <x:c r="F51" s="30" t="str"/>
      <x:c r="G51" s="29" t="str">
        <x:v>独立游戏</x:v>
      </x:c>
      <x:c r="H51" s="29" t="n">
        <x:v>2</x:v>
      </x:c>
      <x:c r="I51" s="29" t="n">
        <x:v>5</x:v>
      </x:c>
      <x:c r="J51" s="29" t="n">
        <x:v>5</x:v>
      </x:c>
      <x:c r="K51" s="29" t="n">
        <x:v>2</x:v>
      </x:c>
      <x:c r="L51" s="31" t="n">
        <x:f>SUM(H51:K51)</x:f>
        <x:v>14</x:v>
      </x:c>
      <x:c r="M51" s="29" t="str">
        <x:f>IF(L51&gt;=16,"A-优先",IF(L51&gt;=12,"B-培育","C-观察"))</x:f>
        <x:v>B-培育</x:v>
      </x:c>
      <x:c r="N51" s="29" t="str">
        <x:v>独立游戏孵化、版号/发行、出海服务、低成本办公与人才对接</x:v>
      </x:c>
      <x:c r="O51" s="29" t="str"/>
      <x:c r="P51" s="30" t="str"/>
      <x:c r="Q51" s="30" t="str"/>
      <x:c r="R51" s="30" t="str"/>
      <x:c r="S51" s="30" t="str"/>
      <x:c r="T51" s="30" t="str">
        <x:v>建议检索：叨叨巫师 官方 / 公众号 / 微博 / 小红书 / 视频号</x:v>
      </x:c>
      <x:c r="U51" s="30" t="str">
        <x:v>未联系</x:v>
      </x:c>
      <x:c r="V51" s="30" t="str"/>
      <x:c r="W51" s="29" t="str">
        <x:v>高</x:v>
      </x:c>
      <x:c r="X51" s="29" t="str">
        <x:v>https://www.vgover.com/zh-tw/news/226267</x:v>
      </x:c>
    </x:row>
    <x:row r="52">
      <x:c r="A52" s="29" t="n">
        <x:v>49</x:v>
      </x:c>
      <x:c r="B52" s="29" t="str">
        <x:v>N1</x:v>
      </x:c>
      <x:c r="C52" s="29" t="str">
        <x:v>游戏风云</x:v>
      </x:c>
      <x:c r="D52" s="29" t="str">
        <x:v>G891</x:v>
      </x:c>
      <x:c r="E52" s="29" t="str">
        <x:v>长沙兔窟</x:v>
      </x:c>
      <x:c r="F52" s="30" t="str"/>
      <x:c r="G52" s="29" t="str">
        <x:v>独立游戏</x:v>
      </x:c>
      <x:c r="H52" s="29" t="n">
        <x:v>2</x:v>
      </x:c>
      <x:c r="I52" s="29" t="n">
        <x:v>5</x:v>
      </x:c>
      <x:c r="J52" s="29" t="n">
        <x:v>5</x:v>
      </x:c>
      <x:c r="K52" s="29" t="n">
        <x:v>2</x:v>
      </x:c>
      <x:c r="L52" s="31" t="n">
        <x:f>SUM(H52:K52)</x:f>
        <x:v>14</x:v>
      </x:c>
      <x:c r="M52" s="29" t="str">
        <x:f>IF(L52&gt;=16,"A-优先",IF(L52&gt;=12,"B-培育","C-观察"))</x:f>
        <x:v>B-培育</x:v>
      </x:c>
      <x:c r="N52" s="29" t="str">
        <x:v>独立游戏孵化、版号/发行、出海服务、低成本办公与人才对接</x:v>
      </x:c>
      <x:c r="O52" s="29" t="str"/>
      <x:c r="P52" s="30" t="str"/>
      <x:c r="Q52" s="30" t="str"/>
      <x:c r="R52" s="30" t="str"/>
      <x:c r="S52" s="30" t="str"/>
      <x:c r="T52" s="30" t="str">
        <x:v>建议检索：长沙兔窟 官方 / 公众号 / 微博 / 小红书 / 视频号</x:v>
      </x:c>
      <x:c r="U52" s="30" t="str">
        <x:v>未联系</x:v>
      </x:c>
      <x:c r="V52" s="30" t="str"/>
      <x:c r="W52" s="29" t="str">
        <x:v>高</x:v>
      </x:c>
      <x:c r="X52" s="29" t="str">
        <x:v>https://www.vgover.com/zh-tw/news/226267</x:v>
      </x:c>
    </x:row>
    <x:row r="53">
      <x:c r="A53" s="29" t="n">
        <x:v>50</x:v>
      </x:c>
      <x:c r="B53" s="29" t="str">
        <x:v>N1</x:v>
      </x:c>
      <x:c r="C53" s="29" t="str">
        <x:v>游戏风云</x:v>
      </x:c>
      <x:c r="D53" s="29" t="str">
        <x:v>G892</x:v>
      </x:c>
      <x:c r="E53" s="29" t="str">
        <x:v>PEPPER STONES</x:v>
      </x:c>
      <x:c r="F53" s="30" t="str"/>
      <x:c r="G53" s="29" t="str">
        <x:v>独立游戏</x:v>
      </x:c>
      <x:c r="H53" s="29" t="n">
        <x:v>2</x:v>
      </x:c>
      <x:c r="I53" s="29" t="n">
        <x:v>5</x:v>
      </x:c>
      <x:c r="J53" s="29" t="n">
        <x:v>5</x:v>
      </x:c>
      <x:c r="K53" s="29" t="n">
        <x:v>2</x:v>
      </x:c>
      <x:c r="L53" s="31" t="n">
        <x:f>SUM(H53:K53)</x:f>
        <x:v>14</x:v>
      </x:c>
      <x:c r="M53" s="29" t="str">
        <x:f>IF(L53&gt;=16,"A-优先",IF(L53&gt;=12,"B-培育","C-观察"))</x:f>
        <x:v>B-培育</x:v>
      </x:c>
      <x:c r="N53" s="29" t="str">
        <x:v>独立游戏孵化、版号/发行、出海服务、低成本办公与人才对接</x:v>
      </x:c>
      <x:c r="O53" s="29" t="str"/>
      <x:c r="P53" s="30" t="str"/>
      <x:c r="Q53" s="30" t="str"/>
      <x:c r="R53" s="30" t="str"/>
      <x:c r="S53" s="30" t="str"/>
      <x:c r="T53" s="30" t="str">
        <x:v>建议检索：PEPPER STONES 官方 / 公众号 / 微博 / 小红书 / 视频号</x:v>
      </x:c>
      <x:c r="U53" s="30" t="str">
        <x:v>未联系</x:v>
      </x:c>
      <x:c r="V53" s="30" t="str"/>
      <x:c r="W53" s="29" t="str">
        <x:v>高</x:v>
      </x:c>
      <x:c r="X53" s="29" t="str">
        <x:v>https://www.vgover.com/zh-tw/news/226267</x:v>
      </x:c>
    </x:row>
    <x:row r="54">
      <x:c r="A54" s="29" t="n">
        <x:v>51</x:v>
      </x:c>
      <x:c r="B54" s="29" t="str">
        <x:v>N1</x:v>
      </x:c>
      <x:c r="C54" s="29" t="str">
        <x:v>游戏风云</x:v>
      </x:c>
      <x:c r="D54" s="29" t="str">
        <x:v>G895</x:v>
      </x:c>
      <x:c r="E54" s="29" t="str">
        <x:v>17173</x:v>
      </x:c>
      <x:c r="F54" s="30" t="str"/>
      <x:c r="G54" s="29" t="str">
        <x:v>游戏媒体</x:v>
      </x:c>
      <x:c r="H54" s="29" t="n">
        <x:v>3</x:v>
      </x:c>
      <x:c r="I54" s="29" t="n">
        <x:v>5</x:v>
      </x:c>
      <x:c r="J54" s="29" t="n">
        <x:v>5</x:v>
      </x:c>
      <x:c r="K54" s="29" t="n">
        <x:v>2</x:v>
      </x:c>
      <x:c r="L54" s="31" t="n">
        <x:f>SUM(H54:K54)</x:f>
        <x:v>15</x:v>
      </x:c>
      <x:c r="M54" s="29" t="str">
        <x:f>IF(L54&gt;=16,"A-优先",IF(L54&gt;=12,"B-培育","C-观察"))</x:f>
        <x:v>B-培育</x:v>
      </x:c>
      <x:c r="N54" s="29" t="str">
        <x:v>游戏IP活动、电竞赛事、研发/发行团队落地、出海服务</x:v>
      </x:c>
      <x:c r="O54" s="29" t="str"/>
      <x:c r="P54" s="30" t="str"/>
      <x:c r="Q54" s="30" t="str"/>
      <x:c r="R54" s="30" t="str"/>
      <x:c r="S54" s="30" t="str"/>
      <x:c r="T54" s="30" t="str">
        <x:v>建议检索：17173 官方 / 公众号 / 微博 / 小红书 / 视频号</x:v>
      </x:c>
      <x:c r="U54" s="30" t="str">
        <x:v>未联系</x:v>
      </x:c>
      <x:c r="V54" s="30" t="str"/>
      <x:c r="W54" s="29" t="str">
        <x:v>高</x:v>
      </x:c>
      <x:c r="X54" s="29" t="str">
        <x:v>https://www.vgover.com/zh-tw/news/226267</x:v>
      </x:c>
    </x:row>
    <x:row r="55">
      <x:c r="A55" s="29" t="n">
        <x:v>52</x:v>
      </x:c>
      <x:c r="B55" s="29" t="str">
        <x:v>N1</x:v>
      </x:c>
      <x:c r="C55" s="29" t="str">
        <x:v>游戏风云</x:v>
      </x:c>
      <x:c r="D55" s="29" t="str">
        <x:v>CJE01-80</x:v>
      </x:c>
      <x:c r="E55" s="29" t="str">
        <x:v>ChinaJoy Express 游戏试玩区</x:v>
      </x:c>
      <x:c r="F55" s="30" t="str"/>
      <x:c r="G55" s="29" t="str">
        <x:v>游戏聚合试玩</x:v>
      </x:c>
      <x:c r="H55" s="29" t="n">
        <x:v>3</x:v>
      </x:c>
      <x:c r="I55" s="29" t="n">
        <x:v>5</x:v>
      </x:c>
      <x:c r="J55" s="29" t="n">
        <x:v>5</x:v>
      </x:c>
      <x:c r="K55" s="29" t="n">
        <x:v>2</x:v>
      </x:c>
      <x:c r="L55" s="31" t="n">
        <x:f>SUM(H55:K55)</x:f>
        <x:v>15</x:v>
      </x:c>
      <x:c r="M55" s="29" t="str">
        <x:f>IF(L55&gt;=16,"A-优先",IF(L55&gt;=12,"B-培育","C-观察"))</x:f>
        <x:v>B-培育</x:v>
      </x:c>
      <x:c r="N55" s="29" t="str">
        <x:v>游戏IP活动、电竞赛事、研发/发行团队落地、出海服务</x:v>
      </x:c>
      <x:c r="O55" s="29" t="str"/>
      <x:c r="P55" s="30" t="str"/>
      <x:c r="Q55" s="30" t="str"/>
      <x:c r="R55" s="30" t="str"/>
      <x:c r="S55" s="30" t="str"/>
      <x:c r="T55" s="30" t="str">
        <x:v>建议检索：ChinaJoy Express 游戏试玩区 官方 / 公众号 / 微博 / 小红书 / 视频号</x:v>
      </x:c>
      <x:c r="U55" s="30" t="str">
        <x:v>未联系</x:v>
      </x:c>
      <x:c r="V55" s="30" t="str"/>
      <x:c r="W55" s="29" t="str">
        <x:v>高</x:v>
      </x:c>
      <x:c r="X55" s="29" t="str">
        <x:v>https://www.vgover.com/zh-tw/news/226267</x:v>
      </x:c>
    </x:row>
    <x:row r="56">
      <x:c r="A56" s="29" t="n">
        <x:v>53</x:v>
      </x:c>
      <x:c r="B56" s="29" t="str">
        <x:v>N1</x:v>
      </x:c>
      <x:c r="C56" s="29" t="str">
        <x:v>游戏风云</x:v>
      </x:c>
      <x:c r="D56" s="29" t="str">
        <x:v>G901</x:v>
      </x:c>
      <x:c r="E56" s="29" t="str">
        <x:v>CJ Arena</x:v>
      </x:c>
      <x:c r="F56" s="30" t="str"/>
      <x:c r="G56" s="29" t="str">
        <x:v>官方互动/打卡</x:v>
      </x:c>
      <x:c r="H56" s="29" t="n">
        <x:v>3</x:v>
      </x:c>
      <x:c r="I56" s="29" t="n">
        <x:v>5</x:v>
      </x:c>
      <x:c r="J56" s="29" t="n">
        <x:v>3</x:v>
      </x:c>
      <x:c r="K56" s="29" t="n">
        <x:v>2</x:v>
      </x:c>
      <x:c r="L56" s="31" t="n">
        <x:f>SUM(H56:K56)</x:f>
        <x:v>13</x:v>
      </x:c>
      <x:c r="M56" s="29" t="str">
        <x:f>IF(L56&gt;=16,"A-优先",IF(L56&gt;=12,"B-培育","C-观察"))</x:f>
        <x:v>B-培育</x:v>
      </x:c>
      <x:c r="N56" s="29" t="str">
        <x:v>游戏IP活动、电竞赛事、研发/发行团队落地、出海服务</x:v>
      </x:c>
      <x:c r="O56" s="29" t="str"/>
      <x:c r="P56" s="30" t="str"/>
      <x:c r="Q56" s="30" t="str"/>
      <x:c r="R56" s="30" t="str"/>
      <x:c r="S56" s="30" t="str"/>
      <x:c r="T56" s="30" t="str">
        <x:v>建议检索：CJ Arena 官方 / 公众号 / 微博 / 小红书 / 视频号</x:v>
      </x:c>
      <x:c r="U56" s="30" t="str">
        <x:v>未联系</x:v>
      </x:c>
      <x:c r="V56" s="30" t="str"/>
      <x:c r="W56" s="29" t="str">
        <x:v>高</x:v>
      </x:c>
      <x:c r="X56" s="29" t="str">
        <x:v>https://www.vgover.com/zh-tw/news/226267</x:v>
      </x:c>
    </x:row>
    <x:row r="57">
      <x:c r="A57" s="29" t="n">
        <x:v>54</x:v>
      </x:c>
      <x:c r="B57" s="29" t="str">
        <x:v>N2</x:v>
      </x:c>
      <x:c r="C57" s="29" t="str">
        <x:v>游戏风云</x:v>
      </x:c>
      <x:c r="D57" s="29" t="str">
        <x:v>N2-01</x:v>
      </x:c>
      <x:c r="E57" s="29" t="str">
        <x:v>金山世游</x:v>
      </x:c>
      <x:c r="F57" s="30" t="str"/>
      <x:c r="G57" s="29" t="str">
        <x:v>游戏企业</x:v>
      </x:c>
      <x:c r="H57" s="29" t="n">
        <x:v>5</x:v>
      </x:c>
      <x:c r="I57" s="29" t="n">
        <x:v>5</x:v>
      </x:c>
      <x:c r="J57" s="29" t="n">
        <x:v>5</x:v>
      </x:c>
      <x:c r="K57" s="29" t="n">
        <x:v>2</x:v>
      </x:c>
      <x:c r="L57" s="31" t="n">
        <x:f>SUM(H57:K57)</x:f>
        <x:v>17</x:v>
      </x:c>
      <x:c r="M57" s="29" t="str">
        <x:f>IF(L57&gt;=16,"A-优先",IF(L57&gt;=12,"B-培育","C-观察"))</x:f>
        <x:v>A-优先</x:v>
      </x:c>
      <x:c r="N57" s="29" t="str">
        <x:v>游戏IP活动、电竞赛事、研发/发行团队落地、出海服务</x:v>
      </x:c>
      <x:c r="O57" s="29" t="str">
        <x:v>《鹅鸭杀》《猫咪和汤》《愤怒的小鸟：经典归来》</x:v>
      </x:c>
      <x:c r="P57" s="30" t="str"/>
      <x:c r="Q57" s="30" t="str"/>
      <x:c r="R57" s="30" t="str"/>
      <x:c r="S57" s="30" t="str"/>
      <x:c r="T57" s="30" t="str">
        <x:v>建议检索：金山世游 官方 / 公众号 / 微博 / 小红书 / 视频号</x:v>
      </x:c>
      <x:c r="U57" s="30" t="str">
        <x:v>未联系</x:v>
      </x:c>
      <x:c r="V57" s="30" t="str"/>
      <x:c r="W57" s="29" t="str">
        <x:v>高</x:v>
      </x:c>
      <x:c r="X57" s="29" t="str">
        <x:v>https://www.vgover.com/zh-tw/news/226267</x:v>
      </x:c>
    </x:row>
    <x:row r="58">
      <x:c r="A58" s="29" t="n">
        <x:v>55</x:v>
      </x:c>
      <x:c r="B58" s="29" t="str">
        <x:v>N2</x:v>
      </x:c>
      <x:c r="C58" s="29" t="str">
        <x:v>游戏风云</x:v>
      </x:c>
      <x:c r="D58" s="29" t="str">
        <x:v>N2-02</x:v>
      </x:c>
      <x:c r="E58" s="29" t="str">
        <x:v>bilibili 游戏</x:v>
      </x:c>
      <x:c r="F58" s="30" t="str"/>
      <x:c r="G58" s="29" t="str">
        <x:v>游戏平台/发行</x:v>
      </x:c>
      <x:c r="H58" s="29" t="n">
        <x:v>4</x:v>
      </x:c>
      <x:c r="I58" s="29" t="n">
        <x:v>5</x:v>
      </x:c>
      <x:c r="J58" s="29" t="n">
        <x:v>5</x:v>
      </x:c>
      <x:c r="K58" s="29" t="n">
        <x:v>4</x:v>
      </x:c>
      <x:c r="L58" s="31" t="n">
        <x:f>SUM(H58:K58)</x:f>
        <x:v>18</x:v>
      </x:c>
      <x:c r="M58" s="29" t="str">
        <x:f>IF(L58&gt;=16,"A-优先",IF(L58&gt;=12,"B-培育","C-观察"))</x:f>
        <x:v>A-优先</x:v>
      </x:c>
      <x:c r="N58" s="29" t="str">
        <x:v>游戏IP活动、电竞赛事、研发/发行团队落地、出海服务</x:v>
      </x:c>
      <x:c r="O58" s="29" t="str"/>
      <x:c r="P58" s="30" t="str"/>
      <x:c r="Q58" s="30" t="str"/>
      <x:c r="R58" s="30" t="str"/>
      <x:c r="S58" s="30" t="str">
        <x:v>https://game.bilibili.com/</x:v>
      </x:c>
      <x:c r="T58" s="30" t="str">
        <x:v>bilibili 游戏 官方网站/认证公众号/微博（招商前复核具体商务入口）</x:v>
      </x:c>
      <x:c r="U58" s="30" t="str">
        <x:v>未联系</x:v>
      </x:c>
      <x:c r="V58" s="30" t="str"/>
      <x:c r="W58" s="29" t="str">
        <x:v>高</x:v>
      </x:c>
      <x:c r="X58" s="29" t="str">
        <x:v>https://www.vgover.com/zh-tw/news/226267</x:v>
      </x:c>
    </x:row>
    <x:row r="59">
      <x:c r="A59" s="29" t="n">
        <x:v>56</x:v>
      </x:c>
      <x:c r="B59" s="29" t="str">
        <x:v>N2</x:v>
      </x:c>
      <x:c r="C59" s="29" t="str">
        <x:v>游戏风云</x:v>
      </x:c>
      <x:c r="D59" s="29" t="str">
        <x:v>N2-03</x:v>
      </x:c>
      <x:c r="E59" s="29" t="str">
        <x:v>巨人网络</x:v>
      </x:c>
      <x:c r="F59" s="30" t="str"/>
      <x:c r="G59" s="29" t="str">
        <x:v>游戏企业</x:v>
      </x:c>
      <x:c r="H59" s="29" t="n">
        <x:v>5</x:v>
      </x:c>
      <x:c r="I59" s="29" t="n">
        <x:v>5</x:v>
      </x:c>
      <x:c r="J59" s="29" t="n">
        <x:v>5</x:v>
      </x:c>
      <x:c r="K59" s="29" t="n">
        <x:v>4</x:v>
      </x:c>
      <x:c r="L59" s="31" t="n">
        <x:f>SUM(H59:K59)</x:f>
        <x:v>19</x:v>
      </x:c>
      <x:c r="M59" s="29" t="str">
        <x:f>IF(L59&gt;=16,"A-优先",IF(L59&gt;=12,"B-培育","C-观察"))</x:f>
        <x:v>A-优先</x:v>
      </x:c>
      <x:c r="N59" s="29" t="str">
        <x:v>游戏IP活动、电竞赛事、研发/发行团队落地、出海服务</x:v>
      </x:c>
      <x:c r="O59" s="29" t="str"/>
      <x:c r="P59" s="30" t="str"/>
      <x:c r="Q59" s="30" t="str"/>
      <x:c r="R59" s="30" t="str"/>
      <x:c r="S59" s="30" t="str">
        <x:v>https://www.ga-me.com/</x:v>
      </x:c>
      <x:c r="T59" s="30" t="str">
        <x:v>巨人网络 官方网站/认证公众号/微博（招商前复核具体商务入口）</x:v>
      </x:c>
      <x:c r="U59" s="30" t="str">
        <x:v>未联系</x:v>
      </x:c>
      <x:c r="V59" s="30" t="str"/>
      <x:c r="W59" s="29" t="str">
        <x:v>高</x:v>
      </x:c>
      <x:c r="X59" s="29" t="str">
        <x:v>https://www.vgover.com/zh-tw/news/226267</x:v>
      </x:c>
    </x:row>
    <x:row r="60">
      <x:c r="A60" s="29" t="n">
        <x:v>57</x:v>
      </x:c>
      <x:c r="B60" s="29" t="str">
        <x:v>N2</x:v>
      </x:c>
      <x:c r="C60" s="29" t="str">
        <x:v>游戏风云</x:v>
      </x:c>
      <x:c r="D60" s="29" t="str">
        <x:v>N2-04</x:v>
      </x:c>
      <x:c r="E60" s="29" t="str">
        <x:v>梧桐宇舟</x:v>
      </x:c>
      <x:c r="F60" s="30" t="str"/>
      <x:c r="G60" s="29" t="str">
        <x:v>游戏企业</x:v>
      </x:c>
      <x:c r="H60" s="29" t="n">
        <x:v>5</x:v>
      </x:c>
      <x:c r="I60" s="29" t="n">
        <x:v>5</x:v>
      </x:c>
      <x:c r="J60" s="29" t="n">
        <x:v>5</x:v>
      </x:c>
      <x:c r="K60" s="29" t="n">
        <x:v>2</x:v>
      </x:c>
      <x:c r="L60" s="31" t="n">
        <x:f>SUM(H60:K60)</x:f>
        <x:v>17</x:v>
      </x:c>
      <x:c r="M60" s="29" t="str">
        <x:f>IF(L60&gt;=16,"A-优先",IF(L60&gt;=12,"B-培育","C-观察"))</x:f>
        <x:v>A-优先</x:v>
      </x:c>
      <x:c r="N60" s="29" t="str">
        <x:v>游戏IP活动、电竞赛事、研发/发行团队落地、出海服务</x:v>
      </x:c>
      <x:c r="O60" s="29" t="str"/>
      <x:c r="P60" s="30" t="str"/>
      <x:c r="Q60" s="30" t="str"/>
      <x:c r="R60" s="30" t="str"/>
      <x:c r="S60" s="30" t="str"/>
      <x:c r="T60" s="30" t="str">
        <x:v>建议检索：梧桐宇舟 官方 / 公众号 / 微博 / 小红书 / 视频号</x:v>
      </x:c>
      <x:c r="U60" s="30" t="str">
        <x:v>未联系</x:v>
      </x:c>
      <x:c r="V60" s="30" t="str"/>
      <x:c r="W60" s="29" t="str">
        <x:v>高</x:v>
      </x:c>
      <x:c r="X60" s="29" t="str">
        <x:v>https://www.vgover.com/zh-tw/news/226267</x:v>
      </x:c>
    </x:row>
    <x:row r="61">
      <x:c r="A61" s="29" t="n">
        <x:v>58</x:v>
      </x:c>
      <x:c r="B61" s="29" t="str">
        <x:v>N2</x:v>
      </x:c>
      <x:c r="C61" s="29" t="str">
        <x:v>游戏风云</x:v>
      </x:c>
      <x:c r="D61" s="29" t="str">
        <x:v>N2-05</x:v>
      </x:c>
      <x:c r="E61" s="29" t="str">
        <x:v>360游戏</x:v>
      </x:c>
      <x:c r="F61" s="30" t="str"/>
      <x:c r="G61" s="29" t="str">
        <x:v>游戏平台</x:v>
      </x:c>
      <x:c r="H61" s="29" t="n">
        <x:v>4</x:v>
      </x:c>
      <x:c r="I61" s="29" t="n">
        <x:v>5</x:v>
      </x:c>
      <x:c r="J61" s="29" t="n">
        <x:v>5</x:v>
      </x:c>
      <x:c r="K61" s="29" t="n">
        <x:v>4</x:v>
      </x:c>
      <x:c r="L61" s="31" t="n">
        <x:f>SUM(H61:K61)</x:f>
        <x:v>18</x:v>
      </x:c>
      <x:c r="M61" s="29" t="str">
        <x:f>IF(L61&gt;=16,"A-优先",IF(L61&gt;=12,"B-培育","C-观察"))</x:f>
        <x:v>A-优先</x:v>
      </x:c>
      <x:c r="N61" s="29" t="str">
        <x:v>游戏IP活动、电竞赛事、研发/发行团队落地、出海服务</x:v>
      </x:c>
      <x:c r="O61" s="29" t="str"/>
      <x:c r="P61" s="30" t="str"/>
      <x:c r="Q61" s="30" t="str"/>
      <x:c r="R61" s="30" t="str"/>
      <x:c r="S61" s="30" t="str">
        <x:v>https://game.360.cn/</x:v>
      </x:c>
      <x:c r="T61" s="30" t="str">
        <x:v>360游戏 官方网站/认证公众号/微博（招商前复核具体商务入口）</x:v>
      </x:c>
      <x:c r="U61" s="30" t="str">
        <x:v>未联系</x:v>
      </x:c>
      <x:c r="V61" s="30" t="str"/>
      <x:c r="W61" s="29" t="str">
        <x:v>高</x:v>
      </x:c>
      <x:c r="X61" s="29" t="str">
        <x:v>https://www.vgover.com/zh-tw/news/226267</x:v>
      </x:c>
    </x:row>
    <x:row r="62">
      <x:c r="A62" s="29" t="n">
        <x:v>59</x:v>
      </x:c>
      <x:c r="B62" s="29" t="str">
        <x:v>N2</x:v>
      </x:c>
      <x:c r="C62" s="29" t="str">
        <x:v>游戏风云</x:v>
      </x:c>
      <x:c r="D62" s="29" t="str">
        <x:v>N2-06</x:v>
      </x:c>
      <x:c r="E62" s="29" t="str">
        <x:v>233乐园</x:v>
      </x:c>
      <x:c r="F62" s="30" t="str"/>
      <x:c r="G62" s="29" t="str">
        <x:v>游戏平台</x:v>
      </x:c>
      <x:c r="H62" s="29" t="n">
        <x:v>4</x:v>
      </x:c>
      <x:c r="I62" s="29" t="n">
        <x:v>5</x:v>
      </x:c>
      <x:c r="J62" s="29" t="n">
        <x:v>5</x:v>
      </x:c>
      <x:c r="K62" s="29" t="n">
        <x:v>2</x:v>
      </x:c>
      <x:c r="L62" s="31" t="n">
        <x:f>SUM(H62:K62)</x:f>
        <x:v>16</x:v>
      </x:c>
      <x:c r="M62" s="29" t="str">
        <x:f>IF(L62&gt;=16,"A-优先",IF(L62&gt;=12,"B-培育","C-观察"))</x:f>
        <x:v>A-优先</x:v>
      </x:c>
      <x:c r="N62" s="29" t="str">
        <x:v>游戏IP活动、电竞赛事、研发/发行团队落地、出海服务</x:v>
      </x:c>
      <x:c r="O62" s="29" t="str"/>
      <x:c r="P62" s="30" t="str"/>
      <x:c r="Q62" s="30" t="str"/>
      <x:c r="R62" s="30" t="str"/>
      <x:c r="S62" s="30" t="str"/>
      <x:c r="T62" s="30" t="str">
        <x:v>建议检索：233乐园 官方 / 公众号 / 微博 / 小红书 / 视频号</x:v>
      </x:c>
      <x:c r="U62" s="30" t="str">
        <x:v>未联系</x:v>
      </x:c>
      <x:c r="V62" s="30" t="str"/>
      <x:c r="W62" s="29" t="str">
        <x:v>高</x:v>
      </x:c>
      <x:c r="X62" s="29" t="str">
        <x:v>https://www.vgover.com/zh-tw/news/226267</x:v>
      </x:c>
    </x:row>
    <x:row r="63">
      <x:c r="A63" s="29" t="n">
        <x:v>60</x:v>
      </x:c>
      <x:c r="B63" s="29" t="str">
        <x:v>N2</x:v>
      </x:c>
      <x:c r="C63" s="29" t="str">
        <x:v>游戏风云</x:v>
      </x:c>
      <x:c r="D63" s="29" t="str">
        <x:v>N2-07</x:v>
      </x:c>
      <x:c r="E63" s="29" t="str">
        <x:v>乐享元游</x:v>
      </x:c>
      <x:c r="F63" s="30" t="str"/>
      <x:c r="G63" s="29" t="str">
        <x:v>游戏企业</x:v>
      </x:c>
      <x:c r="H63" s="29" t="n">
        <x:v>5</x:v>
      </x:c>
      <x:c r="I63" s="29" t="n">
        <x:v>5</x:v>
      </x:c>
      <x:c r="J63" s="29" t="n">
        <x:v>5</x:v>
      </x:c>
      <x:c r="K63" s="29" t="n">
        <x:v>2</x:v>
      </x:c>
      <x:c r="L63" s="31" t="n">
        <x:f>SUM(H63:K63)</x:f>
        <x:v>17</x:v>
      </x:c>
      <x:c r="M63" s="29" t="str">
        <x:f>IF(L63&gt;=16,"A-优先",IF(L63&gt;=12,"B-培育","C-观察"))</x:f>
        <x:v>A-优先</x:v>
      </x:c>
      <x:c r="N63" s="29" t="str">
        <x:v>游戏IP活动、电竞赛事、研发/发行团队落地、出海服务</x:v>
      </x:c>
      <x:c r="O63" s="29" t="str"/>
      <x:c r="P63" s="30" t="str"/>
      <x:c r="Q63" s="30" t="str"/>
      <x:c r="R63" s="30" t="str"/>
      <x:c r="S63" s="30" t="str"/>
      <x:c r="T63" s="30" t="str">
        <x:v>建议检索：乐享元游 官方 / 公众号 / 微博 / 小红书 / 视频号</x:v>
      </x:c>
      <x:c r="U63" s="30" t="str">
        <x:v>未联系</x:v>
      </x:c>
      <x:c r="V63" s="30" t="str"/>
      <x:c r="W63" s="29" t="str">
        <x:v>高</x:v>
      </x:c>
      <x:c r="X63" s="29" t="str">
        <x:v>https://www.vgover.com/zh-tw/news/226267</x:v>
      </x:c>
    </x:row>
    <x:row r="64">
      <x:c r="A64" s="29" t="n">
        <x:v>61</x:v>
      </x:c>
      <x:c r="B64" s="29" t="str">
        <x:v>N2</x:v>
      </x:c>
      <x:c r="C64" s="29" t="str">
        <x:v>游戏风云</x:v>
      </x:c>
      <x:c r="D64" s="29" t="str">
        <x:v>N2-08</x:v>
      </x:c>
      <x:c r="E64" s="29" t="str">
        <x:v>顺丰</x:v>
      </x:c>
      <x:c r="F64" s="30" t="str"/>
      <x:c r="G64" s="29" t="str">
        <x:v>物流/跨界品牌</x:v>
      </x:c>
      <x:c r="H64" s="29" t="n">
        <x:v>3</x:v>
      </x:c>
      <x:c r="I64" s="29" t="n">
        <x:v>5</x:v>
      </x:c>
      <x:c r="J64" s="29" t="n">
        <x:v>3</x:v>
      </x:c>
      <x:c r="K64" s="29" t="n">
        <x:v>2</x:v>
      </x:c>
      <x:c r="L64" s="31" t="n">
        <x:f>SUM(H64:K64)</x:f>
        <x:v>13</x:v>
      </x:c>
      <x:c r="M64" s="29" t="str">
        <x:f>IF(L64&gt;=16,"A-优先",IF(L64&gt;=12,"B-培育","C-观察"))</x:f>
        <x:v>B-培育</x:v>
      </x:c>
      <x:c r="N64" s="29" t="str">
        <x:v>游戏IP活动、电竞赛事、研发/发行团队落地、出海服务</x:v>
      </x:c>
      <x:c r="O64" s="29" t="str"/>
      <x:c r="P64" s="30" t="str"/>
      <x:c r="Q64" s="30" t="str"/>
      <x:c r="R64" s="30" t="str"/>
      <x:c r="S64" s="30" t="str"/>
      <x:c r="T64" s="30" t="str">
        <x:v>建议检索：顺丰 官方 / 公众号 / 微博 / 小红书 / 视频号</x:v>
      </x:c>
      <x:c r="U64" s="30" t="str">
        <x:v>未联系</x:v>
      </x:c>
      <x:c r="V64" s="30" t="str"/>
      <x:c r="W64" s="29" t="str">
        <x:v>高</x:v>
      </x:c>
      <x:c r="X64" s="29" t="str">
        <x:v>https://www.vgover.com/zh-tw/news/226267</x:v>
      </x:c>
    </x:row>
    <x:row r="65">
      <x:c r="A65" s="29" t="n">
        <x:v>62</x:v>
      </x:c>
      <x:c r="B65" s="29" t="str">
        <x:v>N2</x:v>
      </x:c>
      <x:c r="C65" s="29" t="str">
        <x:v>游戏风云</x:v>
      </x:c>
      <x:c r="D65" s="29" t="str">
        <x:v>N2-09</x:v>
      </x:c>
      <x:c r="E65" s="29" t="str">
        <x:v>BATTLE STATE GAMES</x:v>
      </x:c>
      <x:c r="F65" s="30" t="str"/>
      <x:c r="G65" s="29" t="str">
        <x:v>游戏企业</x:v>
      </x:c>
      <x:c r="H65" s="29" t="n">
        <x:v>5</x:v>
      </x:c>
      <x:c r="I65" s="29" t="n">
        <x:v>5</x:v>
      </x:c>
      <x:c r="J65" s="29" t="n">
        <x:v>5</x:v>
      </x:c>
      <x:c r="K65" s="29" t="n">
        <x:v>2</x:v>
      </x:c>
      <x:c r="L65" s="31" t="n">
        <x:f>SUM(H65:K65)</x:f>
        <x:v>17</x:v>
      </x:c>
      <x:c r="M65" s="29" t="str">
        <x:f>IF(L65&gt;=16,"A-优先",IF(L65&gt;=12,"B-培育","C-观察"))</x:f>
        <x:v>A-优先</x:v>
      </x:c>
      <x:c r="N65" s="29" t="str">
        <x:v>游戏IP活动、电竞赛事、研发/发行团队落地、出海服务</x:v>
      </x:c>
      <x:c r="O65" s="29" t="str"/>
      <x:c r="P65" s="30" t="str"/>
      <x:c r="Q65" s="30" t="str"/>
      <x:c r="R65" s="30" t="str"/>
      <x:c r="S65" s="30" t="str"/>
      <x:c r="T65" s="30" t="str">
        <x:v>建议检索：BATTLE STATE GAMES 官方 / 公众号 / 微博 / 小红书 / 视频号</x:v>
      </x:c>
      <x:c r="U65" s="30" t="str">
        <x:v>未联系</x:v>
      </x:c>
      <x:c r="V65" s="30" t="str"/>
      <x:c r="W65" s="29" t="str">
        <x:v>高</x:v>
      </x:c>
      <x:c r="X65" s="29" t="str">
        <x:v>https://www.vgover.com/zh-tw/news/226267</x:v>
      </x:c>
    </x:row>
    <x:row r="66">
      <x:c r="A66" s="29" t="n">
        <x:v>63</x:v>
      </x:c>
      <x:c r="B66" s="29" t="str">
        <x:v>N2</x:v>
      </x:c>
      <x:c r="C66" s="29" t="str">
        <x:v>游戏风云</x:v>
      </x:c>
      <x:c r="D66" s="29" t="str">
        <x:v>N2-11-1</x:v>
      </x:c>
      <x:c r="E66" s="29" t="str">
        <x:v>4399</x:v>
      </x:c>
      <x:c r="F66" s="30" t="str"/>
      <x:c r="G66" s="29" t="str">
        <x:v>游戏平台</x:v>
      </x:c>
      <x:c r="H66" s="29" t="n">
        <x:v>4</x:v>
      </x:c>
      <x:c r="I66" s="29" t="n">
        <x:v>5</x:v>
      </x:c>
      <x:c r="J66" s="29" t="n">
        <x:v>5</x:v>
      </x:c>
      <x:c r="K66" s="29" t="n">
        <x:v>4</x:v>
      </x:c>
      <x:c r="L66" s="31" t="n">
        <x:f>SUM(H66:K66)</x:f>
        <x:v>18</x:v>
      </x:c>
      <x:c r="M66" s="29" t="str">
        <x:f>IF(L66&gt;=16,"A-优先",IF(L66&gt;=12,"B-培育","C-观察"))</x:f>
        <x:v>A-优先</x:v>
      </x:c>
      <x:c r="N66" s="29" t="str">
        <x:v>游戏IP活动、电竞赛事、研发/发行团队落地、出海服务</x:v>
      </x:c>
      <x:c r="O66" s="29" t="str"/>
      <x:c r="P66" s="30" t="str"/>
      <x:c r="Q66" s="30" t="str"/>
      <x:c r="R66" s="30" t="str"/>
      <x:c r="S66" s="30" t="str">
        <x:v>https://www.4399.com/</x:v>
      </x:c>
      <x:c r="T66" s="30" t="str">
        <x:v>4399 官方网站/认证公众号/微博（招商前复核具体商务入口）</x:v>
      </x:c>
      <x:c r="U66" s="30" t="str">
        <x:v>未联系</x:v>
      </x:c>
      <x:c r="V66" s="30" t="str"/>
      <x:c r="W66" s="29" t="str">
        <x:v>高</x:v>
      </x:c>
      <x:c r="X66" s="29" t="str">
        <x:v>https://www.vgover.com/zh-tw/news/226267</x:v>
      </x:c>
    </x:row>
    <x:row r="67">
      <x:c r="A67" s="29" t="n">
        <x:v>64</x:v>
      </x:c>
      <x:c r="B67" s="29" t="str">
        <x:v>N2</x:v>
      </x:c>
      <x:c r="C67" s="29" t="str">
        <x:v>游戏风云</x:v>
      </x:c>
      <x:c r="D67" s="29" t="str">
        <x:v>N2-11-2</x:v>
      </x:c>
      <x:c r="E67" s="29" t="str">
        <x:v>好游快爆</x:v>
      </x:c>
      <x:c r="F67" s="30" t="str"/>
      <x:c r="G67" s="29" t="str">
        <x:v>游戏社区/分发</x:v>
      </x:c>
      <x:c r="H67" s="29" t="n">
        <x:v>3</x:v>
      </x:c>
      <x:c r="I67" s="29" t="n">
        <x:v>5</x:v>
      </x:c>
      <x:c r="J67" s="29" t="n">
        <x:v>5</x:v>
      </x:c>
      <x:c r="K67" s="29" t="n">
        <x:v>2</x:v>
      </x:c>
      <x:c r="L67" s="31" t="n">
        <x:f>SUM(H67:K67)</x:f>
        <x:v>15</x:v>
      </x:c>
      <x:c r="M67" s="29" t="str">
        <x:f>IF(L67&gt;=16,"A-优先",IF(L67&gt;=12,"B-培育","C-观察"))</x:f>
        <x:v>B-培育</x:v>
      </x:c>
      <x:c r="N67" s="29" t="str">
        <x:v>游戏IP活动、电竞赛事、研发/发行团队落地、出海服务</x:v>
      </x:c>
      <x:c r="O67" s="29" t="str"/>
      <x:c r="P67" s="30" t="str"/>
      <x:c r="Q67" s="30" t="str"/>
      <x:c r="R67" s="30" t="str"/>
      <x:c r="S67" s="30" t="str"/>
      <x:c r="T67" s="30" t="str">
        <x:v>建议检索：好游快爆 官方 / 公众号 / 微博 / 小红书 / 视频号</x:v>
      </x:c>
      <x:c r="U67" s="30" t="str">
        <x:v>未联系</x:v>
      </x:c>
      <x:c r="V67" s="30" t="str"/>
      <x:c r="W67" s="29" t="str">
        <x:v>高</x:v>
      </x:c>
      <x:c r="X67" s="29" t="str">
        <x:v>https://www.vgover.com/zh-tw/news/226267</x:v>
      </x:c>
    </x:row>
    <x:row r="68">
      <x:c r="A68" s="29" t="n">
        <x:v>65</x:v>
      </x:c>
      <x:c r="B68" s="29" t="str">
        <x:v>N2</x:v>
      </x:c>
      <x:c r="C68" s="29" t="str">
        <x:v>游戏风云</x:v>
      </x:c>
      <x:c r="D68" s="29" t="str">
        <x:v>N2-12</x:v>
      </x:c>
      <x:c r="E68" s="29" t="str">
        <x:v>韩国文化产业振兴院 KOCCA</x:v>
      </x:c>
      <x:c r="F68" s="30" t="str"/>
      <x:c r="G68" s="29" t="str">
        <x:v>海外展团/机构</x:v>
      </x:c>
      <x:c r="H68" s="29" t="n">
        <x:v>3</x:v>
      </x:c>
      <x:c r="I68" s="29" t="n">
        <x:v>5</x:v>
      </x:c>
      <x:c r="J68" s="29" t="n">
        <x:v>3</x:v>
      </x:c>
      <x:c r="K68" s="29" t="n">
        <x:v>2</x:v>
      </x:c>
      <x:c r="L68" s="31" t="n">
        <x:f>SUM(H68:K68)</x:f>
        <x:v>13</x:v>
      </x:c>
      <x:c r="M68" s="29" t="str">
        <x:f>IF(L68&gt;=16,"A-优先",IF(L68&gt;=12,"B-培育","C-观察"))</x:f>
        <x:v>B-培育</x:v>
      </x:c>
      <x:c r="N68" s="29" t="str">
        <x:v>游戏IP活动、电竞赛事、研发/发行团队落地、出海服务</x:v>
      </x:c>
      <x:c r="O68" s="29" t="str"/>
      <x:c r="P68" s="30" t="str"/>
      <x:c r="Q68" s="30" t="str"/>
      <x:c r="R68" s="30" t="str"/>
      <x:c r="S68" s="30" t="str"/>
      <x:c r="T68" s="30" t="str">
        <x:v>建议检索：韩国文化产业振兴院 KOCCA 官方 / 公众号 / 微博 / 小红书 / 视频号</x:v>
      </x:c>
      <x:c r="U68" s="30" t="str">
        <x:v>未联系</x:v>
      </x:c>
      <x:c r="V68" s="30" t="str"/>
      <x:c r="W68" s="29" t="str">
        <x:v>高</x:v>
      </x:c>
      <x:c r="X68" s="29" t="str">
        <x:v>https://www.vgover.com/zh-tw/news/226267</x:v>
      </x:c>
    </x:row>
    <x:row r="69">
      <x:c r="A69" s="29" t="n">
        <x:v>66</x:v>
      </x:c>
      <x:c r="B69" s="29" t="str">
        <x:v>N2</x:v>
      </x:c>
      <x:c r="C69" s="29" t="str">
        <x:v>游戏风云</x:v>
      </x:c>
      <x:c r="D69" s="29" t="str">
        <x:v>N2-13</x:v>
      </x:c>
      <x:c r="E69" s="29" t="str">
        <x:v>百度智能云</x:v>
      </x:c>
      <x:c r="F69" s="30" t="str"/>
      <x:c r="G69" s="29" t="str">
        <x:v>云服务/AI</x:v>
      </x:c>
      <x:c r="H69" s="29" t="n">
        <x:v>3</x:v>
      </x:c>
      <x:c r="I69" s="29" t="n">
        <x:v>5</x:v>
      </x:c>
      <x:c r="J69" s="29" t="n">
        <x:v>3</x:v>
      </x:c>
      <x:c r="K69" s="29" t="n">
        <x:v>4</x:v>
      </x:c>
      <x:c r="L69" s="31" t="n">
        <x:f>SUM(H69:K69)</x:f>
        <x:v>15</x:v>
      </x:c>
      <x:c r="M69" s="29" t="str">
        <x:f>IF(L69&gt;=16,"A-优先",IF(L69&gt;=12,"B-培育","C-观察"))</x:f>
        <x:v>B-培育</x:v>
      </x:c>
      <x:c r="N69" s="29" t="str">
        <x:v>游戏IP活动、电竞赛事、研发/发行团队落地、出海服务</x:v>
      </x:c>
      <x:c r="O69" s="29" t="str"/>
      <x:c r="P69" s="30" t="str"/>
      <x:c r="Q69" s="30" t="str"/>
      <x:c r="R69" s="30" t="str"/>
      <x:c r="S69" s="30" t="str">
        <x:v>https://cloud.baidu.com/</x:v>
      </x:c>
      <x:c r="T69" s="30" t="str">
        <x:v>百度智能云 官方网站/认证公众号/微博（招商前复核具体商务入口）</x:v>
      </x:c>
      <x:c r="U69" s="30" t="str">
        <x:v>未联系</x:v>
      </x:c>
      <x:c r="V69" s="30" t="str"/>
      <x:c r="W69" s="29" t="str">
        <x:v>高</x:v>
      </x:c>
      <x:c r="X69" s="29" t="str">
        <x:v>https://www.vgover.com/zh-tw/news/226267</x:v>
      </x:c>
    </x:row>
    <x:row r="70">
      <x:c r="A70" s="29" t="n">
        <x:v>67</x:v>
      </x:c>
      <x:c r="B70" s="29" t="str">
        <x:v>N2</x:v>
      </x:c>
      <x:c r="C70" s="29" t="str">
        <x:v>游戏风云</x:v>
      </x:c>
      <x:c r="D70" s="29" t="str">
        <x:v>N2-14</x:v>
      </x:c>
      <x:c r="E70" s="29" t="str">
        <x:v>ChinaJoy福利站</x:v>
      </x:c>
      <x:c r="F70" s="30" t="str"/>
      <x:c r="G70" s="29" t="str">
        <x:v>官方服务</x:v>
      </x:c>
      <x:c r="H70" s="29" t="n">
        <x:v>3</x:v>
      </x:c>
      <x:c r="I70" s="29" t="n">
        <x:v>5</x:v>
      </x:c>
      <x:c r="J70" s="29" t="n">
        <x:v>3</x:v>
      </x:c>
      <x:c r="K70" s="29" t="n">
        <x:v>2</x:v>
      </x:c>
      <x:c r="L70" s="31" t="n">
        <x:f>SUM(H70:K70)</x:f>
        <x:v>13</x:v>
      </x:c>
      <x:c r="M70" s="29" t="str">
        <x:f>IF(L70&gt;=16,"A-优先",IF(L70&gt;=12,"B-培育","C-观察"))</x:f>
        <x:v>B-培育</x:v>
      </x:c>
      <x:c r="N70" s="29" t="str">
        <x:v>游戏IP活动、电竞赛事、研发/发行团队落地、出海服务</x:v>
      </x:c>
      <x:c r="O70" s="29" t="str"/>
      <x:c r="P70" s="30" t="str"/>
      <x:c r="Q70" s="30" t="str"/>
      <x:c r="R70" s="30" t="str"/>
      <x:c r="S70" s="30" t="str"/>
      <x:c r="T70" s="30" t="str">
        <x:v>建议检索：ChinaJoy福利站 官方 / 公众号 / 微博 / 小红书 / 视频号</x:v>
      </x:c>
      <x:c r="U70" s="30" t="str">
        <x:v>未联系</x:v>
      </x:c>
      <x:c r="V70" s="30" t="str"/>
      <x:c r="W70" s="29" t="str">
        <x:v>高</x:v>
      </x:c>
      <x:c r="X70" s="29" t="str">
        <x:v>https://www.vgover.com/zh-tw/news/226267</x:v>
      </x:c>
    </x:row>
    <x:row r="71">
      <x:c r="A71" s="29" t="n">
        <x:v>68</x:v>
      </x:c>
      <x:c r="B71" s="29" t="str">
        <x:v>N2</x:v>
      </x:c>
      <x:c r="C71" s="29" t="str">
        <x:v>游戏风云</x:v>
      </x:c>
      <x:c r="D71" s="29" t="str">
        <x:v>N2-15</x:v>
      </x:c>
      <x:c r="E71" s="29" t="str">
        <x:v>逃离鸭科夫</x:v>
      </x:c>
      <x:c r="F71" s="30" t="str"/>
      <x:c r="G71" s="29" t="str">
        <x:v>游戏/IP</x:v>
      </x:c>
      <x:c r="H71" s="29" t="n">
        <x:v>3</x:v>
      </x:c>
      <x:c r="I71" s="29" t="n">
        <x:v>5</x:v>
      </x:c>
      <x:c r="J71" s="29" t="n">
        <x:v>5</x:v>
      </x:c>
      <x:c r="K71" s="29" t="n">
        <x:v>2</x:v>
      </x:c>
      <x:c r="L71" s="31" t="n">
        <x:f>SUM(H71:K71)</x:f>
        <x:v>15</x:v>
      </x:c>
      <x:c r="M71" s="29" t="str">
        <x:f>IF(L71&gt;=16,"A-优先",IF(L71&gt;=12,"B-培育","C-观察"))</x:f>
        <x:v>B-培育</x:v>
      </x:c>
      <x:c r="N71" s="29" t="str">
        <x:v>游戏IP活动、电竞赛事、研发/发行团队落地、出海服务</x:v>
      </x:c>
      <x:c r="O71" s="29" t="str"/>
      <x:c r="P71" s="30" t="str"/>
      <x:c r="Q71" s="30" t="str"/>
      <x:c r="R71" s="30" t="str"/>
      <x:c r="S71" s="30" t="str"/>
      <x:c r="T71" s="30" t="str">
        <x:v>建议检索：逃离鸭科夫 官方 / 公众号 / 微博 / 小红书 / 视频号</x:v>
      </x:c>
      <x:c r="U71" s="30" t="str">
        <x:v>未联系</x:v>
      </x:c>
      <x:c r="V71" s="30" t="str"/>
      <x:c r="W71" s="29" t="str">
        <x:v>高</x:v>
      </x:c>
      <x:c r="X71" s="29" t="str">
        <x:v>https://www.vgover.com/zh-tw/news/226267</x:v>
      </x:c>
    </x:row>
    <x:row r="72">
      <x:c r="A72" s="29" t="n">
        <x:v>69</x:v>
      </x:c>
      <x:c r="B72" s="29" t="str">
        <x:v>N2</x:v>
      </x:c>
      <x:c r="C72" s="29" t="str">
        <x:v>游戏风云</x:v>
      </x:c>
      <x:c r="D72" s="29" t="str">
        <x:v>N2-16</x:v>
      </x:c>
      <x:c r="E72" s="29" t="str">
        <x:v>ChinaJoy Next Play</x:v>
      </x:c>
      <x:c r="F72" s="30" t="str"/>
      <x:c r="G72" s="29" t="str">
        <x:v>创新游戏体验场</x:v>
      </x:c>
      <x:c r="H72" s="29" t="n">
        <x:v>3</x:v>
      </x:c>
      <x:c r="I72" s="29" t="n">
        <x:v>5</x:v>
      </x:c>
      <x:c r="J72" s="29" t="n">
        <x:v>5</x:v>
      </x:c>
      <x:c r="K72" s="29" t="n">
        <x:v>2</x:v>
      </x:c>
      <x:c r="L72" s="31" t="n">
        <x:f>SUM(H72:K72)</x:f>
        <x:v>15</x:v>
      </x:c>
      <x:c r="M72" s="29" t="str">
        <x:f>IF(L72&gt;=16,"A-优先",IF(L72&gt;=12,"B-培育","C-观察"))</x:f>
        <x:v>B-培育</x:v>
      </x:c>
      <x:c r="N72" s="29" t="str">
        <x:v>游戏IP活动、电竞赛事、研发/发行团队落地、出海服务</x:v>
      </x:c>
      <x:c r="O72" s="29" t="str"/>
      <x:c r="P72" s="30" t="str"/>
      <x:c r="Q72" s="30" t="str"/>
      <x:c r="R72" s="30" t="str"/>
      <x:c r="S72" s="30" t="str"/>
      <x:c r="T72" s="30" t="str">
        <x:v>建议检索：ChinaJoy Next Play 官方 / 公众号 / 微博 / 小红书 / 视频号</x:v>
      </x:c>
      <x:c r="U72" s="30" t="str">
        <x:v>未联系</x:v>
      </x:c>
      <x:c r="V72" s="30" t="str"/>
      <x:c r="W72" s="29" t="str">
        <x:v>高</x:v>
      </x:c>
      <x:c r="X72" s="29" t="str">
        <x:v>https://www.vgover.com/zh-tw/news/226267</x:v>
      </x:c>
    </x:row>
    <x:row r="73">
      <x:c r="A73" s="29" t="n">
        <x:v>70</x:v>
      </x:c>
      <x:c r="B73" s="29" t="str">
        <x:v>N2</x:v>
      </x:c>
      <x:c r="C73" s="29" t="str">
        <x:v>游戏风云</x:v>
      </x:c>
      <x:c r="D73" s="29" t="str">
        <x:v>G101</x:v>
      </x:c>
      <x:c r="E73" s="29" t="str">
        <x:v>TGS</x:v>
      </x:c>
      <x:c r="F73" s="30" t="str"/>
      <x:c r="G73" s="29" t="str">
        <x:v>独立游戏</x:v>
      </x:c>
      <x:c r="H73" s="29" t="n">
        <x:v>2</x:v>
      </x:c>
      <x:c r="I73" s="29" t="n">
        <x:v>5</x:v>
      </x:c>
      <x:c r="J73" s="29" t="n">
        <x:v>5</x:v>
      </x:c>
      <x:c r="K73" s="29" t="n">
        <x:v>2</x:v>
      </x:c>
      <x:c r="L73" s="31" t="n">
        <x:f>SUM(H73:K73)</x:f>
        <x:v>14</x:v>
      </x:c>
      <x:c r="M73" s="29" t="str">
        <x:f>IF(L73&gt;=16,"A-优先",IF(L73&gt;=12,"B-培育","C-观察"))</x:f>
        <x:v>B-培育</x:v>
      </x:c>
      <x:c r="N73" s="29" t="str">
        <x:v>独立游戏孵化、版号/发行、出海服务、低成本办公与人才对接</x:v>
      </x:c>
      <x:c r="O73" s="29" t="str"/>
      <x:c r="P73" s="30" t="str"/>
      <x:c r="Q73" s="30" t="str"/>
      <x:c r="R73" s="30" t="str"/>
      <x:c r="S73" s="30" t="str"/>
      <x:c r="T73" s="30" t="str">
        <x:v>建议检索：TGS 官方 / 公众号 / 微博 / 小红书 / 视频号</x:v>
      </x:c>
      <x:c r="U73" s="30" t="str">
        <x:v>未联系</x:v>
      </x:c>
      <x:c r="V73" s="30" t="str"/>
      <x:c r="W73" s="29" t="str">
        <x:v>高</x:v>
      </x:c>
      <x:c r="X73" s="29" t="str">
        <x:v>https://www.vgover.com/zh-tw/news/226267</x:v>
      </x:c>
    </x:row>
    <x:row r="74">
      <x:c r="A74" s="29" t="n">
        <x:v>71</x:v>
      </x:c>
      <x:c r="B74" s="29" t="str">
        <x:v>N2</x:v>
      </x:c>
      <x:c r="C74" s="29" t="str">
        <x:v>游戏风云</x:v>
      </x:c>
      <x:c r="D74" s="29" t="str">
        <x:v>G105</x:v>
      </x:c>
      <x:c r="E74" s="29" t="str">
        <x:v>旧梦夏日</x:v>
      </x:c>
      <x:c r="F74" s="30" t="str"/>
      <x:c r="G74" s="29" t="str">
        <x:v>独立游戏</x:v>
      </x:c>
      <x:c r="H74" s="29" t="n">
        <x:v>2</x:v>
      </x:c>
      <x:c r="I74" s="29" t="n">
        <x:v>5</x:v>
      </x:c>
      <x:c r="J74" s="29" t="n">
        <x:v>5</x:v>
      </x:c>
      <x:c r="K74" s="29" t="n">
        <x:v>2</x:v>
      </x:c>
      <x:c r="L74" s="31" t="n">
        <x:f>SUM(H74:K74)</x:f>
        <x:v>14</x:v>
      </x:c>
      <x:c r="M74" s="29" t="str">
        <x:f>IF(L74&gt;=16,"A-优先",IF(L74&gt;=12,"B-培育","C-观察"))</x:f>
        <x:v>B-培育</x:v>
      </x:c>
      <x:c r="N74" s="29" t="str">
        <x:v>独立游戏孵化、版号/发行、出海服务、低成本办公与人才对接</x:v>
      </x:c>
      <x:c r="O74" s="29" t="str"/>
      <x:c r="P74" s="30" t="str"/>
      <x:c r="Q74" s="30" t="str"/>
      <x:c r="R74" s="30" t="str"/>
      <x:c r="S74" s="30" t="str"/>
      <x:c r="T74" s="30" t="str">
        <x:v>建议检索：旧梦夏日 官方 / 公众号 / 微博 / 小红书 / 视频号</x:v>
      </x:c>
      <x:c r="U74" s="30" t="str">
        <x:v>未联系</x:v>
      </x:c>
      <x:c r="V74" s="30" t="str"/>
      <x:c r="W74" s="29" t="str">
        <x:v>高</x:v>
      </x:c>
      <x:c r="X74" s="29" t="str">
        <x:v>https://www.vgover.com/zh-tw/news/226267</x:v>
      </x:c>
    </x:row>
    <x:row r="75">
      <x:c r="A75" s="29" t="n">
        <x:v>72</x:v>
      </x:c>
      <x:c r="B75" s="29" t="str">
        <x:v>N2</x:v>
      </x:c>
      <x:c r="C75" s="29" t="str">
        <x:v>游戏风云</x:v>
      </x:c>
      <x:c r="D75" s="29" t="str">
        <x:v>G107</x:v>
      </x:c>
      <x:c r="E75" s="29" t="str">
        <x:v>璞趣科技</x:v>
      </x:c>
      <x:c r="F75" s="30" t="str"/>
      <x:c r="G75" s="29" t="str">
        <x:v>独立游戏</x:v>
      </x:c>
      <x:c r="H75" s="29" t="n">
        <x:v>2</x:v>
      </x:c>
      <x:c r="I75" s="29" t="n">
        <x:v>5</x:v>
      </x:c>
      <x:c r="J75" s="29" t="n">
        <x:v>5</x:v>
      </x:c>
      <x:c r="K75" s="29" t="n">
        <x:v>2</x:v>
      </x:c>
      <x:c r="L75" s="31" t="n">
        <x:f>SUM(H75:K75)</x:f>
        <x:v>14</x:v>
      </x:c>
      <x:c r="M75" s="29" t="str">
        <x:f>IF(L75&gt;=16,"A-优先",IF(L75&gt;=12,"B-培育","C-观察"))</x:f>
        <x:v>B-培育</x:v>
      </x:c>
      <x:c r="N75" s="29" t="str">
        <x:v>独立游戏孵化、版号/发行、出海服务、低成本办公与人才对接</x:v>
      </x:c>
      <x:c r="O75" s="29" t="str"/>
      <x:c r="P75" s="30" t="str"/>
      <x:c r="Q75" s="30" t="str"/>
      <x:c r="R75" s="30" t="str"/>
      <x:c r="S75" s="30" t="str"/>
      <x:c r="T75" s="30" t="str">
        <x:v>建议检索：璞趣科技 官方 / 公众号 / 微博 / 小红书 / 视频号</x:v>
      </x:c>
      <x:c r="U75" s="30" t="str">
        <x:v>未联系</x:v>
      </x:c>
      <x:c r="V75" s="30" t="str"/>
      <x:c r="W75" s="29" t="str">
        <x:v>高</x:v>
      </x:c>
      <x:c r="X75" s="29" t="str">
        <x:v>https://www.vgover.com/zh-tw/news/226267</x:v>
      </x:c>
    </x:row>
    <x:row r="76">
      <x:c r="A76" s="29" t="n">
        <x:v>73</x:v>
      </x:c>
      <x:c r="B76" s="29" t="str">
        <x:v>N2</x:v>
      </x:c>
      <x:c r="C76" s="29" t="str">
        <x:v>游戏风云</x:v>
      </x:c>
      <x:c r="D76" s="29" t="str">
        <x:v>G108</x:v>
      </x:c>
      <x:c r="E76" s="29" t="str">
        <x:v>乌托</x:v>
      </x:c>
      <x:c r="F76" s="30" t="str"/>
      <x:c r="G76" s="29" t="str">
        <x:v>独立游戏</x:v>
      </x:c>
      <x:c r="H76" s="29" t="n">
        <x:v>2</x:v>
      </x:c>
      <x:c r="I76" s="29" t="n">
        <x:v>5</x:v>
      </x:c>
      <x:c r="J76" s="29" t="n">
        <x:v>5</x:v>
      </x:c>
      <x:c r="K76" s="29" t="n">
        <x:v>2</x:v>
      </x:c>
      <x:c r="L76" s="31" t="n">
        <x:f>SUM(H76:K76)</x:f>
        <x:v>14</x:v>
      </x:c>
      <x:c r="M76" s="29" t="str">
        <x:f>IF(L76&gt;=16,"A-优先",IF(L76&gt;=12,"B-培育","C-观察"))</x:f>
        <x:v>B-培育</x:v>
      </x:c>
      <x:c r="N76" s="29" t="str">
        <x:v>独立游戏孵化、版号/发行、出海服务、低成本办公与人才对接</x:v>
      </x:c>
      <x:c r="O76" s="29" t="str"/>
      <x:c r="P76" s="30" t="str"/>
      <x:c r="Q76" s="30" t="str"/>
      <x:c r="R76" s="30" t="str"/>
      <x:c r="S76" s="30" t="str"/>
      <x:c r="T76" s="30" t="str">
        <x:v>建议检索：乌托 官方 / 公众号 / 微博 / 小红书 / 视频号</x:v>
      </x:c>
      <x:c r="U76" s="30" t="str">
        <x:v>未联系</x:v>
      </x:c>
      <x:c r="V76" s="30" t="str"/>
      <x:c r="W76" s="29" t="str">
        <x:v>高</x:v>
      </x:c>
      <x:c r="X76" s="29" t="str">
        <x:v>https://www.vgover.com/zh-tw/news/226267</x:v>
      </x:c>
    </x:row>
    <x:row r="77">
      <x:c r="A77" s="29" t="n">
        <x:v>74</x:v>
      </x:c>
      <x:c r="B77" s="29" t="str">
        <x:v>N2</x:v>
      </x:c>
      <x:c r="C77" s="29" t="str">
        <x:v>游戏风云</x:v>
      </x:c>
      <x:c r="D77" s="29" t="str">
        <x:v>G201</x:v>
      </x:c>
      <x:c r="E77" s="29" t="str">
        <x:v>伏旻雪</x:v>
      </x:c>
      <x:c r="F77" s="30" t="str"/>
      <x:c r="G77" s="29" t="str">
        <x:v>独立游戏</x:v>
      </x:c>
      <x:c r="H77" s="29" t="n">
        <x:v>2</x:v>
      </x:c>
      <x:c r="I77" s="29" t="n">
        <x:v>5</x:v>
      </x:c>
      <x:c r="J77" s="29" t="n">
        <x:v>5</x:v>
      </x:c>
      <x:c r="K77" s="29" t="n">
        <x:v>2</x:v>
      </x:c>
      <x:c r="L77" s="31" t="n">
        <x:f>SUM(H77:K77)</x:f>
        <x:v>14</x:v>
      </x:c>
      <x:c r="M77" s="29" t="str">
        <x:f>IF(L77&gt;=16,"A-优先",IF(L77&gt;=12,"B-培育","C-观察"))</x:f>
        <x:v>B-培育</x:v>
      </x:c>
      <x:c r="N77" s="29" t="str">
        <x:v>独立游戏孵化、版号/发行、出海服务、低成本办公与人才对接</x:v>
      </x:c>
      <x:c r="O77" s="29" t="str">
        <x:v>展位图小字识别，待复核</x:v>
      </x:c>
      <x:c r="P77" s="30" t="str"/>
      <x:c r="Q77" s="30" t="str"/>
      <x:c r="R77" s="30" t="str"/>
      <x:c r="S77" s="30" t="str"/>
      <x:c r="T77" s="30" t="str">
        <x:v>建议检索：伏旻雪 官方 / 公众号 / 微博 / 小红书 / 视频号</x:v>
      </x:c>
      <x:c r="U77" s="30" t="str">
        <x:v>未联系</x:v>
      </x:c>
      <x:c r="V77" s="30" t="str"/>
      <x:c r="W77" s="29" t="str">
        <x:v>中</x:v>
      </x:c>
      <x:c r="X77" s="29" t="str">
        <x:v>https://www.vgover.com/zh-tw/news/226267</x:v>
      </x:c>
    </x:row>
    <x:row r="78">
      <x:c r="A78" s="29" t="n">
        <x:v>75</x:v>
      </x:c>
      <x:c r="B78" s="29" t="str">
        <x:v>N2</x:v>
      </x:c>
      <x:c r="C78" s="29" t="str">
        <x:v>游戏风云</x:v>
      </x:c>
      <x:c r="D78" s="29" t="str">
        <x:v>G207</x:v>
      </x:c>
      <x:c r="E78" s="29" t="str">
        <x:v>摩兰织梦</x:v>
      </x:c>
      <x:c r="F78" s="30" t="str"/>
      <x:c r="G78" s="29" t="str">
        <x:v>独立游戏</x:v>
      </x:c>
      <x:c r="H78" s="29" t="n">
        <x:v>2</x:v>
      </x:c>
      <x:c r="I78" s="29" t="n">
        <x:v>5</x:v>
      </x:c>
      <x:c r="J78" s="29" t="n">
        <x:v>5</x:v>
      </x:c>
      <x:c r="K78" s="29" t="n">
        <x:v>2</x:v>
      </x:c>
      <x:c r="L78" s="31" t="n">
        <x:f>SUM(H78:K78)</x:f>
        <x:v>14</x:v>
      </x:c>
      <x:c r="M78" s="29" t="str">
        <x:f>IF(L78&gt;=16,"A-优先",IF(L78&gt;=12,"B-培育","C-观察"))</x:f>
        <x:v>B-培育</x:v>
      </x:c>
      <x:c r="N78" s="29" t="str">
        <x:v>独立游戏孵化、版号/发行、出海服务、低成本办公与人才对接</x:v>
      </x:c>
      <x:c r="O78" s="29" t="str">
        <x:v>展位图小字识别，待复核</x:v>
      </x:c>
      <x:c r="P78" s="30" t="str"/>
      <x:c r="Q78" s="30" t="str"/>
      <x:c r="R78" s="30" t="str"/>
      <x:c r="S78" s="30" t="str"/>
      <x:c r="T78" s="30" t="str">
        <x:v>建议检索：摩兰织梦 官方 / 公众号 / 微博 / 小红书 / 视频号</x:v>
      </x:c>
      <x:c r="U78" s="30" t="str">
        <x:v>未联系</x:v>
      </x:c>
      <x:c r="V78" s="30" t="str"/>
      <x:c r="W78" s="29" t="str">
        <x:v>中</x:v>
      </x:c>
      <x:c r="X78" s="29" t="str">
        <x:v>https://www.vgover.com/zh-tw/news/226267</x:v>
      </x:c>
    </x:row>
    <x:row r="79">
      <x:c r="A79" s="29" t="n">
        <x:v>76</x:v>
      </x:c>
      <x:c r="B79" s="29" t="str">
        <x:v>N3</x:v>
      </x:c>
      <x:c r="C79" s="29" t="str">
        <x:v>游戏风云</x:v>
      </x:c>
      <x:c r="D79" s="29" t="str">
        <x:v>N3-01</x:v>
      </x:c>
      <x:c r="E79" s="29" t="str">
        <x:v>华为游戏中心</x:v>
      </x:c>
      <x:c r="F79" s="30" t="str"/>
      <x:c r="G79" s="29" t="str">
        <x:v>游戏平台</x:v>
      </x:c>
      <x:c r="H79" s="29" t="n">
        <x:v>4</x:v>
      </x:c>
      <x:c r="I79" s="29" t="n">
        <x:v>5</x:v>
      </x:c>
      <x:c r="J79" s="29" t="n">
        <x:v>5</x:v>
      </x:c>
      <x:c r="K79" s="29" t="n">
        <x:v>4</x:v>
      </x:c>
      <x:c r="L79" s="31" t="n">
        <x:f>SUM(H79:K79)</x:f>
        <x:v>18</x:v>
      </x:c>
      <x:c r="M79" s="29" t="str">
        <x:f>IF(L79&gt;=16,"A-优先",IF(L79&gt;=12,"B-培育","C-观察"))</x:f>
        <x:v>A-优先</x:v>
      </x:c>
      <x:c r="N79" s="29" t="str">
        <x:v>游戏IP活动、电竞赛事、研发/发行团队落地、出海服务</x:v>
      </x:c>
      <x:c r="O79" s="29" t="str"/>
      <x:c r="P79" s="30" t="str"/>
      <x:c r="Q79" s="30" t="str"/>
      <x:c r="R79" s="30" t="str"/>
      <x:c r="S79" s="30" t="str">
        <x:v>https://consumer.huawei.com/cn/mobileservices/appgallery/</x:v>
      </x:c>
      <x:c r="T79" s="30" t="str">
        <x:v>华为游戏中心 官方网站/认证公众号/微博（招商前复核具体商务入口）</x:v>
      </x:c>
      <x:c r="U79" s="30" t="str">
        <x:v>未联系</x:v>
      </x:c>
      <x:c r="V79" s="30" t="str"/>
      <x:c r="W79" s="29" t="str">
        <x:v>高</x:v>
      </x:c>
      <x:c r="X79" s="29" t="str">
        <x:v>https://www.vgover.com/zh-tw/news/226267</x:v>
      </x:c>
    </x:row>
    <x:row r="80">
      <x:c r="A80" s="29" t="n">
        <x:v>77</x:v>
      </x:c>
      <x:c r="B80" s="29" t="str">
        <x:v>N3</x:v>
      </x:c>
      <x:c r="C80" s="29" t="str">
        <x:v>游戏风云</x:v>
      </x:c>
      <x:c r="D80" s="29" t="str">
        <x:v>N3-02</x:v>
      </x:c>
      <x:c r="E80" s="29" t="str">
        <x:v>网易游戏</x:v>
      </x:c>
      <x:c r="F80" s="30" t="str"/>
      <x:c r="G80" s="29" t="str">
        <x:v>游戏企业</x:v>
      </x:c>
      <x:c r="H80" s="29" t="n">
        <x:v>5</x:v>
      </x:c>
      <x:c r="I80" s="29" t="n">
        <x:v>5</x:v>
      </x:c>
      <x:c r="J80" s="29" t="n">
        <x:v>5</x:v>
      </x:c>
      <x:c r="K80" s="29" t="n">
        <x:v>4</x:v>
      </x:c>
      <x:c r="L80" s="31" t="n">
        <x:f>SUM(H80:K80)</x:f>
        <x:v>19</x:v>
      </x:c>
      <x:c r="M80" s="29" t="str">
        <x:f>IF(L80&gt;=16,"A-优先",IF(L80&gt;=12,"B-培育","C-观察"))</x:f>
        <x:v>A-优先</x:v>
      </x:c>
      <x:c r="N80" s="29" t="str">
        <x:v>游戏IP活动、电竞赛事、研发/发行团队落地、出海服务</x:v>
      </x:c>
      <x:c r="O80" s="29" t="str"/>
      <x:c r="P80" s="30" t="str"/>
      <x:c r="Q80" s="30" t="str"/>
      <x:c r="R80" s="30" t="str"/>
      <x:c r="S80" s="30" t="str">
        <x:v>https://game.163.com/</x:v>
      </x:c>
      <x:c r="T80" s="30" t="str">
        <x:v>网易游戏 官方网站/认证公众号/微博（招商前复核具体商务入口）</x:v>
      </x:c>
      <x:c r="U80" s="30" t="str">
        <x:v>未联系</x:v>
      </x:c>
      <x:c r="V80" s="30" t="str"/>
      <x:c r="W80" s="29" t="str">
        <x:v>高</x:v>
      </x:c>
      <x:c r="X80" s="29" t="str">
        <x:v>https://www.vgover.com/zh-tw/news/226267</x:v>
      </x:c>
    </x:row>
    <x:row r="81">
      <x:c r="A81" s="29" t="n">
        <x:v>78</x:v>
      </x:c>
      <x:c r="B81" s="29" t="str">
        <x:v>N3</x:v>
      </x:c>
      <x:c r="C81" s="29" t="str">
        <x:v>游戏风云</x:v>
      </x:c>
      <x:c r="D81" s="29" t="str">
        <x:v>N3-03</x:v>
      </x:c>
      <x:c r="E81" s="29" t="str">
        <x:v>暴雪游戏 × 网易</x:v>
      </x:c>
      <x:c r="F81" s="30" t="str"/>
      <x:c r="G81" s="29" t="str">
        <x:v>游戏企业</x:v>
      </x:c>
      <x:c r="H81" s="29" t="n">
        <x:v>5</x:v>
      </x:c>
      <x:c r="I81" s="29" t="n">
        <x:v>5</x:v>
      </x:c>
      <x:c r="J81" s="29" t="n">
        <x:v>5</x:v>
      </x:c>
      <x:c r="K81" s="29" t="n">
        <x:v>2</x:v>
      </x:c>
      <x:c r="L81" s="31" t="n">
        <x:f>SUM(H81:K81)</x:f>
        <x:v>17</x:v>
      </x:c>
      <x:c r="M81" s="29" t="str">
        <x:f>IF(L81&gt;=16,"A-优先",IF(L81&gt;=12,"B-培育","C-观察"))</x:f>
        <x:v>A-优先</x:v>
      </x:c>
      <x:c r="N81" s="29" t="str">
        <x:v>游戏IP活动、电竞赛事、研发/发行团队落地、出海服务</x:v>
      </x:c>
      <x:c r="O81" s="29" t="str"/>
      <x:c r="P81" s="30" t="str"/>
      <x:c r="Q81" s="30" t="str"/>
      <x:c r="R81" s="30" t="str"/>
      <x:c r="S81" s="30" t="str"/>
      <x:c r="T81" s="30" t="str">
        <x:v>建议检索：暴雪游戏 × 网易 官方 / 公众号 / 微博 / 小红书 / 视频号</x:v>
      </x:c>
      <x:c r="U81" s="30" t="str">
        <x:v>未联系</x:v>
      </x:c>
      <x:c r="V81" s="30" t="str"/>
      <x:c r="W81" s="29" t="str">
        <x:v>高</x:v>
      </x:c>
      <x:c r="X81" s="29" t="str">
        <x:v>https://www.vgover.com/zh-tw/news/226267</x:v>
      </x:c>
    </x:row>
    <x:row r="82">
      <x:c r="A82" s="29" t="n">
        <x:v>79</x:v>
      </x:c>
      <x:c r="B82" s="29" t="str">
        <x:v>N3</x:v>
      </x:c>
      <x:c r="C82" s="29" t="str">
        <x:v>游戏风云</x:v>
      </x:c>
      <x:c r="D82" s="29" t="str">
        <x:v>N3-05</x:v>
      </x:c>
      <x:c r="E82" s="29" t="str">
        <x:v>比亚迪</x:v>
      </x:c>
      <x:c r="F82" s="30" t="str"/>
      <x:c r="G82" s="29" t="str">
        <x:v>汽车/智能座舱</x:v>
      </x:c>
      <x:c r="H82" s="29" t="n">
        <x:v>4</x:v>
      </x:c>
      <x:c r="I82" s="29" t="n">
        <x:v>5</x:v>
      </x:c>
      <x:c r="J82" s="29" t="n">
        <x:v>3</x:v>
      </x:c>
      <x:c r="K82" s="29" t="n">
        <x:v>4</x:v>
      </x:c>
      <x:c r="L82" s="31" t="n">
        <x:f>SUM(H82:K82)</x:f>
        <x:v>16</x:v>
      </x:c>
      <x:c r="M82" s="29" t="str">
        <x:f>IF(L82&gt;=16,"A-优先",IF(L82&gt;=12,"B-培育","C-观察"))</x:f>
        <x:v>A-优先</x:v>
      </x:c>
      <x:c r="N82" s="29" t="str">
        <x:v>游戏IP活动、电竞赛事、研发/发行团队落地、出海服务</x:v>
      </x:c>
      <x:c r="O82" s="29" t="str"/>
      <x:c r="P82" s="30" t="str"/>
      <x:c r="Q82" s="30" t="str"/>
      <x:c r="R82" s="30" t="str"/>
      <x:c r="S82" s="30" t="str">
        <x:v>https://www.bydglobal.com/cn/</x:v>
      </x:c>
      <x:c r="T82" s="30" t="str">
        <x:v>比亚迪 官方网站/认证公众号/微博（招商前复核具体商务入口）</x:v>
      </x:c>
      <x:c r="U82" s="30" t="str">
        <x:v>未联系</x:v>
      </x:c>
      <x:c r="V82" s="30" t="str"/>
      <x:c r="W82" s="29" t="str">
        <x:v>高</x:v>
      </x:c>
      <x:c r="X82" s="29" t="str">
        <x:v>https://www.vgover.com/zh-tw/news/226267</x:v>
      </x:c>
    </x:row>
    <x:row r="83">
      <x:c r="A83" s="29" t="n">
        <x:v>80</x:v>
      </x:c>
      <x:c r="B83" s="29" t="str">
        <x:v>N3</x:v>
      </x:c>
      <x:c r="C83" s="29" t="str">
        <x:v>游戏风云</x:v>
      </x:c>
      <x:c r="D83" s="29" t="str">
        <x:v>N3-06</x:v>
      </x:c>
      <x:c r="E83" s="29" t="str">
        <x:v>HKC</x:v>
      </x:c>
      <x:c r="F83" s="30" t="str"/>
      <x:c r="G83" s="29" t="str">
        <x:v>显示设备</x:v>
      </x:c>
      <x:c r="H83" s="29" t="n">
        <x:v>4</x:v>
      </x:c>
      <x:c r="I83" s="29" t="n">
        <x:v>5</x:v>
      </x:c>
      <x:c r="J83" s="29" t="n">
        <x:v>3</x:v>
      </x:c>
      <x:c r="K83" s="29" t="n">
        <x:v>2</x:v>
      </x:c>
      <x:c r="L83" s="31" t="n">
        <x:f>SUM(H83:K83)</x:f>
        <x:v>14</x:v>
      </x:c>
      <x:c r="M83" s="29" t="str">
        <x:f>IF(L83&gt;=16,"A-优先",IF(L83&gt;=12,"B-培育","C-观察"))</x:f>
        <x:v>B-培育</x:v>
      </x:c>
      <x:c r="N83" s="29" t="str">
        <x:v>游戏IP活动、电竞赛事、研发/发行团队落地、出海服务</x:v>
      </x:c>
      <x:c r="O83" s="29" t="str"/>
      <x:c r="P83" s="30" t="str"/>
      <x:c r="Q83" s="30" t="str"/>
      <x:c r="R83" s="30" t="str"/>
      <x:c r="S83" s="30" t="str"/>
      <x:c r="T83" s="30" t="str">
        <x:v>建议检索：HKC 官方 / 公众号 / 微博 / 小红书 / 视频号</x:v>
      </x:c>
      <x:c r="U83" s="30" t="str">
        <x:v>未联系</x:v>
      </x:c>
      <x:c r="V83" s="30" t="str"/>
      <x:c r="W83" s="29" t="str">
        <x:v>高</x:v>
      </x:c>
      <x:c r="X83" s="29" t="str">
        <x:v>https://www.vgover.com/zh-tw/news/226267</x:v>
      </x:c>
    </x:row>
    <x:row r="84">
      <x:c r="A84" s="29" t="n">
        <x:v>81</x:v>
      </x:c>
      <x:c r="B84" s="29" t="str">
        <x:v>N3</x:v>
      </x:c>
      <x:c r="C84" s="29" t="str">
        <x:v>游戏风云</x:v>
      </x:c>
      <x:c r="D84" s="29" t="str">
        <x:v>N3-07</x:v>
      </x:c>
      <x:c r="E84" s="29" t="str">
        <x:v>996传奇盒子</x:v>
      </x:c>
      <x:c r="F84" s="30" t="str"/>
      <x:c r="G84" s="29" t="str">
        <x:v>游戏平台</x:v>
      </x:c>
      <x:c r="H84" s="29" t="n">
        <x:v>4</x:v>
      </x:c>
      <x:c r="I84" s="29" t="n">
        <x:v>5</x:v>
      </x:c>
      <x:c r="J84" s="29" t="n">
        <x:v>5</x:v>
      </x:c>
      <x:c r="K84" s="29" t="n">
        <x:v>2</x:v>
      </x:c>
      <x:c r="L84" s="31" t="n">
        <x:f>SUM(H84:K84)</x:f>
        <x:v>16</x:v>
      </x:c>
      <x:c r="M84" s="29" t="str">
        <x:f>IF(L84&gt;=16,"A-优先",IF(L84&gt;=12,"B-培育","C-观察"))</x:f>
        <x:v>A-优先</x:v>
      </x:c>
      <x:c r="N84" s="29" t="str">
        <x:v>游戏IP活动、电竞赛事、研发/发行团队落地、出海服务</x:v>
      </x:c>
      <x:c r="O84" s="29" t="str"/>
      <x:c r="P84" s="30" t="str"/>
      <x:c r="Q84" s="30" t="str"/>
      <x:c r="R84" s="30" t="str"/>
      <x:c r="S84" s="30" t="str"/>
      <x:c r="T84" s="30" t="str">
        <x:v>建议检索：996传奇盒子 官方 / 公众号 / 微博 / 小红书 / 视频号</x:v>
      </x:c>
      <x:c r="U84" s="30" t="str">
        <x:v>未联系</x:v>
      </x:c>
      <x:c r="V84" s="30" t="str"/>
      <x:c r="W84" s="29" t="str">
        <x:v>高</x:v>
      </x:c>
      <x:c r="X84" s="29" t="str">
        <x:v>https://www.vgover.com/zh-tw/news/226267</x:v>
      </x:c>
    </x:row>
    <x:row r="85">
      <x:c r="A85" s="29" t="n">
        <x:v>82</x:v>
      </x:c>
      <x:c r="B85" s="29" t="str">
        <x:v>N3</x:v>
      </x:c>
      <x:c r="C85" s="29" t="str">
        <x:v>游戏风云</x:v>
      </x:c>
      <x:c r="D85" s="29" t="str">
        <x:v>N3-08</x:v>
      </x:c>
      <x:c r="E85" s="29" t="str">
        <x:v>朝夕光年</x:v>
      </x:c>
      <x:c r="F85" s="30" t="str"/>
      <x:c r="G85" s="29" t="str">
        <x:v>游戏企业</x:v>
      </x:c>
      <x:c r="H85" s="29" t="n">
        <x:v>5</x:v>
      </x:c>
      <x:c r="I85" s="29" t="n">
        <x:v>5</x:v>
      </x:c>
      <x:c r="J85" s="29" t="n">
        <x:v>5</x:v>
      </x:c>
      <x:c r="K85" s="29" t="n">
        <x:v>2</x:v>
      </x:c>
      <x:c r="L85" s="31" t="n">
        <x:f>SUM(H85:K85)</x:f>
        <x:v>17</x:v>
      </x:c>
      <x:c r="M85" s="29" t="str">
        <x:f>IF(L85&gt;=16,"A-优先",IF(L85&gt;=12,"B-培育","C-观察"))</x:f>
        <x:v>A-优先</x:v>
      </x:c>
      <x:c r="N85" s="29" t="str">
        <x:v>游戏IP活动、电竞赛事、研发/发行团队落地、出海服务</x:v>
      </x:c>
      <x:c r="O85" s="29" t="str"/>
      <x:c r="P85" s="30" t="str"/>
      <x:c r="Q85" s="30" t="str"/>
      <x:c r="R85" s="30" t="str"/>
      <x:c r="S85" s="30" t="str"/>
      <x:c r="T85" s="30" t="str">
        <x:v>建议检索：朝夕光年 官方 / 公众号 / 微博 / 小红书 / 视频号</x:v>
      </x:c>
      <x:c r="U85" s="30" t="str">
        <x:v>未联系</x:v>
      </x:c>
      <x:c r="V85" s="30" t="str"/>
      <x:c r="W85" s="29" t="str">
        <x:v>高</x:v>
      </x:c>
      <x:c r="X85" s="29" t="str">
        <x:v>https://www.vgover.com/zh-tw/news/226267</x:v>
      </x:c>
    </x:row>
    <x:row r="86">
      <x:c r="A86" s="29" t="n">
        <x:v>83</x:v>
      </x:c>
      <x:c r="B86" s="29" t="str">
        <x:v>N3</x:v>
      </x:c>
      <x:c r="C86" s="29" t="str">
        <x:v>游戏风云</x:v>
      </x:c>
      <x:c r="D86" s="29" t="str">
        <x:v>N3-09</x:v>
      </x:c>
      <x:c r="E86" s="29" t="str">
        <x:v>麟贝互娱</x:v>
      </x:c>
      <x:c r="F86" s="30" t="str"/>
      <x:c r="G86" s="29" t="str">
        <x:v>游戏企业</x:v>
      </x:c>
      <x:c r="H86" s="29" t="n">
        <x:v>5</x:v>
      </x:c>
      <x:c r="I86" s="29" t="n">
        <x:v>5</x:v>
      </x:c>
      <x:c r="J86" s="29" t="n">
        <x:v>5</x:v>
      </x:c>
      <x:c r="K86" s="29" t="n">
        <x:v>2</x:v>
      </x:c>
      <x:c r="L86" s="31" t="n">
        <x:f>SUM(H86:K86)</x:f>
        <x:v>17</x:v>
      </x:c>
      <x:c r="M86" s="29" t="str">
        <x:f>IF(L86&gt;=16,"A-优先",IF(L86&gt;=12,"B-培育","C-观察"))</x:f>
        <x:v>A-优先</x:v>
      </x:c>
      <x:c r="N86" s="29" t="str">
        <x:v>游戏IP活动、电竞赛事、研发/发行团队落地、出海服务</x:v>
      </x:c>
      <x:c r="O86" s="29" t="str"/>
      <x:c r="P86" s="30" t="str"/>
      <x:c r="Q86" s="30" t="str"/>
      <x:c r="R86" s="30" t="str"/>
      <x:c r="S86" s="30" t="str"/>
      <x:c r="T86" s="30" t="str">
        <x:v>建议检索：麟贝互娱 官方 / 公众号 / 微博 / 小红书 / 视频号</x:v>
      </x:c>
      <x:c r="U86" s="30" t="str">
        <x:v>未联系</x:v>
      </x:c>
      <x:c r="V86" s="30" t="str"/>
      <x:c r="W86" s="29" t="str">
        <x:v>高</x:v>
      </x:c>
      <x:c r="X86" s="29" t="str">
        <x:v>https://www.vgover.com/zh-tw/news/226267</x:v>
      </x:c>
    </x:row>
    <x:row r="87">
      <x:c r="A87" s="29" t="n">
        <x:v>84</x:v>
      </x:c>
      <x:c r="B87" s="29" t="str">
        <x:v>N3</x:v>
      </x:c>
      <x:c r="C87" s="29" t="str">
        <x:v>游戏风云</x:v>
      </x:c>
      <x:c r="D87" s="29" t="str">
        <x:v>N3-10</x:v>
      </x:c>
      <x:c r="E87" s="29" t="str">
        <x:v>味滋鲜缘</x:v>
      </x:c>
      <x:c r="F87" s="30" t="str"/>
      <x:c r="G87" s="29" t="str">
        <x:v>食品/跨界品牌</x:v>
      </x:c>
      <x:c r="H87" s="29" t="n">
        <x:v>3</x:v>
      </x:c>
      <x:c r="I87" s="29" t="n">
        <x:v>5</x:v>
      </x:c>
      <x:c r="J87" s="29" t="n">
        <x:v>4</x:v>
      </x:c>
      <x:c r="K87" s="29" t="n">
        <x:v>2</x:v>
      </x:c>
      <x:c r="L87" s="31" t="n">
        <x:f>SUM(H87:K87)</x:f>
        <x:v>14</x:v>
      </x:c>
      <x:c r="M87" s="29" t="str">
        <x:f>IF(L87&gt;=16,"A-优先",IF(L87&gt;=12,"B-培育","C-观察"))</x:f>
        <x:v>B-培育</x:v>
      </x:c>
      <x:c r="N87" s="29" t="str">
        <x:v>游戏IP活动、电竞赛事、研发/发行团队落地、出海服务</x:v>
      </x:c>
      <x:c r="O87" s="29" t="str">
        <x:v>展位图识别，待复核</x:v>
      </x:c>
      <x:c r="P87" s="30" t="str"/>
      <x:c r="Q87" s="30" t="str"/>
      <x:c r="R87" s="30" t="str"/>
      <x:c r="S87" s="30" t="str"/>
      <x:c r="T87" s="30" t="str">
        <x:v>建议检索：味滋鲜缘 官方 / 公众号 / 微博 / 小红书 / 视频号</x:v>
      </x:c>
      <x:c r="U87" s="30" t="str">
        <x:v>未联系</x:v>
      </x:c>
      <x:c r="V87" s="30" t="str"/>
      <x:c r="W87" s="29" t="str">
        <x:v>中</x:v>
      </x:c>
      <x:c r="X87" s="29" t="str">
        <x:v>https://www.vgover.com/zh-tw/news/226267</x:v>
      </x:c>
    </x:row>
    <x:row r="88">
      <x:c r="A88" s="29" t="n">
        <x:v>85</x:v>
      </x:c>
      <x:c r="B88" s="29" t="str">
        <x:v>N3</x:v>
      </x:c>
      <x:c r="C88" s="29" t="str">
        <x:v>游戏风云</x:v>
      </x:c>
      <x:c r="D88" s="29" t="str">
        <x:v>N3-11</x:v>
      </x:c>
      <x:c r="E88" s="29" t="str">
        <x:v>Monster Energy 魔爪</x:v>
      </x:c>
      <x:c r="F88" s="30" t="str"/>
      <x:c r="G88" s="29" t="str">
        <x:v>饮料/跨界品牌</x:v>
      </x:c>
      <x:c r="H88" s="29" t="n">
        <x:v>3</x:v>
      </x:c>
      <x:c r="I88" s="29" t="n">
        <x:v>5</x:v>
      </x:c>
      <x:c r="J88" s="29" t="n">
        <x:v>3</x:v>
      </x:c>
      <x:c r="K88" s="29" t="n">
        <x:v>2</x:v>
      </x:c>
      <x:c r="L88" s="31" t="n">
        <x:f>SUM(H88:K88)</x:f>
        <x:v>13</x:v>
      </x:c>
      <x:c r="M88" s="29" t="str">
        <x:f>IF(L88&gt;=16,"A-优先",IF(L88&gt;=12,"B-培育","C-观察"))</x:f>
        <x:v>B-培育</x:v>
      </x:c>
      <x:c r="N88" s="29" t="str">
        <x:v>游戏IP活动、电竞赛事、研发/发行团队落地、出海服务</x:v>
      </x:c>
      <x:c r="O88" s="29" t="str"/>
      <x:c r="P88" s="30" t="str"/>
      <x:c r="Q88" s="30" t="str"/>
      <x:c r="R88" s="30" t="str"/>
      <x:c r="S88" s="30" t="str"/>
      <x:c r="T88" s="30" t="str">
        <x:v>建议检索：Monster Energy 魔爪 官方 / 公众号 / 微博 / 小红书 / 视频号</x:v>
      </x:c>
      <x:c r="U88" s="30" t="str">
        <x:v>未联系</x:v>
      </x:c>
      <x:c r="V88" s="30" t="str"/>
      <x:c r="W88" s="29" t="str">
        <x:v>高</x:v>
      </x:c>
      <x:c r="X88" s="29" t="str">
        <x:v>https://www.vgover.com/zh-tw/news/226267</x:v>
      </x:c>
    </x:row>
    <x:row r="89">
      <x:c r="A89" s="29" t="n">
        <x:v>86</x:v>
      </x:c>
      <x:c r="B89" s="29" t="str">
        <x:v>N4</x:v>
      </x:c>
      <x:c r="C89" s="29" t="str">
        <x:v>游戏风云</x:v>
      </x:c>
      <x:c r="D89" s="29" t="str">
        <x:v>N4-01</x:v>
      </x:c>
      <x:c r="E89" s="29" t="str">
        <x:v>世纪华通</x:v>
      </x:c>
      <x:c r="F89" s="30" t="str"/>
      <x:c r="G89" s="29" t="str">
        <x:v>游戏企业</x:v>
      </x:c>
      <x:c r="H89" s="29" t="n">
        <x:v>5</x:v>
      </x:c>
      <x:c r="I89" s="29" t="n">
        <x:v>5</x:v>
      </x:c>
      <x:c r="J89" s="29" t="n">
        <x:v>5</x:v>
      </x:c>
      <x:c r="K89" s="29" t="n">
        <x:v>2</x:v>
      </x:c>
      <x:c r="L89" s="31" t="n">
        <x:f>SUM(H89:K89)</x:f>
        <x:v>17</x:v>
      </x:c>
      <x:c r="M89" s="29" t="str">
        <x:f>IF(L89&gt;=16,"A-优先",IF(L89&gt;=12,"B-培育","C-观察"))</x:f>
        <x:v>A-优先</x:v>
      </x:c>
      <x:c r="N89" s="29" t="str">
        <x:v>游戏IP活动、电竞赛事、研发/发行团队落地、出海服务</x:v>
      </x:c>
      <x:c r="O89" s="29" t="str"/>
      <x:c r="P89" s="30" t="str"/>
      <x:c r="Q89" s="30" t="str"/>
      <x:c r="R89" s="30" t="str"/>
      <x:c r="S89" s="30" t="str"/>
      <x:c r="T89" s="30" t="str">
        <x:v>建议检索：世纪华通 官方 / 公众号 / 微博 / 小红书 / 视频号</x:v>
      </x:c>
      <x:c r="U89" s="30" t="str">
        <x:v>未联系</x:v>
      </x:c>
      <x:c r="V89" s="30" t="str"/>
      <x:c r="W89" s="29" t="str">
        <x:v>高</x:v>
      </x:c>
      <x:c r="X89" s="29" t="str">
        <x:v>https://www.vgover.com/zh-tw/news/226267</x:v>
      </x:c>
    </x:row>
    <x:row r="90">
      <x:c r="A90" s="29" t="n">
        <x:v>87</x:v>
      </x:c>
      <x:c r="B90" s="29" t="str">
        <x:v>N4</x:v>
      </x:c>
      <x:c r="C90" s="29" t="str">
        <x:v>游戏风云</x:v>
      </x:c>
      <x:c r="D90" s="29" t="str">
        <x:v>N4-02</x:v>
      </x:c>
      <x:c r="E90" s="29" t="str">
        <x:v>TCL</x:v>
      </x:c>
      <x:c r="F90" s="30" t="str"/>
      <x:c r="G90" s="29" t="str">
        <x:v>显示/消费电子</x:v>
      </x:c>
      <x:c r="H90" s="29" t="n">
        <x:v>5</x:v>
      </x:c>
      <x:c r="I90" s="29" t="n">
        <x:v>5</x:v>
      </x:c>
      <x:c r="J90" s="29" t="n">
        <x:v>3</x:v>
      </x:c>
      <x:c r="K90" s="29" t="n">
        <x:v>4</x:v>
      </x:c>
      <x:c r="L90" s="31" t="n">
        <x:f>SUM(H90:K90)</x:f>
        <x:v>17</x:v>
      </x:c>
      <x:c r="M90" s="29" t="str">
        <x:f>IF(L90&gt;=16,"A-优先",IF(L90&gt;=12,"B-培育","C-观察"))</x:f>
        <x:v>A-优先</x:v>
      </x:c>
      <x:c r="N90" s="29" t="str">
        <x:v>游戏IP活动、电竞赛事、研发/发行团队落地、出海服务</x:v>
      </x:c>
      <x:c r="O90" s="29" t="str"/>
      <x:c r="P90" s="30" t="str"/>
      <x:c r="Q90" s="30" t="str"/>
      <x:c r="R90" s="30" t="str"/>
      <x:c r="S90" s="30" t="str">
        <x:v>https://www.tcl.com/cn/</x:v>
      </x:c>
      <x:c r="T90" s="30" t="str">
        <x:v>TCL 官方网站/认证公众号/微博（招商前复核具体商务入口）</x:v>
      </x:c>
      <x:c r="U90" s="30" t="str">
        <x:v>未联系</x:v>
      </x:c>
      <x:c r="V90" s="30" t="str"/>
      <x:c r="W90" s="29" t="str">
        <x:v>高</x:v>
      </x:c>
      <x:c r="X90" s="29" t="str">
        <x:v>https://www.vgover.com/zh-tw/news/226267</x:v>
      </x:c>
    </x:row>
    <x:row r="91">
      <x:c r="A91" s="29" t="n">
        <x:v>88</x:v>
      </x:c>
      <x:c r="B91" s="29" t="str">
        <x:v>N4</x:v>
      </x:c>
      <x:c r="C91" s="29" t="str">
        <x:v>游戏风云</x:v>
      </x:c>
      <x:c r="D91" s="29" t="str">
        <x:v>N4-03</x:v>
      </x:c>
      <x:c r="E91" s="29" t="str">
        <x:v>腾讯游戏</x:v>
      </x:c>
      <x:c r="F91" s="30" t="str"/>
      <x:c r="G91" s="29" t="str">
        <x:v>游戏企业</x:v>
      </x:c>
      <x:c r="H91" s="29" t="n">
        <x:v>5</x:v>
      </x:c>
      <x:c r="I91" s="29" t="n">
        <x:v>5</x:v>
      </x:c>
      <x:c r="J91" s="29" t="n">
        <x:v>5</x:v>
      </x:c>
      <x:c r="K91" s="29" t="n">
        <x:v>4</x:v>
      </x:c>
      <x:c r="L91" s="31" t="n">
        <x:f>SUM(H91:K91)</x:f>
        <x:v>19</x:v>
      </x:c>
      <x:c r="M91" s="29" t="str">
        <x:f>IF(L91&gt;=16,"A-优先",IF(L91&gt;=12,"B-培育","C-观察"))</x:f>
        <x:v>A-优先</x:v>
      </x:c>
      <x:c r="N91" s="29" t="str">
        <x:v>游戏IP活动、电竞赛事、研发/发行团队落地、出海服务</x:v>
      </x:c>
      <x:c r="O91" s="29" t="str"/>
      <x:c r="P91" s="30" t="str"/>
      <x:c r="Q91" s="30" t="str"/>
      <x:c r="R91" s="30" t="str"/>
      <x:c r="S91" s="30" t="str">
        <x:v>https://game.qq.com/</x:v>
      </x:c>
      <x:c r="T91" s="30" t="str">
        <x:v>腾讯游戏 官方网站/认证公众号/微博（招商前复核具体商务入口）</x:v>
      </x:c>
      <x:c r="U91" s="30" t="str">
        <x:v>未联系</x:v>
      </x:c>
      <x:c r="V91" s="30" t="str"/>
      <x:c r="W91" s="29" t="str">
        <x:v>高</x:v>
      </x:c>
      <x:c r="X91" s="29" t="str">
        <x:v>https://www.vgover.com/zh-tw/news/226267</x:v>
      </x:c>
    </x:row>
    <x:row r="92">
      <x:c r="A92" s="29" t="n">
        <x:v>89</x:v>
      </x:c>
      <x:c r="B92" s="29" t="str">
        <x:v>N4</x:v>
      </x:c>
      <x:c r="C92" s="29" t="str">
        <x:v>游戏风云</x:v>
      </x:c>
      <x:c r="D92" s="29" t="str">
        <x:v>N4-05</x:v>
      </x:c>
      <x:c r="E92" s="29" t="str">
        <x:v>咪咕游戏</x:v>
      </x:c>
      <x:c r="F92" s="30" t="str"/>
      <x:c r="G92" s="29" t="str">
        <x:v>游戏平台/运营商</x:v>
      </x:c>
      <x:c r="H92" s="29" t="n">
        <x:v>4</x:v>
      </x:c>
      <x:c r="I92" s="29" t="n">
        <x:v>5</x:v>
      </x:c>
      <x:c r="J92" s="29" t="n">
        <x:v>5</x:v>
      </x:c>
      <x:c r="K92" s="29" t="n">
        <x:v>2</x:v>
      </x:c>
      <x:c r="L92" s="31" t="n">
        <x:f>SUM(H92:K92)</x:f>
        <x:v>16</x:v>
      </x:c>
      <x:c r="M92" s="29" t="str">
        <x:f>IF(L92&gt;=16,"A-优先",IF(L92&gt;=12,"B-培育","C-观察"))</x:f>
        <x:v>A-优先</x:v>
      </x:c>
      <x:c r="N92" s="29" t="str">
        <x:v>游戏IP活动、电竞赛事、研发/发行团队落地、出海服务</x:v>
      </x:c>
      <x:c r="O92" s="29" t="str"/>
      <x:c r="P92" s="30" t="str"/>
      <x:c r="Q92" s="30" t="str"/>
      <x:c r="R92" s="30" t="str"/>
      <x:c r="S92" s="30" t="str"/>
      <x:c r="T92" s="30" t="str">
        <x:v>建议检索：咪咕游戏 官方 / 公众号 / 微博 / 小红书 / 视频号</x:v>
      </x:c>
      <x:c r="U92" s="30" t="str">
        <x:v>未联系</x:v>
      </x:c>
      <x:c r="V92" s="30" t="str"/>
      <x:c r="W92" s="29" t="str">
        <x:v>高</x:v>
      </x:c>
      <x:c r="X92" s="29" t="str">
        <x:v>https://www.vgover.com/zh-tw/news/226267</x:v>
      </x:c>
    </x:row>
    <x:row r="93">
      <x:c r="A93" s="29" t="n">
        <x:v>90</x:v>
      </x:c>
      <x:c r="B93" s="29" t="str">
        <x:v>N4</x:v>
      </x:c>
      <x:c r="C93" s="29" t="str">
        <x:v>游戏风云</x:v>
      </x:c>
      <x:c r="D93" s="29" t="str">
        <x:v>N4-06</x:v>
      </x:c>
      <x:c r="E93" s="29" t="str">
        <x:v>抖音直播</x:v>
      </x:c>
      <x:c r="F93" s="30" t="str"/>
      <x:c r="G93" s="29" t="str">
        <x:v>直播平台</x:v>
      </x:c>
      <x:c r="H93" s="29" t="n">
        <x:v>4</x:v>
      </x:c>
      <x:c r="I93" s="29" t="n">
        <x:v>5</x:v>
      </x:c>
      <x:c r="J93" s="29" t="n">
        <x:v>5</x:v>
      </x:c>
      <x:c r="K93" s="29" t="n">
        <x:v>2</x:v>
      </x:c>
      <x:c r="L93" s="31" t="n">
        <x:f>SUM(H93:K93)</x:f>
        <x:v>16</x:v>
      </x:c>
      <x:c r="M93" s="29" t="str">
        <x:f>IF(L93&gt;=16,"A-优先",IF(L93&gt;=12,"B-培育","C-观察"))</x:f>
        <x:v>A-优先</x:v>
      </x:c>
      <x:c r="N93" s="29" t="str">
        <x:v>游戏IP活动、电竞赛事、研发/发行团队落地、出海服务</x:v>
      </x:c>
      <x:c r="O93" s="29" t="str"/>
      <x:c r="P93" s="30" t="str"/>
      <x:c r="Q93" s="30" t="str"/>
      <x:c r="R93" s="30" t="str"/>
      <x:c r="S93" s="30" t="str"/>
      <x:c r="T93" s="30" t="str">
        <x:v>建议检索：抖音直播 官方 / 公众号 / 微博 / 小红书 / 视频号</x:v>
      </x:c>
      <x:c r="U93" s="30" t="str">
        <x:v>未联系</x:v>
      </x:c>
      <x:c r="V93" s="30" t="str"/>
      <x:c r="W93" s="29" t="str">
        <x:v>高</x:v>
      </x:c>
      <x:c r="X93" s="29" t="str">
        <x:v>https://www.vgover.com/zh-tw/news/226267</x:v>
      </x:c>
    </x:row>
    <x:row r="94">
      <x:c r="A94" s="29" t="n">
        <x:v>91</x:v>
      </x:c>
      <x:c r="B94" s="29" t="str">
        <x:v>N4</x:v>
      </x:c>
      <x:c r="C94" s="29" t="str">
        <x:v>游戏风云</x:v>
      </x:c>
      <x:c r="D94" s="29" t="str">
        <x:v>N4-07</x:v>
      </x:c>
      <x:c r="E94" s="29" t="str">
        <x:v>抖音直播</x:v>
      </x:c>
      <x:c r="F94" s="30" t="str"/>
      <x:c r="G94" s="29" t="str">
        <x:v>直播平台</x:v>
      </x:c>
      <x:c r="H94" s="29" t="n">
        <x:v>4</x:v>
      </x:c>
      <x:c r="I94" s="29" t="n">
        <x:v>5</x:v>
      </x:c>
      <x:c r="J94" s="29" t="n">
        <x:v>5</x:v>
      </x:c>
      <x:c r="K94" s="29" t="n">
        <x:v>2</x:v>
      </x:c>
      <x:c r="L94" s="31" t="n">
        <x:f>SUM(H94:K94)</x:f>
        <x:v>16</x:v>
      </x:c>
      <x:c r="M94" s="29" t="str">
        <x:f>IF(L94&gt;=16,"A-优先",IF(L94&gt;=12,"B-培育","C-观察"))</x:f>
        <x:v>A-优先</x:v>
      </x:c>
      <x:c r="N94" s="29" t="str">
        <x:v>游戏IP活动、电竞赛事、研发/发行团队落地、出海服务</x:v>
      </x:c>
      <x:c r="O94" s="29" t="str"/>
      <x:c r="P94" s="30" t="str"/>
      <x:c r="Q94" s="30" t="str"/>
      <x:c r="R94" s="30" t="str"/>
      <x:c r="S94" s="30" t="str"/>
      <x:c r="T94" s="30" t="str">
        <x:v>建议检索：抖音直播 官方 / 公众号 / 微博 / 小红书 / 视频号</x:v>
      </x:c>
      <x:c r="U94" s="30" t="str">
        <x:v>未联系</x:v>
      </x:c>
      <x:c r="V94" s="30" t="str"/>
      <x:c r="W94" s="29" t="str">
        <x:v>高</x:v>
      </x:c>
      <x:c r="X94" s="29" t="str">
        <x:v>https://www.vgover.com/zh-tw/news/226267</x:v>
      </x:c>
    </x:row>
    <x:row r="95">
      <x:c r="A95" s="29" t="n">
        <x:v>92</x:v>
      </x:c>
      <x:c r="B95" s="29" t="str">
        <x:v>N4</x:v>
      </x:c>
      <x:c r="C95" s="29" t="str">
        <x:v>游戏风云</x:v>
      </x:c>
      <x:c r="D95" s="29" t="str">
        <x:v>N4-08</x:v>
      </x:c>
      <x:c r="E95" s="29" t="str">
        <x:v>ChinaJoy福利站</x:v>
      </x:c>
      <x:c r="F95" s="30" t="str"/>
      <x:c r="G95" s="29" t="str">
        <x:v>官方服务</x:v>
      </x:c>
      <x:c r="H95" s="29" t="n">
        <x:v>3</x:v>
      </x:c>
      <x:c r="I95" s="29" t="n">
        <x:v>5</x:v>
      </x:c>
      <x:c r="J95" s="29" t="n">
        <x:v>3</x:v>
      </x:c>
      <x:c r="K95" s="29" t="n">
        <x:v>2</x:v>
      </x:c>
      <x:c r="L95" s="31" t="n">
        <x:f>SUM(H95:K95)</x:f>
        <x:v>13</x:v>
      </x:c>
      <x:c r="M95" s="29" t="str">
        <x:f>IF(L95&gt;=16,"A-优先",IF(L95&gt;=12,"B-培育","C-观察"))</x:f>
        <x:v>B-培育</x:v>
      </x:c>
      <x:c r="N95" s="29" t="str">
        <x:v>游戏IP活动、电竞赛事、研发/发行团队落地、出海服务</x:v>
      </x:c>
      <x:c r="O95" s="29" t="str"/>
      <x:c r="P95" s="30" t="str"/>
      <x:c r="Q95" s="30" t="str"/>
      <x:c r="R95" s="30" t="str"/>
      <x:c r="S95" s="30" t="str"/>
      <x:c r="T95" s="30" t="str">
        <x:v>建议检索：ChinaJoy福利站 官方 / 公众号 / 微博 / 小红书 / 视频号</x:v>
      </x:c>
      <x:c r="U95" s="30" t="str">
        <x:v>未联系</x:v>
      </x:c>
      <x:c r="V95" s="30" t="str"/>
      <x:c r="W95" s="29" t="str">
        <x:v>高</x:v>
      </x:c>
      <x:c r="X95" s="29" t="str">
        <x:v>https://www.vgover.com/zh-tw/news/226267</x:v>
      </x:c>
    </x:row>
    <x:row r="96">
      <x:c r="A96" s="29" t="n">
        <x:v>93</x:v>
      </x:c>
      <x:c r="B96" s="29" t="str">
        <x:v>N5</x:v>
      </x:c>
      <x:c r="C96" s="29" t="str">
        <x:v>骁龙主题馆</x:v>
      </x:c>
      <x:c r="D96" s="29" t="str">
        <x:v>N5-01</x:v>
      </x:c>
      <x:c r="E96" s="29" t="str">
        <x:v>Snapdragon 骁龙</x:v>
      </x:c>
      <x:c r="F96" s="30" t="str"/>
      <x:c r="G96" s="29" t="str">
        <x:v>芯片/生态平台</x:v>
      </x:c>
      <x:c r="H96" s="29" t="n">
        <x:v>4</x:v>
      </x:c>
      <x:c r="I96" s="29" t="n">
        <x:v>5</x:v>
      </x:c>
      <x:c r="J96" s="29" t="n">
        <x:v>5</x:v>
      </x:c>
      <x:c r="K96" s="29" t="n">
        <x:v>4</x:v>
      </x:c>
      <x:c r="L96" s="31" t="n">
        <x:f>SUM(H96:K96)</x:f>
        <x:v>18</x:v>
      </x:c>
      <x:c r="M96" s="29" t="str">
        <x:f>IF(L96&gt;=16,"A-优先",IF(L96&gt;=12,"B-培育","C-观察"))</x:f>
        <x:v>A-优先</x:v>
      </x:c>
      <x:c r="N96" s="29" t="str">
        <x:v>AI终端与电竞体验中心、首发活动、渠道合作、供应链项目</x:v>
      </x:c>
      <x:c r="O96" s="29" t="str"/>
      <x:c r="P96" s="30" t="str"/>
      <x:c r="Q96" s="30" t="str"/>
      <x:c r="R96" s="30" t="str"/>
      <x:c r="S96" s="30" t="str">
        <x:v>https://www.qualcomm.cn/snapdragon</x:v>
      </x:c>
      <x:c r="T96" s="30" t="str">
        <x:v>Snapdragon 骁龙 官方网站/认证公众号/微博（招商前复核具体商务入口）</x:v>
      </x:c>
      <x:c r="U96" s="30" t="str">
        <x:v>未联系</x:v>
      </x:c>
      <x:c r="V96" s="30" t="str"/>
      <x:c r="W96" s="29" t="str">
        <x:v>高</x:v>
      </x:c>
      <x:c r="X96" s="29" t="str">
        <x:v>https://www.vgover.com/zh-tw/news/226267</x:v>
      </x:c>
    </x:row>
    <x:row r="97">
      <x:c r="A97" s="29" t="n">
        <x:v>94</x:v>
      </x:c>
      <x:c r="B97" s="29" t="str">
        <x:v>N5</x:v>
      </x:c>
      <x:c r="C97" s="29" t="str">
        <x:v>骁龙主题馆</x:v>
      </x:c>
      <x:c r="D97" s="29" t="str">
        <x:v>N5-02</x:v>
      </x:c>
      <x:c r="E97" s="29" t="str">
        <x:v>小米</x:v>
      </x:c>
      <x:c r="F97" s="30" t="str"/>
      <x:c r="G97" s="29" t="str">
        <x:v>手机/消费电子</x:v>
      </x:c>
      <x:c r="H97" s="29" t="n">
        <x:v>5</x:v>
      </x:c>
      <x:c r="I97" s="29" t="n">
        <x:v>5</x:v>
      </x:c>
      <x:c r="J97" s="29" t="n">
        <x:v>5</x:v>
      </x:c>
      <x:c r="K97" s="29" t="n">
        <x:v>4</x:v>
      </x:c>
      <x:c r="L97" s="31" t="n">
        <x:f>SUM(H97:K97)</x:f>
        <x:v>19</x:v>
      </x:c>
      <x:c r="M97" s="29" t="str">
        <x:f>IF(L97&gt;=16,"A-优先",IF(L97&gt;=12,"B-培育","C-观察"))</x:f>
        <x:v>A-优先</x:v>
      </x:c>
      <x:c r="N97" s="29" t="str">
        <x:v>AI终端与电竞体验中心、首发活动、渠道合作、供应链项目</x:v>
      </x:c>
      <x:c r="O97" s="29" t="str"/>
      <x:c r="P97" s="30" t="str"/>
      <x:c r="Q97" s="30" t="str"/>
      <x:c r="R97" s="30" t="str"/>
      <x:c r="S97" s="30" t="str">
        <x:v>https://www.mi.com/</x:v>
      </x:c>
      <x:c r="T97" s="30" t="str">
        <x:v>小米 官方网站/认证公众号/微博（招商前复核具体商务入口）</x:v>
      </x:c>
      <x:c r="U97" s="30" t="str">
        <x:v>未联系</x:v>
      </x:c>
      <x:c r="V97" s="30" t="str"/>
      <x:c r="W97" s="29" t="str">
        <x:v>高</x:v>
      </x:c>
      <x:c r="X97" s="29" t="str">
        <x:v>https://www.vgover.com/zh-tw/news/226267</x:v>
      </x:c>
    </x:row>
    <x:row r="98">
      <x:c r="A98" s="29" t="n">
        <x:v>95</x:v>
      </x:c>
      <x:c r="B98" s="29" t="str">
        <x:v>N5</x:v>
      </x:c>
      <x:c r="C98" s="29" t="str">
        <x:v>骁龙主题馆</x:v>
      </x:c>
      <x:c r="D98" s="29" t="str">
        <x:v>N5-03</x:v>
      </x:c>
      <x:c r="E98" s="29" t="str">
        <x:v>一加手机</x:v>
      </x:c>
      <x:c r="F98" s="30" t="str"/>
      <x:c r="G98" s="29" t="str">
        <x:v>手机</x:v>
      </x:c>
      <x:c r="H98" s="29" t="n">
        <x:v>3</x:v>
      </x:c>
      <x:c r="I98" s="29" t="n">
        <x:v>5</x:v>
      </x:c>
      <x:c r="J98" s="29" t="n">
        <x:v>5</x:v>
      </x:c>
      <x:c r="K98" s="29" t="n">
        <x:v>4</x:v>
      </x:c>
      <x:c r="L98" s="31" t="n">
        <x:f>SUM(H98:K98)</x:f>
        <x:v>17</x:v>
      </x:c>
      <x:c r="M98" s="29" t="str">
        <x:f>IF(L98&gt;=16,"A-优先",IF(L98&gt;=12,"B-培育","C-观察"))</x:f>
        <x:v>A-优先</x:v>
      </x:c>
      <x:c r="N98" s="29" t="str">
        <x:v>AI终端与电竞体验中心、首发活动、渠道合作、供应链项目</x:v>
      </x:c>
      <x:c r="O98" s="29" t="str"/>
      <x:c r="P98" s="30" t="str"/>
      <x:c r="Q98" s="30" t="str"/>
      <x:c r="R98" s="30" t="str"/>
      <x:c r="S98" s="30" t="str">
        <x:v>https://www.oneplus.com/cn</x:v>
      </x:c>
      <x:c r="T98" s="30" t="str">
        <x:v>一加手机 官方网站/认证公众号/微博（招商前复核具体商务入口）</x:v>
      </x:c>
      <x:c r="U98" s="30" t="str">
        <x:v>未联系</x:v>
      </x:c>
      <x:c r="V98" s="30" t="str"/>
      <x:c r="W98" s="29" t="str">
        <x:v>高</x:v>
      </x:c>
      <x:c r="X98" s="29" t="str">
        <x:v>https://www.vgover.com/zh-tw/news/226267</x:v>
      </x:c>
    </x:row>
    <x:row r="99">
      <x:c r="A99" s="29" t="n">
        <x:v>96</x:v>
      </x:c>
      <x:c r="B99" s="29" t="str">
        <x:v>N5</x:v>
      </x:c>
      <x:c r="C99" s="29" t="str">
        <x:v>骁龙主题馆</x:v>
      </x:c>
      <x:c r="D99" s="29" t="str">
        <x:v>N5-04</x:v>
      </x:c>
      <x:c r="E99" s="29" t="str">
        <x:v>中国联通</x:v>
      </x:c>
      <x:c r="F99" s="30" t="str"/>
      <x:c r="G99" s="29" t="str">
        <x:v>运营商</x:v>
      </x:c>
      <x:c r="H99" s="29" t="n">
        <x:v>4</x:v>
      </x:c>
      <x:c r="I99" s="29" t="n">
        <x:v>5</x:v>
      </x:c>
      <x:c r="J99" s="29" t="n">
        <x:v>3</x:v>
      </x:c>
      <x:c r="K99" s="29" t="n">
        <x:v>4</x:v>
      </x:c>
      <x:c r="L99" s="31" t="n">
        <x:f>SUM(H99:K99)</x:f>
        <x:v>16</x:v>
      </x:c>
      <x:c r="M99" s="29" t="str">
        <x:f>IF(L99&gt;=16,"A-优先",IF(L99&gt;=12,"B-培育","C-观察"))</x:f>
        <x:v>A-优先</x:v>
      </x:c>
      <x:c r="N99" s="29" t="str">
        <x:v>AI终端与电竞体验中心、首发活动、渠道合作、供应链项目</x:v>
      </x:c>
      <x:c r="O99" s="29" t="str"/>
      <x:c r="P99" s="30" t="str"/>
      <x:c r="Q99" s="30" t="str"/>
      <x:c r="R99" s="30" t="str"/>
      <x:c r="S99" s="30" t="str">
        <x:v>https://www.chinaunicom.com.cn/</x:v>
      </x:c>
      <x:c r="T99" s="30" t="str">
        <x:v>中国联通 官方网站/认证公众号/微博（招商前复核具体商务入口）</x:v>
      </x:c>
      <x:c r="U99" s="30" t="str">
        <x:v>未联系</x:v>
      </x:c>
      <x:c r="V99" s="30" t="str"/>
      <x:c r="W99" s="29" t="str">
        <x:v>高</x:v>
      </x:c>
      <x:c r="X99" s="29" t="str">
        <x:v>https://www.vgover.com/zh-tw/news/226267</x:v>
      </x:c>
    </x:row>
    <x:row r="100">
      <x:c r="A100" s="29" t="n">
        <x:v>97</x:v>
      </x:c>
      <x:c r="B100" s="29" t="str">
        <x:v>N5</x:v>
      </x:c>
      <x:c r="C100" s="29" t="str">
        <x:v>骁龙主题馆</x:v>
      </x:c>
      <x:c r="D100" s="29" t="str">
        <x:v>N5-05</x:v>
      </x:c>
      <x:c r="E100" s="29" t="str">
        <x:v>京东</x:v>
      </x:c>
      <x:c r="F100" s="30" t="str"/>
      <x:c r="G100" s="29" t="str">
        <x:v>电商平台</x:v>
      </x:c>
      <x:c r="H100" s="29" t="n">
        <x:v>4</x:v>
      </x:c>
      <x:c r="I100" s="29" t="n">
        <x:v>5</x:v>
      </x:c>
      <x:c r="J100" s="29" t="n">
        <x:v>5</x:v>
      </x:c>
      <x:c r="K100" s="29" t="n">
        <x:v>4</x:v>
      </x:c>
      <x:c r="L100" s="31" t="n">
        <x:f>SUM(H100:K100)</x:f>
        <x:v>18</x:v>
      </x:c>
      <x:c r="M100" s="29" t="str">
        <x:f>IF(L100&gt;=16,"A-优先",IF(L100&gt;=12,"B-培育","C-观察"))</x:f>
        <x:v>A-优先</x:v>
      </x:c>
      <x:c r="N100" s="29" t="str">
        <x:v>AI终端与电竞体验中心、首发活动、渠道合作、供应链项目</x:v>
      </x:c>
      <x:c r="O100" s="29" t="str"/>
      <x:c r="P100" s="30" t="str"/>
      <x:c r="Q100" s="30" t="str"/>
      <x:c r="R100" s="30" t="str"/>
      <x:c r="S100" s="30" t="str">
        <x:v>https://www.jd.com/</x:v>
      </x:c>
      <x:c r="T100" s="30" t="str">
        <x:v>京东 官方网站/认证公众号/微博（招商前复核具体商务入口）</x:v>
      </x:c>
      <x:c r="U100" s="30" t="str">
        <x:v>未联系</x:v>
      </x:c>
      <x:c r="V100" s="30" t="str"/>
      <x:c r="W100" s="29" t="str">
        <x:v>高</x:v>
      </x:c>
      <x:c r="X100" s="29" t="str">
        <x:v>https://www.vgover.com/zh-tw/news/226267</x:v>
      </x:c>
    </x:row>
    <x:row r="101">
      <x:c r="A101" s="29" t="n">
        <x:v>98</x:v>
      </x:c>
      <x:c r="B101" s="29" t="str">
        <x:v>N5</x:v>
      </x:c>
      <x:c r="C101" s="29" t="str">
        <x:v>骁龙主题馆</x:v>
      </x:c>
      <x:c r="D101" s="29" t="str">
        <x:v>N5-06</x:v>
      </x:c>
      <x:c r="E101" s="29" t="str">
        <x:v>iQOO</x:v>
      </x:c>
      <x:c r="F101" s="30" t="str"/>
      <x:c r="G101" s="29" t="str">
        <x:v>手机/电竞</x:v>
      </x:c>
      <x:c r="H101" s="29" t="n">
        <x:v>3</x:v>
      </x:c>
      <x:c r="I101" s="29" t="n">
        <x:v>5</x:v>
      </x:c>
      <x:c r="J101" s="29" t="n">
        <x:v>5</x:v>
      </x:c>
      <x:c r="K101" s="29" t="n">
        <x:v>4</x:v>
      </x:c>
      <x:c r="L101" s="31" t="n">
        <x:f>SUM(H101:K101)</x:f>
        <x:v>17</x:v>
      </x:c>
      <x:c r="M101" s="29" t="str">
        <x:f>IF(L101&gt;=16,"A-优先",IF(L101&gt;=12,"B-培育","C-观察"))</x:f>
        <x:v>A-优先</x:v>
      </x:c>
      <x:c r="N101" s="29" t="str">
        <x:v>AI终端与电竞体验中心、首发活动、渠道合作、供应链项目</x:v>
      </x:c>
      <x:c r="O101" s="29" t="str"/>
      <x:c r="P101" s="30" t="str"/>
      <x:c r="Q101" s="30" t="str"/>
      <x:c r="R101" s="30" t="str"/>
      <x:c r="S101" s="30" t="str">
        <x:v>https://www.iqoo.com/</x:v>
      </x:c>
      <x:c r="T101" s="30" t="str">
        <x:v>iQOO 官方网站/认证公众号/微博（招商前复核具体商务入口）</x:v>
      </x:c>
      <x:c r="U101" s="30" t="str">
        <x:v>未联系</x:v>
      </x:c>
      <x:c r="V101" s="30" t="str"/>
      <x:c r="W101" s="29" t="str">
        <x:v>高</x:v>
      </x:c>
      <x:c r="X101" s="29" t="str">
        <x:v>https://www.vgover.com/zh-tw/news/226267</x:v>
      </x:c>
    </x:row>
    <x:row r="102">
      <x:c r="A102" s="29" t="n">
        <x:v>99</x:v>
      </x:c>
      <x:c r="B102" s="29" t="str">
        <x:v>N5</x:v>
      </x:c>
      <x:c r="C102" s="29" t="str">
        <x:v>骁龙主题馆</x:v>
      </x:c>
      <x:c r="D102" s="29" t="str">
        <x:v>N5-07</x:v>
      </x:c>
      <x:c r="E102" s="29" t="str">
        <x:v>HONOR 荣耀</x:v>
      </x:c>
      <x:c r="F102" s="30" t="str"/>
      <x:c r="G102" s="29" t="str">
        <x:v>手机/消费电子</x:v>
      </x:c>
      <x:c r="H102" s="29" t="n">
        <x:v>5</x:v>
      </x:c>
      <x:c r="I102" s="29" t="n">
        <x:v>5</x:v>
      </x:c>
      <x:c r="J102" s="29" t="n">
        <x:v>5</x:v>
      </x:c>
      <x:c r="K102" s="29" t="n">
        <x:v>4</x:v>
      </x:c>
      <x:c r="L102" s="31" t="n">
        <x:f>SUM(H102:K102)</x:f>
        <x:v>19</x:v>
      </x:c>
      <x:c r="M102" s="29" t="str">
        <x:f>IF(L102&gt;=16,"A-优先",IF(L102&gt;=12,"B-培育","C-观察"))</x:f>
        <x:v>A-优先</x:v>
      </x:c>
      <x:c r="N102" s="29" t="str">
        <x:v>AI终端与电竞体验中心、首发活动、渠道合作、供应链项目</x:v>
      </x:c>
      <x:c r="O102" s="29" t="str"/>
      <x:c r="P102" s="30" t="str"/>
      <x:c r="Q102" s="30" t="str"/>
      <x:c r="R102" s="30" t="str"/>
      <x:c r="S102" s="30" t="str">
        <x:v>https://www.honor.com/cn/</x:v>
      </x:c>
      <x:c r="T102" s="30" t="str">
        <x:v>HONOR 荣耀 官方网站/认证公众号/微博（招商前复核具体商务入口）</x:v>
      </x:c>
      <x:c r="U102" s="30" t="str">
        <x:v>未联系</x:v>
      </x:c>
      <x:c r="V102" s="30" t="str"/>
      <x:c r="W102" s="29" t="str">
        <x:v>高</x:v>
      </x:c>
      <x:c r="X102" s="29" t="str">
        <x:v>https://www.vgover.com/zh-tw/news/226267</x:v>
      </x:c>
    </x:row>
    <x:row r="103">
      <x:c r="A103" s="29" t="n">
        <x:v>100</x:v>
      </x:c>
      <x:c r="B103" s="29" t="str">
        <x:v>N5</x:v>
      </x:c>
      <x:c r="C103" s="29" t="str">
        <x:v>骁龙主题馆</x:v>
      </x:c>
      <x:c r="D103" s="29" t="str">
        <x:v>N5-08</x:v>
      </x:c>
      <x:c r="E103" s="29" t="str">
        <x:v>红魔</x:v>
      </x:c>
      <x:c r="F103" s="30" t="str"/>
      <x:c r="G103" s="29" t="str">
        <x:v>电竞手机</x:v>
      </x:c>
      <x:c r="H103" s="29" t="n">
        <x:v>3</x:v>
      </x:c>
      <x:c r="I103" s="29" t="n">
        <x:v>5</x:v>
      </x:c>
      <x:c r="J103" s="29" t="n">
        <x:v>5</x:v>
      </x:c>
      <x:c r="K103" s="29" t="n">
        <x:v>4</x:v>
      </x:c>
      <x:c r="L103" s="31" t="n">
        <x:f>SUM(H103:K103)</x:f>
        <x:v>17</x:v>
      </x:c>
      <x:c r="M103" s="29" t="str">
        <x:f>IF(L103&gt;=16,"A-优先",IF(L103&gt;=12,"B-培育","C-观察"))</x:f>
        <x:v>A-优先</x:v>
      </x:c>
      <x:c r="N103" s="29" t="str">
        <x:v>AI终端与电竞体验中心、首发活动、渠道合作、供应链项目</x:v>
      </x:c>
      <x:c r="O103" s="29" t="str"/>
      <x:c r="P103" s="30" t="str"/>
      <x:c r="Q103" s="30" t="str"/>
      <x:c r="R103" s="30" t="str"/>
      <x:c r="S103" s="30" t="str">
        <x:v>https://www.redmagic.com/</x:v>
      </x:c>
      <x:c r="T103" s="30" t="str">
        <x:v>红魔 官方网站/认证公众号/微博（招商前复核具体商务入口）</x:v>
      </x:c>
      <x:c r="U103" s="30" t="str">
        <x:v>未联系</x:v>
      </x:c>
      <x:c r="V103" s="30" t="str"/>
      <x:c r="W103" s="29" t="str">
        <x:v>高</x:v>
      </x:c>
      <x:c r="X103" s="29" t="str">
        <x:v>https://www.vgover.com/zh-tw/news/226267</x:v>
      </x:c>
    </x:row>
    <x:row r="104">
      <x:c r="A104" s="29" t="n">
        <x:v>101</x:v>
      </x:c>
      <x:c r="B104" s="29" t="str">
        <x:v>N5</x:v>
      </x:c>
      <x:c r="C104" s="29" t="str">
        <x:v>骁龙主题馆</x:v>
      </x:c>
      <x:c r="D104" s="29" t="str">
        <x:v>N5-09</x:v>
      </x:c>
      <x:c r="E104" s="29" t="str">
        <x:v>nubia 努比亚</x:v>
      </x:c>
      <x:c r="F104" s="30" t="str"/>
      <x:c r="G104" s="29" t="str">
        <x:v>手机</x:v>
      </x:c>
      <x:c r="H104" s="29" t="n">
        <x:v>3</x:v>
      </x:c>
      <x:c r="I104" s="29" t="n">
        <x:v>5</x:v>
      </x:c>
      <x:c r="J104" s="29" t="n">
        <x:v>5</x:v>
      </x:c>
      <x:c r="K104" s="29" t="n">
        <x:v>4</x:v>
      </x:c>
      <x:c r="L104" s="31" t="n">
        <x:f>SUM(H104:K104)</x:f>
        <x:v>17</x:v>
      </x:c>
      <x:c r="M104" s="29" t="str">
        <x:f>IF(L104&gt;=16,"A-优先",IF(L104&gt;=12,"B-培育","C-观察"))</x:f>
        <x:v>A-优先</x:v>
      </x:c>
      <x:c r="N104" s="29" t="str">
        <x:v>AI终端与电竞体验中心、首发活动、渠道合作、供应链项目</x:v>
      </x:c>
      <x:c r="O104" s="29" t="str"/>
      <x:c r="P104" s="30" t="str"/>
      <x:c r="Q104" s="30" t="str"/>
      <x:c r="R104" s="30" t="str"/>
      <x:c r="S104" s="30" t="str">
        <x:v>https://www.nubia.com/</x:v>
      </x:c>
      <x:c r="T104" s="30" t="str">
        <x:v>nubia 努比亚 官方网站/认证公众号/微博（招商前复核具体商务入口）</x:v>
      </x:c>
      <x:c r="U104" s="30" t="str">
        <x:v>未联系</x:v>
      </x:c>
      <x:c r="V104" s="30" t="str"/>
      <x:c r="W104" s="29" t="str">
        <x:v>高</x:v>
      </x:c>
      <x:c r="X104" s="29" t="str">
        <x:v>https://www.vgover.com/zh-tw/news/226267</x:v>
      </x:c>
    </x:row>
    <x:row r="105">
      <x:c r="A105" s="29" t="n">
        <x:v>102</x:v>
      </x:c>
      <x:c r="B105" s="29" t="str">
        <x:v>E3</x:v>
      </x:c>
      <x:c r="C105" s="29" t="str">
        <x:v>甜次元</x:v>
      </x:c>
      <x:c r="D105" s="29" t="str">
        <x:v>CA101</x:v>
      </x:c>
      <x:c r="E105" s="29" t="str">
        <x:v>ChinaJoy甜次元主题区</x:v>
      </x:c>
      <x:c r="F105" s="30" t="str"/>
      <x:c r="G105" s="29" t="str">
        <x:v>主题展区</x:v>
      </x:c>
      <x:c r="H105" s="29" t="n">
        <x:v>3</x:v>
      </x:c>
      <x:c r="I105" s="29" t="n">
        <x:v>3</x:v>
      </x:c>
      <x:c r="J105" s="29" t="n">
        <x:v>3</x:v>
      </x:c>
      <x:c r="K105" s="29" t="n">
        <x:v>2</x:v>
      </x:c>
      <x:c r="L105" s="31" t="n">
        <x:f>SUM(H105:K105)</x:f>
        <x:v>11</x:v>
      </x:c>
      <x:c r="M105" s="29" t="str">
        <x:f>IF(L105&gt;=16,"A-优先",IF(L105&gt;=12,"B-培育","C-观察"))</x:f>
        <x:v>C-观察</x:v>
      </x:c>
      <x:c r="N105" s="29" t="str">
        <x:v>年轻化品牌联名、城市消费活动、商业体快闪与文旅导流</x:v>
      </x:c>
      <x:c r="O105" s="29" t="str"/>
      <x:c r="P105" s="30" t="str"/>
      <x:c r="Q105" s="30" t="str"/>
      <x:c r="R105" s="30" t="str"/>
      <x:c r="S105" s="30" t="str"/>
      <x:c r="T105" s="30" t="str">
        <x:v>建议检索：ChinaJoy甜次元主题区 官方 / 公众号 / 微博 / 小红书 / 视频号</x:v>
      </x:c>
      <x:c r="U105" s="30" t="str">
        <x:v>未联系</x:v>
      </x:c>
      <x:c r="V105" s="30" t="str"/>
      <x:c r="W105" s="29" t="str">
        <x:v>高</x:v>
      </x:c>
      <x:c r="X105" s="29" t="str">
        <x:v>https://www.vgover.com/zh-tw/news/226267</x:v>
      </x:c>
    </x:row>
    <x:row r="106">
      <x:c r="A106" s="29" t="n">
        <x:v>103</x:v>
      </x:c>
      <x:c r="B106" s="29" t="str">
        <x:v>E3</x:v>
      </x:c>
      <x:c r="C106" s="29" t="str">
        <x:v>甜次元</x:v>
      </x:c>
      <x:c r="D106" s="29" t="str">
        <x:v>待核</x:v>
      </x:c>
      <x:c r="E106" s="29" t="str">
        <x:v>京东美妆</x:v>
      </x:c>
      <x:c r="F106" s="30" t="str"/>
      <x:c r="G106" s="29" t="str">
        <x:v>美妆/电商</x:v>
      </x:c>
      <x:c r="H106" s="29" t="n">
        <x:v>4</x:v>
      </x:c>
      <x:c r="I106" s="29" t="n">
        <x:v>3</x:v>
      </x:c>
      <x:c r="J106" s="29" t="n">
        <x:v>4</x:v>
      </x:c>
      <x:c r="K106" s="29" t="n">
        <x:v>2</x:v>
      </x:c>
      <x:c r="L106" s="31" t="n">
        <x:f>SUM(H106:K106)</x:f>
        <x:v>13</x:v>
      </x:c>
      <x:c r="M106" s="29" t="str">
        <x:f>IF(L106&gt;=16,"A-优先",IF(L106&gt;=12,"B-培育","C-观察"))</x:f>
        <x:v>B-培育</x:v>
      </x:c>
      <x:c r="N106" s="29" t="str">
        <x:v>年轻化品牌联名、城市消费活动、商业体快闪与文旅导流</x:v>
      </x:c>
      <x:c r="O106" s="29" t="str">
        <x:v>ChinaJoy美妆战略合作伙伴</x:v>
      </x:c>
      <x:c r="P106" s="30" t="str"/>
      <x:c r="Q106" s="30" t="str"/>
      <x:c r="R106" s="30" t="str"/>
      <x:c r="S106" s="30" t="str"/>
      <x:c r="T106" s="30" t="str">
        <x:v>建议检索：京东美妆 官方 / 公众号 / 微博 / 小红书 / 视频号</x:v>
      </x:c>
      <x:c r="U106" s="30" t="str">
        <x:v>未联系</x:v>
      </x:c>
      <x:c r="V106" s="30" t="str"/>
      <x:c r="W106" s="29" t="str">
        <x:v>高</x:v>
      </x:c>
      <x:c r="X106" s="29" t="str">
        <x:v>https://btb.chinajoy.net/news/63876</x:v>
      </x:c>
    </x:row>
    <x:row r="107">
      <x:c r="A107" s="29" t="n">
        <x:v>104</x:v>
      </x:c>
      <x:c r="B107" s="29" t="str">
        <x:v>E3</x:v>
      </x:c>
      <x:c r="C107" s="29" t="str">
        <x:v>甜次元</x:v>
      </x:c>
      <x:c r="D107" s="29" t="str">
        <x:v>待核</x:v>
      </x:c>
      <x:c r="E107" s="29" t="str">
        <x:v>美加净</x:v>
      </x:c>
      <x:c r="F107" s="30" t="str"/>
      <x:c r="G107" s="29" t="str">
        <x:v>国货/个护</x:v>
      </x:c>
      <x:c r="H107" s="29" t="n">
        <x:v>3</x:v>
      </x:c>
      <x:c r="I107" s="29" t="n">
        <x:v>3</x:v>
      </x:c>
      <x:c r="J107" s="29" t="n">
        <x:v>3</x:v>
      </x:c>
      <x:c r="K107" s="29" t="n">
        <x:v>2</x:v>
      </x:c>
      <x:c r="L107" s="31" t="n">
        <x:f>SUM(H107:K107)</x:f>
        <x:v>11</x:v>
      </x:c>
      <x:c r="M107" s="29" t="str">
        <x:f>IF(L107&gt;=16,"A-优先",IF(L107&gt;=12,"B-培育","C-观察"))</x:f>
        <x:v>C-观察</x:v>
      </x:c>
      <x:c r="N107" s="29" t="str">
        <x:v>年轻化品牌联名、城市消费活动、商业体快闪与文旅导流</x:v>
      </x:c>
      <x:c r="O107" s="29" t="str">
        <x:v>上海知名品牌展区</x:v>
      </x:c>
      <x:c r="P107" s="30" t="str"/>
      <x:c r="Q107" s="30" t="str"/>
      <x:c r="R107" s="30" t="str"/>
      <x:c r="S107" s="30" t="str"/>
      <x:c r="T107" s="30" t="str">
        <x:v>建议检索：美加净 官方 / 公众号 / 微博 / 小红书 / 视频号</x:v>
      </x:c>
      <x:c r="U107" s="30" t="str">
        <x:v>未联系</x:v>
      </x:c>
      <x:c r="V107" s="30" t="str"/>
      <x:c r="W107" s="29" t="str">
        <x:v>高</x:v>
      </x:c>
      <x:c r="X107" s="29" t="str">
        <x:v>https://btb.chinajoy.net/news/63876</x:v>
      </x:c>
    </x:row>
    <x:row r="108">
      <x:c r="A108" s="29" t="n">
        <x:v>105</x:v>
      </x:c>
      <x:c r="B108" s="29" t="str">
        <x:v>E3</x:v>
      </x:c>
      <x:c r="C108" s="29" t="str">
        <x:v>甜次元</x:v>
      </x:c>
      <x:c r="D108" s="29" t="str">
        <x:v>待核</x:v>
      </x:c>
      <x:c r="E108" s="29" t="str">
        <x:v>雷允上</x:v>
      </x:c>
      <x:c r="F108" s="30" t="str"/>
      <x:c r="G108" s="29" t="str">
        <x:v>老字号/健康</x:v>
      </x:c>
      <x:c r="H108" s="29" t="n">
        <x:v>3</x:v>
      </x:c>
      <x:c r="I108" s="29" t="n">
        <x:v>3</x:v>
      </x:c>
      <x:c r="J108" s="29" t="n">
        <x:v>3</x:v>
      </x:c>
      <x:c r="K108" s="29" t="n">
        <x:v>2</x:v>
      </x:c>
      <x:c r="L108" s="31" t="n">
        <x:f>SUM(H108:K108)</x:f>
        <x:v>11</x:v>
      </x:c>
      <x:c r="M108" s="29" t="str">
        <x:f>IF(L108&gt;=16,"A-优先",IF(L108&gt;=12,"B-培育","C-观察"))</x:f>
        <x:v>C-观察</x:v>
      </x:c>
      <x:c r="N108" s="29" t="str">
        <x:v>年轻化品牌联名、城市消费活动、商业体快闪与文旅导流</x:v>
      </x:c>
      <x:c r="O108" s="29" t="str">
        <x:v>上海知名品牌展区</x:v>
      </x:c>
      <x:c r="P108" s="30" t="str"/>
      <x:c r="Q108" s="30" t="str"/>
      <x:c r="R108" s="30" t="str"/>
      <x:c r="S108" s="30" t="str"/>
      <x:c r="T108" s="30" t="str">
        <x:v>建议检索：雷允上 官方 / 公众号 / 微博 / 小红书 / 视频号</x:v>
      </x:c>
      <x:c r="U108" s="30" t="str">
        <x:v>未联系</x:v>
      </x:c>
      <x:c r="V108" s="30" t="str"/>
      <x:c r="W108" s="29" t="str">
        <x:v>高</x:v>
      </x:c>
      <x:c r="X108" s="29" t="str">
        <x:v>https://btb.chinajoy.net/news/63876</x:v>
      </x:c>
    </x:row>
    <x:row r="109">
      <x:c r="A109" s="29" t="n">
        <x:v>106</x:v>
      </x:c>
      <x:c r="B109" s="29" t="str">
        <x:v>E3</x:v>
      </x:c>
      <x:c r="C109" s="29" t="str">
        <x:v>甜次元</x:v>
      </x:c>
      <x:c r="D109" s="29" t="str">
        <x:v>待核</x:v>
      </x:c>
      <x:c r="E109" s="29" t="str">
        <x:v>老凤祥</x:v>
      </x:c>
      <x:c r="F109" s="30" t="str"/>
      <x:c r="G109" s="29" t="str">
        <x:v>老字号/珠宝</x:v>
      </x:c>
      <x:c r="H109" s="29" t="n">
        <x:v>3</x:v>
      </x:c>
      <x:c r="I109" s="29" t="n">
        <x:v>3</x:v>
      </x:c>
      <x:c r="J109" s="29" t="n">
        <x:v>3</x:v>
      </x:c>
      <x:c r="K109" s="29" t="n">
        <x:v>2</x:v>
      </x:c>
      <x:c r="L109" s="31" t="n">
        <x:f>SUM(H109:K109)</x:f>
        <x:v>11</x:v>
      </x:c>
      <x:c r="M109" s="29" t="str">
        <x:f>IF(L109&gt;=16,"A-优先",IF(L109&gt;=12,"B-培育","C-观察"))</x:f>
        <x:v>C-观察</x:v>
      </x:c>
      <x:c r="N109" s="29" t="str">
        <x:v>年轻化品牌联名、城市消费活动、商业体快闪与文旅导流</x:v>
      </x:c>
      <x:c r="O109" s="29" t="str">
        <x:v>跨次元/联名潜力</x:v>
      </x:c>
      <x:c r="P109" s="30" t="str"/>
      <x:c r="Q109" s="30" t="str"/>
      <x:c r="R109" s="30" t="str"/>
      <x:c r="S109" s="30" t="str"/>
      <x:c r="T109" s="30" t="str">
        <x:v>建议检索：老凤祥 官方 / 公众号 / 微博 / 小红书 / 视频号</x:v>
      </x:c>
      <x:c r="U109" s="30" t="str">
        <x:v>未联系</x:v>
      </x:c>
      <x:c r="V109" s="30" t="str"/>
      <x:c r="W109" s="29" t="str">
        <x:v>高</x:v>
      </x:c>
      <x:c r="X109" s="29" t="str">
        <x:v>https://btb.chinajoy.net/news/63876</x:v>
      </x:c>
    </x:row>
    <x:row r="110">
      <x:c r="A110" s="29" t="n">
        <x:v>107</x:v>
      </x:c>
      <x:c r="B110" s="29" t="str">
        <x:v>E3</x:v>
      </x:c>
      <x:c r="C110" s="29" t="str">
        <x:v>潮流生活</x:v>
      </x:c>
      <x:c r="D110" s="29" t="str">
        <x:v>CA202</x:v>
      </x:c>
      <x:c r="E110" s="29" t="str">
        <x:v>汉印</x:v>
      </x:c>
      <x:c r="F110" s="30" t="str"/>
      <x:c r="G110" s="29" t="str">
        <x:v>影像打印/智能生活</x:v>
      </x:c>
      <x:c r="H110" s="29" t="n">
        <x:v>4</x:v>
      </x:c>
      <x:c r="I110" s="29" t="n">
        <x:v>4</x:v>
      </x:c>
      <x:c r="J110" s="29" t="n">
        <x:v>5</x:v>
      </x:c>
      <x:c r="K110" s="29" t="n">
        <x:v>2</x:v>
      </x:c>
      <x:c r="L110" s="31" t="n">
        <x:f>SUM(H110:K110)</x:f>
        <x:v>15</x:v>
      </x:c>
      <x:c r="M110" s="29" t="str">
        <x:f>IF(L110&gt;=16,"A-优先",IF(L110&gt;=12,"B-培育","C-观察"))</x:f>
        <x:v>B-培育</x:v>
      </x:c>
      <x:c r="N110" s="29" t="str">
        <x:v>年轻化品牌联名、城市消费活动、商业体快闪与文旅导流</x:v>
      </x:c>
      <x:c r="O110" s="29" t="str">
        <x:v>现场打印体验</x:v>
      </x:c>
      <x:c r="P110" s="30" t="str"/>
      <x:c r="Q110" s="30" t="str"/>
      <x:c r="R110" s="30" t="str"/>
      <x:c r="S110" s="30" t="str"/>
      <x:c r="T110" s="30" t="str">
        <x:v>建议检索：汉印 官方 / 公众号 / 微博 / 小红书 / 视频号</x:v>
      </x:c>
      <x:c r="U110" s="30" t="str">
        <x:v>未联系</x:v>
      </x:c>
      <x:c r="V110" s="30" t="str"/>
      <x:c r="W110" s="29" t="str">
        <x:v>高</x:v>
      </x:c>
      <x:c r="X110" s="29" t="str">
        <x:v>https://btb.chinajoy.net/news/63935</x:v>
      </x:c>
    </x:row>
    <x:row r="111">
      <x:c r="A111" s="29" t="n">
        <x:v>108</x:v>
      </x:c>
      <x:c r="B111" s="29" t="str">
        <x:v>E3</x:v>
      </x:c>
      <x:c r="C111" s="29" t="str">
        <x:v>潮流生活</x:v>
      </x:c>
      <x:c r="D111" s="29" t="str">
        <x:v>CA308</x:v>
      </x:c>
      <x:c r="E111" s="29" t="str">
        <x:v>宝石角</x:v>
      </x:c>
      <x:c r="F111" s="30" t="str"/>
      <x:c r="G111" s="29" t="str">
        <x:v>科技文创/潮玩</x:v>
      </x:c>
      <x:c r="H111" s="29" t="n">
        <x:v>4</x:v>
      </x:c>
      <x:c r="I111" s="29" t="n">
        <x:v>4</x:v>
      </x:c>
      <x:c r="J111" s="29" t="n">
        <x:v>5</x:v>
      </x:c>
      <x:c r="K111" s="29" t="n">
        <x:v>2</x:v>
      </x:c>
      <x:c r="L111" s="31" t="n">
        <x:f>SUM(H111:K111)</x:f>
        <x:v>15</x:v>
      </x:c>
      <x:c r="M111" s="29" t="str">
        <x:f>IF(L111&gt;=16,"A-优先",IF(L111&gt;=12,"B-培育","C-观察"))</x:f>
        <x:v>B-培育</x:v>
      </x:c>
      <x:c r="N111" s="29" t="str">
        <x:v>年轻化品牌联名、城市消费活动、商业体快闪与文旅导流</x:v>
      </x:c>
      <x:c r="O111" s="29" t="str">
        <x:v>电子吧唧、电子拼豆板</x:v>
      </x:c>
      <x:c r="P111" s="30" t="str"/>
      <x:c r="Q111" s="30" t="str"/>
      <x:c r="R111" s="30" t="str"/>
      <x:c r="S111" s="30" t="str"/>
      <x:c r="T111" s="30" t="str">
        <x:v>建议检索：宝石角 官方 / 公众号 / 微博 / 小红书 / 视频号</x:v>
      </x:c>
      <x:c r="U111" s="30" t="str">
        <x:v>未联系</x:v>
      </x:c>
      <x:c r="V111" s="30" t="str"/>
      <x:c r="W111" s="29" t="str">
        <x:v>高</x:v>
      </x:c>
      <x:c r="X111" s="29" t="str">
        <x:v>https://btb.chinajoy.net/news/63793</x:v>
      </x:c>
    </x:row>
    <x:row r="112">
      <x:c r="A112" s="29" t="n">
        <x:v>109</x:v>
      </x:c>
      <x:c r="B112" s="29" t="str">
        <x:v>E3</x:v>
      </x:c>
      <x:c r="C112" s="29" t="str">
        <x:v>潮流生活</x:v>
      </x:c>
      <x:c r="D112" s="29" t="str">
        <x:v>待核</x:v>
      </x:c>
      <x:c r="E112" s="29" t="str">
        <x:v>得力</x:v>
      </x:c>
      <x:c r="F112" s="30" t="str"/>
      <x:c r="G112" s="29" t="str">
        <x:v>文具/国货</x:v>
      </x:c>
      <x:c r="H112" s="29" t="n">
        <x:v>3</x:v>
      </x:c>
      <x:c r="I112" s="29" t="n">
        <x:v>4</x:v>
      </x:c>
      <x:c r="J112" s="29" t="n">
        <x:v>3</x:v>
      </x:c>
      <x:c r="K112" s="29" t="n">
        <x:v>2</x:v>
      </x:c>
      <x:c r="L112" s="31" t="n">
        <x:f>SUM(H112:K112)</x:f>
        <x:v>12</x:v>
      </x:c>
      <x:c r="M112" s="29" t="str">
        <x:f>IF(L112&gt;=16,"A-优先",IF(L112&gt;=12,"B-培育","C-观察"))</x:f>
        <x:v>B-培育</x:v>
      </x:c>
      <x:c r="N112" s="29" t="str">
        <x:v>年轻化品牌联名、城市消费活动、商业体快闪与文旅导流</x:v>
      </x:c>
      <x:c r="O112" s="29" t="str"/>
      <x:c r="P112" s="30" t="str"/>
      <x:c r="Q112" s="30" t="str"/>
      <x:c r="R112" s="30" t="str"/>
      <x:c r="S112" s="30" t="str"/>
      <x:c r="T112" s="30" t="str">
        <x:v>建议检索：得力 官方 / 公众号 / 微博 / 小红书 / 视频号</x:v>
      </x:c>
      <x:c r="U112" s="30" t="str">
        <x:v>未联系</x:v>
      </x:c>
      <x:c r="V112" s="30" t="str"/>
      <x:c r="W112" s="29" t="str">
        <x:v>高</x:v>
      </x:c>
      <x:c r="X112" s="29" t="str">
        <x:v>https://www.vgover.com/zh-tw/news/226267</x:v>
      </x:c>
    </x:row>
    <x:row r="113">
      <x:c r="A113" s="29" t="n">
        <x:v>110</x:v>
      </x:c>
      <x:c r="B113" s="29" t="str">
        <x:v>E3</x:v>
      </x:c>
      <x:c r="C113" s="29" t="str">
        <x:v>潮流生活</x:v>
      </x:c>
      <x:c r="D113" s="29" t="str">
        <x:v>待核</x:v>
      </x:c>
      <x:c r="E113" s="29" t="str">
        <x:v>璞隐酒店</x:v>
      </x:c>
      <x:c r="F113" s="30" t="str"/>
      <x:c r="G113" s="29" t="str">
        <x:v>酒店/文旅</x:v>
      </x:c>
      <x:c r="H113" s="29" t="n">
        <x:v>3</x:v>
      </x:c>
      <x:c r="I113" s="29" t="n">
        <x:v>4</x:v>
      </x:c>
      <x:c r="J113" s="29" t="n">
        <x:v>3</x:v>
      </x:c>
      <x:c r="K113" s="29" t="n">
        <x:v>2</x:v>
      </x:c>
      <x:c r="L113" s="31" t="n">
        <x:f>SUM(H113:K113)</x:f>
        <x:v>12</x:v>
      </x:c>
      <x:c r="M113" s="29" t="str">
        <x:f>IF(L113&gt;=16,"A-优先",IF(L113&gt;=12,"B-培育","C-观察"))</x:f>
        <x:v>B-培育</x:v>
      </x:c>
      <x:c r="N113" s="29" t="str">
        <x:v>年轻化品牌联名、城市消费活动、商业体快闪与文旅导流</x:v>
      </x:c>
      <x:c r="O113" s="29" t="str"/>
      <x:c r="P113" s="30" t="str"/>
      <x:c r="Q113" s="30" t="str"/>
      <x:c r="R113" s="30" t="str"/>
      <x:c r="S113" s="30" t="str"/>
      <x:c r="T113" s="30" t="str">
        <x:v>建议检索：璞隐酒店 官方 / 公众号 / 微博 / 小红书 / 视频号</x:v>
      </x:c>
      <x:c r="U113" s="30" t="str">
        <x:v>未联系</x:v>
      </x:c>
      <x:c r="V113" s="30" t="str"/>
      <x:c r="W113" s="29" t="str">
        <x:v>高</x:v>
      </x:c>
      <x:c r="X113" s="29" t="str">
        <x:v>https://www.vgover.com/zh-tw/news/226267</x:v>
      </x:c>
    </x:row>
    <x:row r="114">
      <x:c r="A114" s="29" t="n">
        <x:v>111</x:v>
      </x:c>
      <x:c r="B114" s="29" t="str">
        <x:v>E3</x:v>
      </x:c>
      <x:c r="C114" s="29" t="str">
        <x:v>潮流生活</x:v>
      </x:c>
      <x:c r="D114" s="29" t="str">
        <x:v>待核</x:v>
      </x:c>
      <x:c r="E114" s="29" t="str">
        <x:v>徐悲鸿美术馆</x:v>
      </x:c>
      <x:c r="F114" s="30" t="str"/>
      <x:c r="G114" s="29" t="str">
        <x:v>艺术/IP合作</x:v>
      </x:c>
      <x:c r="H114" s="29" t="n">
        <x:v>3</x:v>
      </x:c>
      <x:c r="I114" s="29" t="n">
        <x:v>4</x:v>
      </x:c>
      <x:c r="J114" s="29" t="n">
        <x:v>5</x:v>
      </x:c>
      <x:c r="K114" s="29" t="n">
        <x:v>2</x:v>
      </x:c>
      <x:c r="L114" s="31" t="n">
        <x:f>SUM(H114:K114)</x:f>
        <x:v>14</x:v>
      </x:c>
      <x:c r="M114" s="29" t="str">
        <x:f>IF(L114&gt;=16,"A-优先",IF(L114&gt;=12,"B-培育","C-观察"))</x:f>
        <x:v>B-培育</x:v>
      </x:c>
      <x:c r="N114" s="29" t="str">
        <x:v>年轻化品牌联名、城市消费活动、商业体快闪与文旅导流</x:v>
      </x:c>
      <x:c r="O114" s="29" t="str">
        <x:v>ChinaJoy战略合作伙伴</x:v>
      </x:c>
      <x:c r="P114" s="30" t="str"/>
      <x:c r="Q114" s="30" t="str"/>
      <x:c r="R114" s="30" t="str"/>
      <x:c r="S114" s="30" t="str"/>
      <x:c r="T114" s="30" t="str">
        <x:v>建议检索：徐悲鸿美术馆 官方 / 公众号 / 微博 / 小红书 / 视频号</x:v>
      </x:c>
      <x:c r="U114" s="30" t="str">
        <x:v>未联系</x:v>
      </x:c>
      <x:c r="V114" s="30" t="str"/>
      <x:c r="W114" s="29" t="str">
        <x:v>高</x:v>
      </x:c>
      <x:c r="X114" s="29" t="str">
        <x:v>https://btb.chinajoy.net/news/63876</x:v>
      </x:c>
    </x:row>
    <x:row r="115">
      <x:c r="A115" s="29" t="n">
        <x:v>112</x:v>
      </x:c>
      <x:c r="B115" s="29" t="str">
        <x:v>E4</x:v>
      </x:c>
      <x:c r="C115" s="29" t="str">
        <x:v>创作者展区</x:v>
      </x:c>
      <x:c r="D115" s="29" t="str">
        <x:v>M201</x:v>
      </x:c>
      <x:c r="E115" s="29" t="str">
        <x:v>微博</x:v>
      </x:c>
      <x:c r="F115" s="30" t="str"/>
      <x:c r="G115" s="29" t="str">
        <x:v>社交媒体</x:v>
      </x:c>
      <x:c r="H115" s="29" t="n">
        <x:v>3</x:v>
      </x:c>
      <x:c r="I115" s="29" t="n">
        <x:v>4</x:v>
      </x:c>
      <x:c r="J115" s="29" t="n">
        <x:v>3</x:v>
      </x:c>
      <x:c r="K115" s="29" t="n">
        <x:v>4</x:v>
      </x:c>
      <x:c r="L115" s="31" t="n">
        <x:f>SUM(H115:K115)</x:f>
        <x:v>14</x:v>
      </x:c>
      <x:c r="M115" s="29" t="str">
        <x:f>IF(L115&gt;=16,"A-优先",IF(L115&gt;=12,"B-培育","C-观察"))</x:f>
        <x:v>B-培育</x:v>
      </x:c>
      <x:c r="N115" s="29" t="str">
        <x:v>创作者基地、影像节、达人内容共创、器材体验与租赁</x:v>
      </x:c>
      <x:c r="O115" s="29" t="str"/>
      <x:c r="P115" s="30" t="str"/>
      <x:c r="Q115" s="30" t="str"/>
      <x:c r="R115" s="30" t="str"/>
      <x:c r="S115" s="30" t="str">
        <x:v>https://weibo.com/</x:v>
      </x:c>
      <x:c r="T115" s="30" t="str">
        <x:v>微博 官方网站/认证公众号/微博（招商前复核具体商务入口）</x:v>
      </x:c>
      <x:c r="U115" s="30" t="str">
        <x:v>未联系</x:v>
      </x:c>
      <x:c r="V115" s="30" t="str"/>
      <x:c r="W115" s="29" t="str">
        <x:v>高</x:v>
      </x:c>
      <x:c r="X115" s="29" t="str">
        <x:v>https://www.vgover.com/zh-tw/news/226267</x:v>
      </x:c>
    </x:row>
    <x:row r="116">
      <x:c r="A116" s="29" t="n">
        <x:v>113</x:v>
      </x:c>
      <x:c r="B116" s="29" t="str">
        <x:v>E4</x:v>
      </x:c>
      <x:c r="C116" s="29" t="str">
        <x:v>创作者展区</x:v>
      </x:c>
      <x:c r="D116" s="29" t="str">
        <x:v>M202</x:v>
      </x:c>
      <x:c r="E116" s="29" t="str">
        <x:v>快手二次元</x:v>
      </x:c>
      <x:c r="F116" s="30" t="str"/>
      <x:c r="G116" s="29" t="str">
        <x:v>短视频/内容平台</x:v>
      </x:c>
      <x:c r="H116" s="29" t="n">
        <x:v>4</x:v>
      </x:c>
      <x:c r="I116" s="29" t="n">
        <x:v>4</x:v>
      </x:c>
      <x:c r="J116" s="29" t="n">
        <x:v>5</x:v>
      </x:c>
      <x:c r="K116" s="29" t="n">
        <x:v>4</x:v>
      </x:c>
      <x:c r="L116" s="31" t="n">
        <x:f>SUM(H116:K116)</x:f>
        <x:v>17</x:v>
      </x:c>
      <x:c r="M116" s="29" t="str">
        <x:f>IF(L116&gt;=16,"A-优先",IF(L116&gt;=12,"B-培育","C-观察"))</x:f>
        <x:v>A-优先</x:v>
      </x:c>
      <x:c r="N116" s="29" t="str">
        <x:v>创作者基地、影像节、达人内容共创、器材体验与租赁</x:v>
      </x:c>
      <x:c r="O116" s="29" t="str"/>
      <x:c r="P116" s="30" t="str"/>
      <x:c r="Q116" s="30" t="str"/>
      <x:c r="R116" s="30" t="str"/>
      <x:c r="S116" s="30" t="str">
        <x:v>https://www.kuaishou.com/</x:v>
      </x:c>
      <x:c r="T116" s="30" t="str">
        <x:v>快手二次元 官方网站/认证公众号/微博（招商前复核具体商务入口）</x:v>
      </x:c>
      <x:c r="U116" s="30" t="str">
        <x:v>未联系</x:v>
      </x:c>
      <x:c r="V116" s="30" t="str"/>
      <x:c r="W116" s="29" t="str">
        <x:v>高</x:v>
      </x:c>
      <x:c r="X116" s="29" t="str">
        <x:v>https://www.vgover.com/zh-tw/news/226267</x:v>
      </x:c>
    </x:row>
    <x:row r="117">
      <x:c r="A117" s="29" t="n">
        <x:v>114</x:v>
      </x:c>
      <x:c r="B117" s="29" t="str">
        <x:v>E4</x:v>
      </x:c>
      <x:c r="C117" s="29" t="str">
        <x:v>创作者展区</x:v>
      </x:c>
      <x:c r="D117" s="29" t="str">
        <x:v>M003</x:v>
      </x:c>
      <x:c r="E117" s="29" t="str">
        <x:v>图虫</x:v>
      </x:c>
      <x:c r="F117" s="30" t="str"/>
      <x:c r="G117" s="29" t="str">
        <x:v>摄影社区</x:v>
      </x:c>
      <x:c r="H117" s="29" t="n">
        <x:v>3</x:v>
      </x:c>
      <x:c r="I117" s="29" t="n">
        <x:v>4</x:v>
      </x:c>
      <x:c r="J117" s="29" t="n">
        <x:v>3</x:v>
      </x:c>
      <x:c r="K117" s="29" t="n">
        <x:v>2</x:v>
      </x:c>
      <x:c r="L117" s="31" t="n">
        <x:f>SUM(H117:K117)</x:f>
        <x:v>12</x:v>
      </x:c>
      <x:c r="M117" s="29" t="str">
        <x:f>IF(L117&gt;=16,"A-优先",IF(L117&gt;=12,"B-培育","C-观察"))</x:f>
        <x:v>B-培育</x:v>
      </x:c>
      <x:c r="N117" s="29" t="str">
        <x:v>创作者基地、影像节、达人内容共创、器材体验与租赁</x:v>
      </x:c>
      <x:c r="O117" s="29" t="str"/>
      <x:c r="P117" s="30" t="str"/>
      <x:c r="Q117" s="30" t="str"/>
      <x:c r="R117" s="30" t="str"/>
      <x:c r="S117" s="30" t="str"/>
      <x:c r="T117" s="30" t="str">
        <x:v>建议检索：图虫 官方 / 公众号 / 微博 / 小红书 / 视频号</x:v>
      </x:c>
      <x:c r="U117" s="30" t="str">
        <x:v>未联系</x:v>
      </x:c>
      <x:c r="V117" s="30" t="str"/>
      <x:c r="W117" s="29" t="str">
        <x:v>高</x:v>
      </x:c>
      <x:c r="X117" s="29" t="str">
        <x:v>https://www.vgover.com/zh-tw/news/226267</x:v>
      </x:c>
    </x:row>
    <x:row r="118">
      <x:c r="A118" s="29" t="n">
        <x:v>115</x:v>
      </x:c>
      <x:c r="B118" s="29" t="str">
        <x:v>E4</x:v>
      </x:c>
      <x:c r="C118" s="29" t="str">
        <x:v>创作者展区</x:v>
      </x:c>
      <x:c r="D118" s="29" t="str">
        <x:v>M090</x:v>
      </x:c>
      <x:c r="E118" s="29" t="str">
        <x:v>美图云修</x:v>
      </x:c>
      <x:c r="F118" s="30" t="str"/>
      <x:c r="G118" s="29" t="str">
        <x:v>影像后期/SaaS</x:v>
      </x:c>
      <x:c r="H118" s="29" t="n">
        <x:v>4</x:v>
      </x:c>
      <x:c r="I118" s="29" t="n">
        <x:v>4</x:v>
      </x:c>
      <x:c r="J118" s="29" t="n">
        <x:v>5</x:v>
      </x:c>
      <x:c r="K118" s="29" t="n">
        <x:v>2</x:v>
      </x:c>
      <x:c r="L118" s="31" t="n">
        <x:f>SUM(H118:K118)</x:f>
        <x:v>15</x:v>
      </x:c>
      <x:c r="M118" s="29" t="str">
        <x:f>IF(L118&gt;=16,"A-优先",IF(L118&gt;=12,"B-培育","C-观察"))</x:f>
        <x:v>B-培育</x:v>
      </x:c>
      <x:c r="N118" s="29" t="str">
        <x:v>创作者基地、影像节、达人内容共创、器材体验与租赁</x:v>
      </x:c>
      <x:c r="O118" s="29" t="str"/>
      <x:c r="P118" s="30" t="str"/>
      <x:c r="Q118" s="30" t="str"/>
      <x:c r="R118" s="30" t="str"/>
      <x:c r="S118" s="30" t="str"/>
      <x:c r="T118" s="30" t="str">
        <x:v>建议检索：美图云修 官方 / 公众号 / 微博 / 小红书 / 视频号</x:v>
      </x:c>
      <x:c r="U118" s="30" t="str">
        <x:v>未联系</x:v>
      </x:c>
      <x:c r="V118" s="30" t="str"/>
      <x:c r="W118" s="29" t="str">
        <x:v>高</x:v>
      </x:c>
      <x:c r="X118" s="29" t="str">
        <x:v>https://www.vgover.com/zh-tw/news/226267</x:v>
      </x:c>
    </x:row>
    <x:row r="119">
      <x:c r="A119" s="29" t="n">
        <x:v>116</x:v>
      </x:c>
      <x:c r="B119" s="29" t="str">
        <x:v>E4</x:v>
      </x:c>
      <x:c r="C119" s="29" t="str">
        <x:v>创作者展区</x:v>
      </x:c>
      <x:c r="D119" s="29" t="str">
        <x:v>M092</x:v>
      </x:c>
      <x:c r="E119" s="29" t="str">
        <x:v>501军团</x:v>
      </x:c>
      <x:c r="F119" s="30" t="str"/>
      <x:c r="G119" s="29" t="str">
        <x:v>IP社群</x:v>
      </x:c>
      <x:c r="H119" s="29" t="n">
        <x:v>3</x:v>
      </x:c>
      <x:c r="I119" s="29" t="n">
        <x:v>4</x:v>
      </x:c>
      <x:c r="J119" s="29" t="n">
        <x:v>5</x:v>
      </x:c>
      <x:c r="K119" s="29" t="n">
        <x:v>2</x:v>
      </x:c>
      <x:c r="L119" s="31" t="n">
        <x:f>SUM(H119:K119)</x:f>
        <x:v>14</x:v>
      </x:c>
      <x:c r="M119" s="29" t="str">
        <x:f>IF(L119&gt;=16,"A-优先",IF(L119&gt;=12,"B-培育","C-观察"))</x:f>
        <x:v>B-培育</x:v>
      </x:c>
      <x:c r="N119" s="29" t="str">
        <x:v>创作者基地、影像节、达人内容共创、器材体验与租赁</x:v>
      </x:c>
      <x:c r="O119" s="29" t="str"/>
      <x:c r="P119" s="30" t="str"/>
      <x:c r="Q119" s="30" t="str"/>
      <x:c r="R119" s="30" t="str"/>
      <x:c r="S119" s="30" t="str"/>
      <x:c r="T119" s="30" t="str">
        <x:v>建议检索：501军团 官方 / 公众号 / 微博 / 小红书 / 视频号</x:v>
      </x:c>
      <x:c r="U119" s="30" t="str">
        <x:v>未联系</x:v>
      </x:c>
      <x:c r="V119" s="30" t="str"/>
      <x:c r="W119" s="29" t="str">
        <x:v>高</x:v>
      </x:c>
      <x:c r="X119" s="29" t="str">
        <x:v>https://www.vgover.com/zh-tw/news/226267</x:v>
      </x:c>
    </x:row>
    <x:row r="120">
      <x:c r="A120" s="29" t="n">
        <x:v>117</x:v>
      </x:c>
      <x:c r="B120" s="29" t="str">
        <x:v>E4</x:v>
      </x:c>
      <x:c r="C120" s="29" t="str">
        <x:v>创作者展区</x:v>
      </x:c>
      <x:c r="D120" s="29" t="str">
        <x:v>M096</x:v>
      </x:c>
      <x:c r="E120" s="29" t="str">
        <x:v>松若</x:v>
      </x:c>
      <x:c r="F120" s="30" t="str"/>
      <x:c r="G120" s="29" t="str">
        <x:v>创作者/影像</x:v>
      </x:c>
      <x:c r="H120" s="29" t="n">
        <x:v>4</x:v>
      </x:c>
      <x:c r="I120" s="29" t="n">
        <x:v>4</x:v>
      </x:c>
      <x:c r="J120" s="29" t="n">
        <x:v>5</x:v>
      </x:c>
      <x:c r="K120" s="29" t="n">
        <x:v>2</x:v>
      </x:c>
      <x:c r="L120" s="31" t="n">
        <x:f>SUM(H120:K120)</x:f>
        <x:v>15</x:v>
      </x:c>
      <x:c r="M120" s="29" t="str">
        <x:f>IF(L120&gt;=16,"A-优先",IF(L120&gt;=12,"B-培育","C-观察"))</x:f>
        <x:v>B-培育</x:v>
      </x:c>
      <x:c r="N120" s="29" t="str">
        <x:v>创作者基地、影像节、达人内容共创、器材体验与租赁</x:v>
      </x:c>
      <x:c r="O120" s="29" t="str">
        <x:v>展位图识别，待复核</x:v>
      </x:c>
      <x:c r="P120" s="30" t="str"/>
      <x:c r="Q120" s="30" t="str"/>
      <x:c r="R120" s="30" t="str"/>
      <x:c r="S120" s="30" t="str"/>
      <x:c r="T120" s="30" t="str">
        <x:v>建议检索：松若 官方 / 公众号 / 微博 / 小红书 / 视频号</x:v>
      </x:c>
      <x:c r="U120" s="30" t="str">
        <x:v>未联系</x:v>
      </x:c>
      <x:c r="V120" s="30" t="str"/>
      <x:c r="W120" s="29" t="str">
        <x:v>中</x:v>
      </x:c>
      <x:c r="X120" s="29" t="str">
        <x:v>https://www.vgover.com/zh-tw/news/226267</x:v>
      </x:c>
    </x:row>
    <x:row r="121">
      <x:c r="A121" s="29" t="n">
        <x:v>118</x:v>
      </x:c>
      <x:c r="B121" s="29" t="str">
        <x:v>E4</x:v>
      </x:c>
      <x:c r="C121" s="29" t="str">
        <x:v>创作者展区</x:v>
      </x:c>
      <x:c r="D121" s="29" t="str">
        <x:v>M290</x:v>
      </x:c>
      <x:c r="E121" s="29" t="str">
        <x:v>Kase 卡色</x:v>
      </x:c>
      <x:c r="F121" s="30" t="str"/>
      <x:c r="G121" s="29" t="str">
        <x:v>影像配件</x:v>
      </x:c>
      <x:c r="H121" s="29" t="n">
        <x:v>4</x:v>
      </x:c>
      <x:c r="I121" s="29" t="n">
        <x:v>4</x:v>
      </x:c>
      <x:c r="J121" s="29" t="n">
        <x:v>5</x:v>
      </x:c>
      <x:c r="K121" s="29" t="n">
        <x:v>2</x:v>
      </x:c>
      <x:c r="L121" s="31" t="n">
        <x:f>SUM(H121:K121)</x:f>
        <x:v>15</x:v>
      </x:c>
      <x:c r="M121" s="29" t="str">
        <x:f>IF(L121&gt;=16,"A-优先",IF(L121&gt;=12,"B-培育","C-观察"))</x:f>
        <x:v>B-培育</x:v>
      </x:c>
      <x:c r="N121" s="29" t="str">
        <x:v>创作者基地、影像节、达人内容共创、器材体验与租赁</x:v>
      </x:c>
      <x:c r="O121" s="29" t="str"/>
      <x:c r="P121" s="30" t="str"/>
      <x:c r="Q121" s="30" t="str"/>
      <x:c r="R121" s="30" t="str"/>
      <x:c r="S121" s="30" t="str"/>
      <x:c r="T121" s="30" t="str">
        <x:v>建议检索：Kase 卡色 官方 / 公众号 / 微博 / 小红书 / 视频号</x:v>
      </x:c>
      <x:c r="U121" s="30" t="str">
        <x:v>未联系</x:v>
      </x:c>
      <x:c r="V121" s="30" t="str"/>
      <x:c r="W121" s="29" t="str">
        <x:v>高</x:v>
      </x:c>
      <x:c r="X121" s="29" t="str">
        <x:v>https://www.vgover.com/zh-tw/news/226267</x:v>
      </x:c>
    </x:row>
    <x:row r="122">
      <x:c r="A122" s="29" t="n">
        <x:v>119</x:v>
      </x:c>
      <x:c r="B122" s="29" t="str">
        <x:v>E4</x:v>
      </x:c>
      <x:c r="C122" s="29" t="str">
        <x:v>创作者展区</x:v>
      </x:c>
      <x:c r="D122" s="29" t="str">
        <x:v>M296</x:v>
      </x:c>
      <x:c r="E122" s="29" t="str">
        <x:v>肯高图丽</x:v>
      </x:c>
      <x:c r="F122" s="30" t="str"/>
      <x:c r="G122" s="29" t="str">
        <x:v>影像器材</x:v>
      </x:c>
      <x:c r="H122" s="29" t="n">
        <x:v>4</x:v>
      </x:c>
      <x:c r="I122" s="29" t="n">
        <x:v>4</x:v>
      </x:c>
      <x:c r="J122" s="29" t="n">
        <x:v>5</x:v>
      </x:c>
      <x:c r="K122" s="29" t="n">
        <x:v>2</x:v>
      </x:c>
      <x:c r="L122" s="31" t="n">
        <x:f>SUM(H122:K122)</x:f>
        <x:v>15</x:v>
      </x:c>
      <x:c r="M122" s="29" t="str">
        <x:f>IF(L122&gt;=16,"A-优先",IF(L122&gt;=12,"B-培育","C-观察"))</x:f>
        <x:v>B-培育</x:v>
      </x:c>
      <x:c r="N122" s="29" t="str">
        <x:v>创作者基地、影像节、达人内容共创、器材体验与租赁</x:v>
      </x:c>
      <x:c r="O122" s="29" t="str"/>
      <x:c r="P122" s="30" t="str"/>
      <x:c r="Q122" s="30" t="str"/>
      <x:c r="R122" s="30" t="str"/>
      <x:c r="S122" s="30" t="str"/>
      <x:c r="T122" s="30" t="str">
        <x:v>建议检索：肯高图丽 官方 / 公众号 / 微博 / 小红书 / 视频号</x:v>
      </x:c>
      <x:c r="U122" s="30" t="str">
        <x:v>未联系</x:v>
      </x:c>
      <x:c r="V122" s="30" t="str"/>
      <x:c r="W122" s="29" t="str">
        <x:v>高</x:v>
      </x:c>
      <x:c r="X122" s="29" t="str">
        <x:v>https://www.vgover.com/zh-tw/news/226267</x:v>
      </x:c>
    </x:row>
    <x:row r="123">
      <x:c r="A123" s="29" t="n">
        <x:v>120</x:v>
      </x:c>
      <x:c r="B123" s="29" t="str">
        <x:v>E4</x:v>
      </x:c>
      <x:c r="C123" s="29" t="str">
        <x:v>创作者展区</x:v>
      </x:c>
      <x:c r="D123" s="29" t="str">
        <x:v>M390</x:v>
      </x:c>
      <x:c r="E123" s="29" t="str">
        <x:v>LUMIPIA</x:v>
      </x:c>
      <x:c r="F123" s="30" t="str"/>
      <x:c r="G123" s="29" t="str">
        <x:v>影像/灯光</x:v>
      </x:c>
      <x:c r="H123" s="29" t="n">
        <x:v>4</x:v>
      </x:c>
      <x:c r="I123" s="29" t="n">
        <x:v>4</x:v>
      </x:c>
      <x:c r="J123" s="29" t="n">
        <x:v>5</x:v>
      </x:c>
      <x:c r="K123" s="29" t="n">
        <x:v>2</x:v>
      </x:c>
      <x:c r="L123" s="31" t="n">
        <x:f>SUM(H123:K123)</x:f>
        <x:v>15</x:v>
      </x:c>
      <x:c r="M123" s="29" t="str">
        <x:f>IF(L123&gt;=16,"A-优先",IF(L123&gt;=12,"B-培育","C-观察"))</x:f>
        <x:v>B-培育</x:v>
      </x:c>
      <x:c r="N123" s="29" t="str">
        <x:v>创作者基地、影像节、达人内容共创、器材体验与租赁</x:v>
      </x:c>
      <x:c r="O123" s="29" t="str"/>
      <x:c r="P123" s="30" t="str"/>
      <x:c r="Q123" s="30" t="str"/>
      <x:c r="R123" s="30" t="str"/>
      <x:c r="S123" s="30" t="str"/>
      <x:c r="T123" s="30" t="str">
        <x:v>建议检索：LUMIPIA 官方 / 公众号 / 微博 / 小红书 / 视频号</x:v>
      </x:c>
      <x:c r="U123" s="30" t="str">
        <x:v>未联系</x:v>
      </x:c>
      <x:c r="V123" s="30" t="str"/>
      <x:c r="W123" s="29" t="str">
        <x:v>高</x:v>
      </x:c>
      <x:c r="X123" s="29" t="str">
        <x:v>https://www.vgover.com/zh-tw/news/226267</x:v>
      </x:c>
    </x:row>
    <x:row r="124">
      <x:c r="A124" s="29" t="n">
        <x:v>121</x:v>
      </x:c>
      <x:c r="B124" s="29" t="str">
        <x:v>E4</x:v>
      </x:c>
      <x:c r="C124" s="29" t="str">
        <x:v>创作者展区</x:v>
      </x:c>
      <x:c r="D124" s="29" t="str">
        <x:v>M391</x:v>
      </x:c>
      <x:c r="E124" s="29" t="str">
        <x:v>内啥</x:v>
      </x:c>
      <x:c r="F124" s="30" t="str"/>
      <x:c r="G124" s="29" t="str">
        <x:v>创作者品牌</x:v>
      </x:c>
      <x:c r="H124" s="29" t="n">
        <x:v>2</x:v>
      </x:c>
      <x:c r="I124" s="29" t="n">
        <x:v>4</x:v>
      </x:c>
      <x:c r="J124" s="29" t="n">
        <x:v>3</x:v>
      </x:c>
      <x:c r="K124" s="29" t="n">
        <x:v>2</x:v>
      </x:c>
      <x:c r="L124" s="31" t="n">
        <x:f>SUM(H124:K124)</x:f>
        <x:v>11</x:v>
      </x:c>
      <x:c r="M124" s="29" t="str">
        <x:f>IF(L124&gt;=16,"A-优先",IF(L124&gt;=12,"B-培育","C-观察"))</x:f>
        <x:v>C-观察</x:v>
      </x:c>
      <x:c r="N124" s="29" t="str">
        <x:v>创作者基地、影像节、达人内容共创、器材体验与租赁</x:v>
      </x:c>
      <x:c r="O124" s="29" t="str">
        <x:v>展位图名称待复核</x:v>
      </x:c>
      <x:c r="P124" s="30" t="str"/>
      <x:c r="Q124" s="30" t="str"/>
      <x:c r="R124" s="30" t="str"/>
      <x:c r="S124" s="30" t="str"/>
      <x:c r="T124" s="30" t="str">
        <x:v>建议检索：内啥 官方 / 公众号 / 微博 / 小红书 / 视频号</x:v>
      </x:c>
      <x:c r="U124" s="30" t="str">
        <x:v>未联系</x:v>
      </x:c>
      <x:c r="V124" s="30" t="str"/>
      <x:c r="W124" s="29" t="str">
        <x:v>中</x:v>
      </x:c>
      <x:c r="X124" s="29" t="str">
        <x:v>https://www.vgover.com/zh-tw/news/226267</x:v>
      </x:c>
    </x:row>
    <x:row r="125">
      <x:c r="A125" s="29" t="n">
        <x:v>122</x:v>
      </x:c>
      <x:c r="B125" s="29" t="str">
        <x:v>E4</x:v>
      </x:c>
      <x:c r="C125" s="29" t="str">
        <x:v>创作者展区</x:v>
      </x:c>
      <x:c r="D125" s="29" t="str">
        <x:v>M392</x:v>
      </x:c>
      <x:c r="E125" s="29" t="str">
        <x:v>永诺</x:v>
      </x:c>
      <x:c r="F125" s="30" t="str"/>
      <x:c r="G125" s="29" t="str">
        <x:v>影像器材</x:v>
      </x:c>
      <x:c r="H125" s="29" t="n">
        <x:v>4</x:v>
      </x:c>
      <x:c r="I125" s="29" t="n">
        <x:v>4</x:v>
      </x:c>
      <x:c r="J125" s="29" t="n">
        <x:v>5</x:v>
      </x:c>
      <x:c r="K125" s="29" t="n">
        <x:v>2</x:v>
      </x:c>
      <x:c r="L125" s="31" t="n">
        <x:f>SUM(H125:K125)</x:f>
        <x:v>15</x:v>
      </x:c>
      <x:c r="M125" s="29" t="str">
        <x:f>IF(L125&gt;=16,"A-优先",IF(L125&gt;=12,"B-培育","C-观察"))</x:f>
        <x:v>B-培育</x:v>
      </x:c>
      <x:c r="N125" s="29" t="str">
        <x:v>创作者基地、影像节、达人内容共创、器材体验与租赁</x:v>
      </x:c>
      <x:c r="O125" s="29" t="str"/>
      <x:c r="P125" s="30" t="str"/>
      <x:c r="Q125" s="30" t="str"/>
      <x:c r="R125" s="30" t="str"/>
      <x:c r="S125" s="30" t="str"/>
      <x:c r="T125" s="30" t="str">
        <x:v>建议检索：永诺 官方 / 公众号 / 微博 / 小红书 / 视频号</x:v>
      </x:c>
      <x:c r="U125" s="30" t="str">
        <x:v>未联系</x:v>
      </x:c>
      <x:c r="V125" s="30" t="str"/>
      <x:c r="W125" s="29" t="str">
        <x:v>高</x:v>
      </x:c>
      <x:c r="X125" s="29" t="str">
        <x:v>https://www.vgover.com/zh-tw/news/226267</x:v>
      </x:c>
    </x:row>
    <x:row r="126">
      <x:c r="A126" s="29" t="n">
        <x:v>123</x:v>
      </x:c>
      <x:c r="B126" s="29" t="str">
        <x:v>E4</x:v>
      </x:c>
      <x:c r="C126" s="29" t="str">
        <x:v>创作者展区</x:v>
      </x:c>
      <x:c r="D126" s="29" t="str">
        <x:v>M394</x:v>
      </x:c>
      <x:c r="E126" s="29" t="str">
        <x:v>电小二</x:v>
      </x:c>
      <x:c r="F126" s="30" t="str"/>
      <x:c r="G126" s="29" t="str">
        <x:v>户外电源</x:v>
      </x:c>
      <x:c r="H126" s="29" t="n">
        <x:v>3</x:v>
      </x:c>
      <x:c r="I126" s="29" t="n">
        <x:v>4</x:v>
      </x:c>
      <x:c r="J126" s="29" t="n">
        <x:v>3</x:v>
      </x:c>
      <x:c r="K126" s="29" t="n">
        <x:v>2</x:v>
      </x:c>
      <x:c r="L126" s="31" t="n">
        <x:f>SUM(H126:K126)</x:f>
        <x:v>12</x:v>
      </x:c>
      <x:c r="M126" s="29" t="str">
        <x:f>IF(L126&gt;=16,"A-优先",IF(L126&gt;=12,"B-培育","C-观察"))</x:f>
        <x:v>B-培育</x:v>
      </x:c>
      <x:c r="N126" s="29" t="str">
        <x:v>创作者基地、影像节、达人内容共创、器材体验与租赁</x:v>
      </x:c>
      <x:c r="O126" s="29" t="str"/>
      <x:c r="P126" s="30" t="str"/>
      <x:c r="Q126" s="30" t="str"/>
      <x:c r="R126" s="30" t="str"/>
      <x:c r="S126" s="30" t="str"/>
      <x:c r="T126" s="30" t="str">
        <x:v>建议检索：电小二 官方 / 公众号 / 微博 / 小红书 / 视频号</x:v>
      </x:c>
      <x:c r="U126" s="30" t="str">
        <x:v>未联系</x:v>
      </x:c>
      <x:c r="V126" s="30" t="str"/>
      <x:c r="W126" s="29" t="str">
        <x:v>高</x:v>
      </x:c>
      <x:c r="X126" s="29" t="str">
        <x:v>https://www.vgover.com/zh-tw/news/226267</x:v>
      </x:c>
    </x:row>
    <x:row r="127">
      <x:c r="A127" s="29" t="n">
        <x:v>124</x:v>
      </x:c>
      <x:c r="B127" s="29" t="str">
        <x:v>E4</x:v>
      </x:c>
      <x:c r="C127" s="29" t="str">
        <x:v>创作者展区</x:v>
      </x:c>
      <x:c r="D127" s="29" t="str">
        <x:v>M395</x:v>
      </x:c>
      <x:c r="E127" s="29" t="str">
        <x:v>深光</x:v>
      </x:c>
      <x:c r="F127" s="30" t="str"/>
      <x:c r="G127" s="29" t="str">
        <x:v>影像/灯光</x:v>
      </x:c>
      <x:c r="H127" s="29" t="n">
        <x:v>4</x:v>
      </x:c>
      <x:c r="I127" s="29" t="n">
        <x:v>4</x:v>
      </x:c>
      <x:c r="J127" s="29" t="n">
        <x:v>5</x:v>
      </x:c>
      <x:c r="K127" s="29" t="n">
        <x:v>2</x:v>
      </x:c>
      <x:c r="L127" s="31" t="n">
        <x:f>SUM(H127:K127)</x:f>
        <x:v>15</x:v>
      </x:c>
      <x:c r="M127" s="29" t="str">
        <x:f>IF(L127&gt;=16,"A-优先",IF(L127&gt;=12,"B-培育","C-观察"))</x:f>
        <x:v>B-培育</x:v>
      </x:c>
      <x:c r="N127" s="29" t="str">
        <x:v>创作者基地、影像节、达人内容共创、器材体验与租赁</x:v>
      </x:c>
      <x:c r="O127" s="29" t="str"/>
      <x:c r="P127" s="30" t="str"/>
      <x:c r="Q127" s="30" t="str"/>
      <x:c r="R127" s="30" t="str"/>
      <x:c r="S127" s="30" t="str"/>
      <x:c r="T127" s="30" t="str">
        <x:v>建议检索：深光 官方 / 公众号 / 微博 / 小红书 / 视频号</x:v>
      </x:c>
      <x:c r="U127" s="30" t="str">
        <x:v>未联系</x:v>
      </x:c>
      <x:c r="V127" s="30" t="str"/>
      <x:c r="W127" s="29" t="str">
        <x:v>高</x:v>
      </x:c>
      <x:c r="X127" s="29" t="str">
        <x:v>https://www.vgover.com/zh-tw/news/226267</x:v>
      </x:c>
    </x:row>
    <x:row r="128">
      <x:c r="A128" s="29" t="n">
        <x:v>125</x:v>
      </x:c>
      <x:c r="B128" s="29" t="str">
        <x:v>E4</x:v>
      </x:c>
      <x:c r="C128" s="29" t="str">
        <x:v>创作者展区</x:v>
      </x:c>
      <x:c r="D128" s="29" t="str">
        <x:v>M396</x:v>
      </x:c>
      <x:c r="E128" s="29" t="str">
        <x:v>马上有照</x:v>
      </x:c>
      <x:c r="F128" s="30" t="str"/>
      <x:c r="G128" s="29" t="str">
        <x:v>影像服务</x:v>
      </x:c>
      <x:c r="H128" s="29" t="n">
        <x:v>4</x:v>
      </x:c>
      <x:c r="I128" s="29" t="n">
        <x:v>4</x:v>
      </x:c>
      <x:c r="J128" s="29" t="n">
        <x:v>5</x:v>
      </x:c>
      <x:c r="K128" s="29" t="n">
        <x:v>2</x:v>
      </x:c>
      <x:c r="L128" s="31" t="n">
        <x:f>SUM(H128:K128)</x:f>
        <x:v>15</x:v>
      </x:c>
      <x:c r="M128" s="29" t="str">
        <x:f>IF(L128&gt;=16,"A-优先",IF(L128&gt;=12,"B-培育","C-观察"))</x:f>
        <x:v>B-培育</x:v>
      </x:c>
      <x:c r="N128" s="29" t="str">
        <x:v>创作者基地、影像节、达人内容共创、器材体验与租赁</x:v>
      </x:c>
      <x:c r="O128" s="29" t="str"/>
      <x:c r="P128" s="30" t="str"/>
      <x:c r="Q128" s="30" t="str"/>
      <x:c r="R128" s="30" t="str"/>
      <x:c r="S128" s="30" t="str"/>
      <x:c r="T128" s="30" t="str">
        <x:v>建议检索：马上有照 官方 / 公众号 / 微博 / 小红书 / 视频号</x:v>
      </x:c>
      <x:c r="U128" s="30" t="str">
        <x:v>未联系</x:v>
      </x:c>
      <x:c r="V128" s="30" t="str"/>
      <x:c r="W128" s="29" t="str">
        <x:v>高</x:v>
      </x:c>
      <x:c r="X128" s="29" t="str">
        <x:v>https://www.vgover.com/zh-tw/news/226267</x:v>
      </x:c>
    </x:row>
    <x:row r="129">
      <x:c r="A129" s="29" t="n">
        <x:v>126</x:v>
      </x:c>
      <x:c r="B129" s="29" t="str">
        <x:v>E4</x:v>
      </x:c>
      <x:c r="C129" s="29" t="str">
        <x:v>摄影区</x:v>
      </x:c>
      <x:c r="D129" s="29" t="str">
        <x:v>M001</x:v>
      </x:c>
      <x:c r="E129" s="29" t="str">
        <x:v>SONY 索尼</x:v>
      </x:c>
      <x:c r="F129" s="30" t="str"/>
      <x:c r="G129" s="29" t="str">
        <x:v>影像/消费电子</x:v>
      </x:c>
      <x:c r="H129" s="29" t="n">
        <x:v>5</x:v>
      </x:c>
      <x:c r="I129" s="29" t="n">
        <x:v>4</x:v>
      </x:c>
      <x:c r="J129" s="29" t="n">
        <x:v>5</x:v>
      </x:c>
      <x:c r="K129" s="29" t="n">
        <x:v>4</x:v>
      </x:c>
      <x:c r="L129" s="31" t="n">
        <x:f>SUM(H129:K129)</x:f>
        <x:v>18</x:v>
      </x:c>
      <x:c r="M129" s="29" t="str">
        <x:f>IF(L129&gt;=16,"A-优先",IF(L129&gt;=12,"B-培育","C-观察"))</x:f>
        <x:v>A-优先</x:v>
      </x:c>
      <x:c r="N129" s="29" t="str">
        <x:v>创作者基地、影像节、达人内容共创、器材体验与租赁</x:v>
      </x:c>
      <x:c r="O129" s="29" t="str"/>
      <x:c r="P129" s="30" t="str"/>
      <x:c r="Q129" s="30" t="str"/>
      <x:c r="R129" s="30" t="str"/>
      <x:c r="S129" s="30" t="str">
        <x:v>https://www.sony.com.cn/</x:v>
      </x:c>
      <x:c r="T129" s="30" t="str">
        <x:v>SONY 索尼 官方网站/认证公众号/微博（招商前复核具体商务入口）</x:v>
      </x:c>
      <x:c r="U129" s="30" t="str">
        <x:v>未联系</x:v>
      </x:c>
      <x:c r="V129" s="30" t="str"/>
      <x:c r="W129" s="29" t="str">
        <x:v>高</x:v>
      </x:c>
      <x:c r="X129" s="29" t="str">
        <x:v>https://www.vgover.com/zh-tw/news/226267</x:v>
      </x:c>
    </x:row>
    <x:row r="130">
      <x:c r="A130" s="29" t="n">
        <x:v>127</x:v>
      </x:c>
      <x:c r="B130" s="29" t="str">
        <x:v>E4</x:v>
      </x:c>
      <x:c r="C130" s="29" t="str">
        <x:v>摄影区</x:v>
      </x:c>
      <x:c r="D130" s="29" t="str">
        <x:v>M002</x:v>
      </x:c>
      <x:c r="E130" s="29" t="str">
        <x:v>SmallRig 斯莫格</x:v>
      </x:c>
      <x:c r="F130" s="30" t="str"/>
      <x:c r="G130" s="29" t="str">
        <x:v>影像配件</x:v>
      </x:c>
      <x:c r="H130" s="29" t="n">
        <x:v>4</x:v>
      </x:c>
      <x:c r="I130" s="29" t="n">
        <x:v>4</x:v>
      </x:c>
      <x:c r="J130" s="29" t="n">
        <x:v>5</x:v>
      </x:c>
      <x:c r="K130" s="29" t="n">
        <x:v>2</x:v>
      </x:c>
      <x:c r="L130" s="31" t="n">
        <x:f>SUM(H130:K130)</x:f>
        <x:v>15</x:v>
      </x:c>
      <x:c r="M130" s="29" t="str">
        <x:f>IF(L130&gt;=16,"A-优先",IF(L130&gt;=12,"B-培育","C-观察"))</x:f>
        <x:v>B-培育</x:v>
      </x:c>
      <x:c r="N130" s="29" t="str">
        <x:v>创作者基地、影像节、达人内容共创、器材体验与租赁</x:v>
      </x:c>
      <x:c r="O130" s="29" t="str"/>
      <x:c r="P130" s="30" t="str"/>
      <x:c r="Q130" s="30" t="str"/>
      <x:c r="R130" s="30" t="str"/>
      <x:c r="S130" s="30" t="str"/>
      <x:c r="T130" s="30" t="str">
        <x:v>建议检索：SmallRig 斯莫格 官方 / 公众号 / 微博 / 小红书 / 视频号</x:v>
      </x:c>
      <x:c r="U130" s="30" t="str">
        <x:v>未联系</x:v>
      </x:c>
      <x:c r="V130" s="30" t="str"/>
      <x:c r="W130" s="29" t="str">
        <x:v>高</x:v>
      </x:c>
      <x:c r="X130" s="29" t="str">
        <x:v>https://www.vgover.com/zh-tw/news/226267</x:v>
      </x:c>
    </x:row>
    <x:row r="131">
      <x:c r="A131" s="29" t="n">
        <x:v>128</x:v>
      </x:c>
      <x:c r="B131" s="29" t="str">
        <x:v>E4</x:v>
      </x:c>
      <x:c r="C131" s="29" t="str">
        <x:v>摄影区</x:v>
      </x:c>
      <x:c r="D131" s="29" t="str">
        <x:v>M005</x:v>
      </x:c>
      <x:c r="E131" s="29" t="str">
        <x:v>卓尔</x:v>
      </x:c>
      <x:c r="F131" s="30" t="str"/>
      <x:c r="G131" s="29" t="str">
        <x:v>影像器材</x:v>
      </x:c>
      <x:c r="H131" s="29" t="n">
        <x:v>4</x:v>
      </x:c>
      <x:c r="I131" s="29" t="n">
        <x:v>4</x:v>
      </x:c>
      <x:c r="J131" s="29" t="n">
        <x:v>5</x:v>
      </x:c>
      <x:c r="K131" s="29" t="n">
        <x:v>2</x:v>
      </x:c>
      <x:c r="L131" s="31" t="n">
        <x:f>SUM(H131:K131)</x:f>
        <x:v>15</x:v>
      </x:c>
      <x:c r="M131" s="29" t="str">
        <x:f>IF(L131&gt;=16,"A-优先",IF(L131&gt;=12,"B-培育","C-观察"))</x:f>
        <x:v>B-培育</x:v>
      </x:c>
      <x:c r="N131" s="29" t="str">
        <x:v>创作者基地、影像节、达人内容共创、器材体验与租赁</x:v>
      </x:c>
      <x:c r="O131" s="29" t="str"/>
      <x:c r="P131" s="30" t="str"/>
      <x:c r="Q131" s="30" t="str"/>
      <x:c r="R131" s="30" t="str"/>
      <x:c r="S131" s="30" t="str"/>
      <x:c r="T131" s="30" t="str">
        <x:v>建议检索：卓尔 官方 / 公众号 / 微博 / 小红书 / 视频号</x:v>
      </x:c>
      <x:c r="U131" s="30" t="str">
        <x:v>未联系</x:v>
      </x:c>
      <x:c r="V131" s="30" t="str"/>
      <x:c r="W131" s="29" t="str">
        <x:v>高</x:v>
      </x:c>
      <x:c r="X131" s="29" t="str">
        <x:v>https://www.vgover.com/zh-tw/news/226267</x:v>
      </x:c>
    </x:row>
    <x:row r="132">
      <x:c r="A132" s="29" t="n">
        <x:v>129</x:v>
      </x:c>
      <x:c r="B132" s="29" t="str">
        <x:v>E4</x:v>
      </x:c>
      <x:c r="C132" s="29" t="str">
        <x:v>摄影区</x:v>
      </x:c>
      <x:c r="D132" s="29" t="str">
        <x:v>M006</x:v>
      </x:c>
      <x:c r="E132" s="29" t="str">
        <x:v>工匠行者</x:v>
      </x:c>
      <x:c r="F132" s="30" t="str"/>
      <x:c r="G132" s="29" t="str">
        <x:v>影像器材</x:v>
      </x:c>
      <x:c r="H132" s="29" t="n">
        <x:v>4</x:v>
      </x:c>
      <x:c r="I132" s="29" t="n">
        <x:v>4</x:v>
      </x:c>
      <x:c r="J132" s="29" t="n">
        <x:v>5</x:v>
      </x:c>
      <x:c r="K132" s="29" t="n">
        <x:v>2</x:v>
      </x:c>
      <x:c r="L132" s="31" t="n">
        <x:f>SUM(H132:K132)</x:f>
        <x:v>15</x:v>
      </x:c>
      <x:c r="M132" s="29" t="str">
        <x:f>IF(L132&gt;=16,"A-优先",IF(L132&gt;=12,"B-培育","C-观察"))</x:f>
        <x:v>B-培育</x:v>
      </x:c>
      <x:c r="N132" s="29" t="str">
        <x:v>创作者基地、影像节、达人内容共创、器材体验与租赁</x:v>
      </x:c>
      <x:c r="O132" s="29" t="str"/>
      <x:c r="P132" s="30" t="str"/>
      <x:c r="Q132" s="30" t="str"/>
      <x:c r="R132" s="30" t="str"/>
      <x:c r="S132" s="30" t="str"/>
      <x:c r="T132" s="30" t="str">
        <x:v>建议检索：工匠行者 官方 / 公众号 / 微博 / 小红书 / 视频号</x:v>
      </x:c>
      <x:c r="U132" s="30" t="str">
        <x:v>未联系</x:v>
      </x:c>
      <x:c r="V132" s="30" t="str"/>
      <x:c r="W132" s="29" t="str">
        <x:v>高</x:v>
      </x:c>
      <x:c r="X132" s="29" t="str">
        <x:v>https://www.vgover.com/zh-tw/news/226267</x:v>
      </x:c>
    </x:row>
    <x:row r="133">
      <x:c r="A133" s="29" t="n">
        <x:v>130</x:v>
      </x:c>
      <x:c r="B133" s="29" t="str">
        <x:v>E4</x:v>
      </x:c>
      <x:c r="C133" s="29" t="str">
        <x:v>摄影区</x:v>
      </x:c>
      <x:c r="D133" s="29" t="str">
        <x:v>M007</x:v>
      </x:c>
      <x:c r="E133" s="29" t="str">
        <x:v>NANLITE 南光</x:v>
      </x:c>
      <x:c r="F133" s="30" t="str"/>
      <x:c r="G133" s="29" t="str">
        <x:v>影视灯光</x:v>
      </x:c>
      <x:c r="H133" s="29" t="n">
        <x:v>3</x:v>
      </x:c>
      <x:c r="I133" s="29" t="n">
        <x:v>4</x:v>
      </x:c>
      <x:c r="J133" s="29" t="n">
        <x:v>3</x:v>
      </x:c>
      <x:c r="K133" s="29" t="n">
        <x:v>2</x:v>
      </x:c>
      <x:c r="L133" s="31" t="n">
        <x:f>SUM(H133:K133)</x:f>
        <x:v>12</x:v>
      </x:c>
      <x:c r="M133" s="29" t="str">
        <x:f>IF(L133&gt;=16,"A-优先",IF(L133&gt;=12,"B-培育","C-观察"))</x:f>
        <x:v>B-培育</x:v>
      </x:c>
      <x:c r="N133" s="29" t="str">
        <x:v>创作者基地、影像节、达人内容共创、器材体验与租赁</x:v>
      </x:c>
      <x:c r="O133" s="29" t="str"/>
      <x:c r="P133" s="30" t="str"/>
      <x:c r="Q133" s="30" t="str"/>
      <x:c r="R133" s="30" t="str"/>
      <x:c r="S133" s="30" t="str"/>
      <x:c r="T133" s="30" t="str">
        <x:v>建议检索：NANLITE 南光 官方 / 公众号 / 微博 / 小红书 / 视频号</x:v>
      </x:c>
      <x:c r="U133" s="30" t="str">
        <x:v>未联系</x:v>
      </x:c>
      <x:c r="V133" s="30" t="str"/>
      <x:c r="W133" s="29" t="str">
        <x:v>高</x:v>
      </x:c>
      <x:c r="X133" s="29" t="str">
        <x:v>https://www.vgover.com/zh-tw/news/226267</x:v>
      </x:c>
    </x:row>
    <x:row r="134">
      <x:c r="A134" s="29" t="n">
        <x:v>131</x:v>
      </x:c>
      <x:c r="B134" s="29" t="str">
        <x:v>E4</x:v>
      </x:c>
      <x:c r="C134" s="29" t="str">
        <x:v>摄影区</x:v>
      </x:c>
      <x:c r="D134" s="29" t="str">
        <x:v>M008</x:v>
      </x:c>
      <x:c r="E134" s="29" t="str">
        <x:v>百诺</x:v>
      </x:c>
      <x:c r="F134" s="30" t="str"/>
      <x:c r="G134" s="29" t="str">
        <x:v>影像器材</x:v>
      </x:c>
      <x:c r="H134" s="29" t="n">
        <x:v>4</x:v>
      </x:c>
      <x:c r="I134" s="29" t="n">
        <x:v>4</x:v>
      </x:c>
      <x:c r="J134" s="29" t="n">
        <x:v>5</x:v>
      </x:c>
      <x:c r="K134" s="29" t="n">
        <x:v>2</x:v>
      </x:c>
      <x:c r="L134" s="31" t="n">
        <x:f>SUM(H134:K134)</x:f>
        <x:v>15</x:v>
      </x:c>
      <x:c r="M134" s="29" t="str">
        <x:f>IF(L134&gt;=16,"A-优先",IF(L134&gt;=12,"B-培育","C-观察"))</x:f>
        <x:v>B-培育</x:v>
      </x:c>
      <x:c r="N134" s="29" t="str">
        <x:v>创作者基地、影像节、达人内容共创、器材体验与租赁</x:v>
      </x:c>
      <x:c r="O134" s="29" t="str"/>
      <x:c r="P134" s="30" t="str"/>
      <x:c r="Q134" s="30" t="str"/>
      <x:c r="R134" s="30" t="str"/>
      <x:c r="S134" s="30" t="str"/>
      <x:c r="T134" s="30" t="str">
        <x:v>建议检索：百诺 官方 / 公众号 / 微博 / 小红书 / 视频号</x:v>
      </x:c>
      <x:c r="U134" s="30" t="str">
        <x:v>未联系</x:v>
      </x:c>
      <x:c r="V134" s="30" t="str"/>
      <x:c r="W134" s="29" t="str">
        <x:v>高</x:v>
      </x:c>
      <x:c r="X134" s="29" t="str">
        <x:v>https://www.vgover.com/zh-tw/news/226267</x:v>
      </x:c>
    </x:row>
    <x:row r="135">
      <x:c r="A135" s="29" t="n">
        <x:v>132</x:v>
      </x:c>
      <x:c r="B135" s="29" t="str">
        <x:v>E4</x:v>
      </x:c>
      <x:c r="C135" s="29" t="str">
        <x:v>摄影区</x:v>
      </x:c>
      <x:c r="D135" s="29" t="str">
        <x:v>M301</x:v>
      </x:c>
      <x:c r="E135" s="29" t="str">
        <x:v>Nikon 尼康</x:v>
      </x:c>
      <x:c r="F135" s="30" t="str"/>
      <x:c r="G135" s="29" t="str">
        <x:v>影像设备</x:v>
      </x:c>
      <x:c r="H135" s="29" t="n">
        <x:v>4</x:v>
      </x:c>
      <x:c r="I135" s="29" t="n">
        <x:v>4</x:v>
      </x:c>
      <x:c r="J135" s="29" t="n">
        <x:v>5</x:v>
      </x:c>
      <x:c r="K135" s="29" t="n">
        <x:v>4</x:v>
      </x:c>
      <x:c r="L135" s="31" t="n">
        <x:f>SUM(H135:K135)</x:f>
        <x:v>17</x:v>
      </x:c>
      <x:c r="M135" s="29" t="str">
        <x:f>IF(L135&gt;=16,"A-优先",IF(L135&gt;=12,"B-培育","C-观察"))</x:f>
        <x:v>A-优先</x:v>
      </x:c>
      <x:c r="N135" s="29" t="str">
        <x:v>创作者基地、影像节、达人内容共创、器材体验与租赁</x:v>
      </x:c>
      <x:c r="O135" s="29" t="str"/>
      <x:c r="P135" s="30" t="str"/>
      <x:c r="Q135" s="30" t="str"/>
      <x:c r="R135" s="30" t="str"/>
      <x:c r="S135" s="30" t="str">
        <x:v>https://www.nikon.com.cn/</x:v>
      </x:c>
      <x:c r="T135" s="30" t="str">
        <x:v>Nikon 尼康 官方网站/认证公众号/微博（招商前复核具体商务入口）</x:v>
      </x:c>
      <x:c r="U135" s="30" t="str">
        <x:v>未联系</x:v>
      </x:c>
      <x:c r="V135" s="30" t="str"/>
      <x:c r="W135" s="29" t="str">
        <x:v>高</x:v>
      </x:c>
      <x:c r="X135" s="29" t="str">
        <x:v>https://www.vgover.com/zh-tw/news/226267</x:v>
      </x:c>
    </x:row>
    <x:row r="136">
      <x:c r="A136" s="29" t="n">
        <x:v>133</x:v>
      </x:c>
      <x:c r="B136" s="29" t="str">
        <x:v>E4</x:v>
      </x:c>
      <x:c r="C136" s="29" t="str">
        <x:v>摄影区</x:v>
      </x:c>
      <x:c r="D136" s="29" t="str">
        <x:v>M302</x:v>
      </x:c>
      <x:c r="E136" s="29" t="str">
        <x:v>SIGMA 适马</x:v>
      </x:c>
      <x:c r="F136" s="30" t="str"/>
      <x:c r="G136" s="29" t="str">
        <x:v>镜头/影像</x:v>
      </x:c>
      <x:c r="H136" s="29" t="n">
        <x:v>4</x:v>
      </x:c>
      <x:c r="I136" s="29" t="n">
        <x:v>4</x:v>
      </x:c>
      <x:c r="J136" s="29" t="n">
        <x:v>5</x:v>
      </x:c>
      <x:c r="K136" s="29" t="n">
        <x:v>2</x:v>
      </x:c>
      <x:c r="L136" s="31" t="n">
        <x:f>SUM(H136:K136)</x:f>
        <x:v>15</x:v>
      </x:c>
      <x:c r="M136" s="29" t="str">
        <x:f>IF(L136&gt;=16,"A-优先",IF(L136&gt;=12,"B-培育","C-观察"))</x:f>
        <x:v>B-培育</x:v>
      </x:c>
      <x:c r="N136" s="29" t="str">
        <x:v>创作者基地、影像节、达人内容共创、器材体验与租赁</x:v>
      </x:c>
      <x:c r="O136" s="29" t="str"/>
      <x:c r="P136" s="30" t="str"/>
      <x:c r="Q136" s="30" t="str"/>
      <x:c r="R136" s="30" t="str"/>
      <x:c r="S136" s="30" t="str"/>
      <x:c r="T136" s="30" t="str">
        <x:v>建议检索：SIGMA 适马 官方 / 公众号 / 微博 / 小红书 / 视频号</x:v>
      </x:c>
      <x:c r="U136" s="30" t="str">
        <x:v>未联系</x:v>
      </x:c>
      <x:c r="V136" s="30" t="str"/>
      <x:c r="W136" s="29" t="str">
        <x:v>高</x:v>
      </x:c>
      <x:c r="X136" s="29" t="str">
        <x:v>https://www.vgover.com/zh-tw/news/226267</x:v>
      </x:c>
    </x:row>
    <x:row r="137">
      <x:c r="A137" s="29" t="n">
        <x:v>134</x:v>
      </x:c>
      <x:c r="B137" s="29" t="str">
        <x:v>E4</x:v>
      </x:c>
      <x:c r="C137" s="29" t="str">
        <x:v>摄影区</x:v>
      </x:c>
      <x:c r="D137" s="29" t="str">
        <x:v>M302</x:v>
      </x:c>
      <x:c r="E137" s="29" t="str">
        <x:v>Panasonic 松下</x:v>
      </x:c>
      <x:c r="F137" s="30" t="str"/>
      <x:c r="G137" s="29" t="str">
        <x:v>影像/消费电子</x:v>
      </x:c>
      <x:c r="H137" s="29" t="n">
        <x:v>5</x:v>
      </x:c>
      <x:c r="I137" s="29" t="n">
        <x:v>4</x:v>
      </x:c>
      <x:c r="J137" s="29" t="n">
        <x:v>5</x:v>
      </x:c>
      <x:c r="K137" s="29" t="n">
        <x:v>4</x:v>
      </x:c>
      <x:c r="L137" s="31" t="n">
        <x:f>SUM(H137:K137)</x:f>
        <x:v>18</x:v>
      </x:c>
      <x:c r="M137" s="29" t="str">
        <x:f>IF(L137&gt;=16,"A-优先",IF(L137&gt;=12,"B-培育","C-观察"))</x:f>
        <x:v>A-优先</x:v>
      </x:c>
      <x:c r="N137" s="29" t="str">
        <x:v>创作者基地、影像节、达人内容共创、器材体验与租赁</x:v>
      </x:c>
      <x:c r="O137" s="29" t="str"/>
      <x:c r="P137" s="30" t="str"/>
      <x:c r="Q137" s="30" t="str"/>
      <x:c r="R137" s="30" t="str"/>
      <x:c r="S137" s="30" t="str">
        <x:v>https://panasonic.cn/</x:v>
      </x:c>
      <x:c r="T137" s="30" t="str">
        <x:v>Panasonic 松下 官方网站/认证公众号/微博（招商前复核具体商务入口）</x:v>
      </x:c>
      <x:c r="U137" s="30" t="str">
        <x:v>未联系</x:v>
      </x:c>
      <x:c r="V137" s="30" t="str"/>
      <x:c r="W137" s="29" t="str">
        <x:v>高</x:v>
      </x:c>
      <x:c r="X137" s="29" t="str">
        <x:v>https://www.vgover.com/zh-tw/news/226267</x:v>
      </x:c>
    </x:row>
    <x:row r="138">
      <x:c r="A138" s="29" t="n">
        <x:v>135</x:v>
      </x:c>
      <x:c r="B138" s="29" t="str">
        <x:v>E4</x:v>
      </x:c>
      <x:c r="C138" s="29" t="str">
        <x:v>摄影区</x:v>
      </x:c>
      <x:c r="D138" s="29" t="str">
        <x:v>M303</x:v>
      </x:c>
      <x:c r="E138" s="29" t="str">
        <x:v>SanDisk 闪迪</x:v>
      </x:c>
      <x:c r="F138" s="30" t="str"/>
      <x:c r="G138" s="29" t="str">
        <x:v>存储</x:v>
      </x:c>
      <x:c r="H138" s="29" t="n">
        <x:v>3</x:v>
      </x:c>
      <x:c r="I138" s="29" t="n">
        <x:v>4</x:v>
      </x:c>
      <x:c r="J138" s="29" t="n">
        <x:v>3</x:v>
      </x:c>
      <x:c r="K138" s="29" t="n">
        <x:v>4</x:v>
      </x:c>
      <x:c r="L138" s="31" t="n">
        <x:f>SUM(H138:K138)</x:f>
        <x:v>14</x:v>
      </x:c>
      <x:c r="M138" s="29" t="str">
        <x:f>IF(L138&gt;=16,"A-优先",IF(L138&gt;=12,"B-培育","C-观察"))</x:f>
        <x:v>B-培育</x:v>
      </x:c>
      <x:c r="N138" s="29" t="str">
        <x:v>创作者基地、影像节、达人内容共创、器材体验与租赁</x:v>
      </x:c>
      <x:c r="O138" s="29" t="str"/>
      <x:c r="P138" s="30" t="str"/>
      <x:c r="Q138" s="30" t="str"/>
      <x:c r="R138" s="30" t="str"/>
      <x:c r="S138" s="30" t="str">
        <x:v>https://www.westerndigital.com/zh-cn/brand/sandisk</x:v>
      </x:c>
      <x:c r="T138" s="30" t="str">
        <x:v>SanDisk 闪迪 官方网站/认证公众号/微博（招商前复核具体商务入口）</x:v>
      </x:c>
      <x:c r="U138" s="30" t="str">
        <x:v>未联系</x:v>
      </x:c>
      <x:c r="V138" s="30" t="str"/>
      <x:c r="W138" s="29" t="str">
        <x:v>高</x:v>
      </x:c>
      <x:c r="X138" s="29" t="str">
        <x:v>https://www.vgover.com/zh-tw/news/226267</x:v>
      </x:c>
    </x:row>
    <x:row r="139">
      <x:c r="A139" s="29" t="n">
        <x:v>136</x:v>
      </x:c>
      <x:c r="B139" s="29" t="str">
        <x:v>E4</x:v>
      </x:c>
      <x:c r="C139" s="29" t="str">
        <x:v>摄影区</x:v>
      </x:c>
      <x:c r="D139" s="29" t="str">
        <x:v>M303</x:v>
      </x:c>
      <x:c r="E139" s="29" t="str">
        <x:v>科技视讯</x:v>
      </x:c>
      <x:c r="F139" s="30" t="str"/>
      <x:c r="G139" s="29" t="str">
        <x:v>科技媒体</x:v>
      </x:c>
      <x:c r="H139" s="29" t="n">
        <x:v>4</x:v>
      </x:c>
      <x:c r="I139" s="29" t="n">
        <x:v>4</x:v>
      </x:c>
      <x:c r="J139" s="29" t="n">
        <x:v>4</x:v>
      </x:c>
      <x:c r="K139" s="29" t="n">
        <x:v>2</x:v>
      </x:c>
      <x:c r="L139" s="31" t="n">
        <x:f>SUM(H139:K139)</x:f>
        <x:v>14</x:v>
      </x:c>
      <x:c r="M139" s="29" t="str">
        <x:f>IF(L139&gt;=16,"A-优先",IF(L139&gt;=12,"B-培育","C-观察"))</x:f>
        <x:v>B-培育</x:v>
      </x:c>
      <x:c r="N139" s="29" t="str">
        <x:v>创作者基地、影像节、达人内容共创、器材体验与租赁</x:v>
      </x:c>
      <x:c r="O139" s="29" t="str"/>
      <x:c r="P139" s="30" t="str"/>
      <x:c r="Q139" s="30" t="str"/>
      <x:c r="R139" s="30" t="str"/>
      <x:c r="S139" s="30" t="str"/>
      <x:c r="T139" s="30" t="str">
        <x:v>建议检索：科技视讯 官方 / 公众号 / 微博 / 小红书 / 视频号</x:v>
      </x:c>
      <x:c r="U139" s="30" t="str">
        <x:v>未联系</x:v>
      </x:c>
      <x:c r="V139" s="30" t="str"/>
      <x:c r="W139" s="29" t="str">
        <x:v>高</x:v>
      </x:c>
      <x:c r="X139" s="29" t="str">
        <x:v>https://www.vgover.com/zh-tw/news/226267</x:v>
      </x:c>
    </x:row>
    <x:row r="140">
      <x:c r="A140" s="29" t="n">
        <x:v>137</x:v>
      </x:c>
      <x:c r="B140" s="29" t="str">
        <x:v>E4</x:v>
      </x:c>
      <x:c r="C140" s="29" t="str">
        <x:v>摄影区</x:v>
      </x:c>
      <x:c r="D140" s="29" t="str">
        <x:v>M305</x:v>
      </x:c>
      <x:c r="E140" s="29" t="str">
        <x:v>Yadea 雅迪</x:v>
      </x:c>
      <x:c r="F140" s="30" t="str"/>
      <x:c r="G140" s="29" t="str">
        <x:v>跨界品牌/出行</x:v>
      </x:c>
      <x:c r="H140" s="29" t="n">
        <x:v>3</x:v>
      </x:c>
      <x:c r="I140" s="29" t="n">
        <x:v>4</x:v>
      </x:c>
      <x:c r="J140" s="29" t="n">
        <x:v>3</x:v>
      </x:c>
      <x:c r="K140" s="29" t="n">
        <x:v>2</x:v>
      </x:c>
      <x:c r="L140" s="31" t="n">
        <x:f>SUM(H140:K140)</x:f>
        <x:v>12</x:v>
      </x:c>
      <x:c r="M140" s="29" t="str">
        <x:f>IF(L140&gt;=16,"A-优先",IF(L140&gt;=12,"B-培育","C-观察"))</x:f>
        <x:v>B-培育</x:v>
      </x:c>
      <x:c r="N140" s="29" t="str">
        <x:v>创作者基地、影像节、达人内容共创、器材体验与租赁</x:v>
      </x:c>
      <x:c r="O140" s="29" t="str"/>
      <x:c r="P140" s="30" t="str"/>
      <x:c r="Q140" s="30" t="str"/>
      <x:c r="R140" s="30" t="str"/>
      <x:c r="S140" s="30" t="str"/>
      <x:c r="T140" s="30" t="str">
        <x:v>建议检索：Yadea 雅迪 官方 / 公众号 / 微博 / 小红书 / 视频号</x:v>
      </x:c>
      <x:c r="U140" s="30" t="str">
        <x:v>未联系</x:v>
      </x:c>
      <x:c r="V140" s="30" t="str"/>
      <x:c r="W140" s="29" t="str">
        <x:v>高</x:v>
      </x:c>
      <x:c r="X140" s="29" t="str">
        <x:v>https://www.vgover.com/zh-tw/news/226267</x:v>
      </x:c>
    </x:row>
    <x:row r="141">
      <x:c r="A141" s="29" t="n">
        <x:v>138</x:v>
      </x:c>
      <x:c r="B141" s="29" t="str">
        <x:v>E4</x:v>
      </x:c>
      <x:c r="C141" s="29" t="str">
        <x:v>摄影区</x:v>
      </x:c>
      <x:c r="D141" s="29" t="str">
        <x:v>M306</x:v>
      </x:c>
      <x:c r="E141" s="29" t="str">
        <x:v>Polaroid 宝丽来</x:v>
      </x:c>
      <x:c r="F141" s="30" t="str"/>
      <x:c r="G141" s="29" t="str">
        <x:v>即时影像</x:v>
      </x:c>
      <x:c r="H141" s="29" t="n">
        <x:v>4</x:v>
      </x:c>
      <x:c r="I141" s="29" t="n">
        <x:v>4</x:v>
      </x:c>
      <x:c r="J141" s="29" t="n">
        <x:v>5</x:v>
      </x:c>
      <x:c r="K141" s="29" t="n">
        <x:v>2</x:v>
      </x:c>
      <x:c r="L141" s="31" t="n">
        <x:f>SUM(H141:K141)</x:f>
        <x:v>15</x:v>
      </x:c>
      <x:c r="M141" s="29" t="str">
        <x:f>IF(L141&gt;=16,"A-优先",IF(L141&gt;=12,"B-培育","C-观察"))</x:f>
        <x:v>B-培育</x:v>
      </x:c>
      <x:c r="N141" s="29" t="str">
        <x:v>创作者基地、影像节、达人内容共创、器材体验与租赁</x:v>
      </x:c>
      <x:c r="O141" s="29" t="str"/>
      <x:c r="P141" s="30" t="str"/>
      <x:c r="Q141" s="30" t="str"/>
      <x:c r="R141" s="30" t="str"/>
      <x:c r="S141" s="30" t="str"/>
      <x:c r="T141" s="30" t="str">
        <x:v>建议检索：Polaroid 宝丽来 官方 / 公众号 / 微博 / 小红书 / 视频号</x:v>
      </x:c>
      <x:c r="U141" s="30" t="str">
        <x:v>未联系</x:v>
      </x:c>
      <x:c r="V141" s="30" t="str"/>
      <x:c r="W141" s="29" t="str">
        <x:v>高</x:v>
      </x:c>
      <x:c r="X141" s="29" t="str">
        <x:v>https://www.vgover.com/zh-tw/news/226267</x:v>
      </x:c>
    </x:row>
    <x:row r="142">
      <x:c r="A142" s="29" t="n">
        <x:v>139</x:v>
      </x:c>
      <x:c r="B142" s="29" t="str">
        <x:v>E4</x:v>
      </x:c>
      <x:c r="C142" s="29" t="str">
        <x:v>摄影区</x:v>
      </x:c>
      <x:c r="D142" s="29" t="str">
        <x:v>M307</x:v>
      </x:c>
      <x:c r="E142" s="29" t="str">
        <x:v>PGYTECH</x:v>
      </x:c>
      <x:c r="F142" s="30" t="str"/>
      <x:c r="G142" s="29" t="str">
        <x:v>影像配件</x:v>
      </x:c>
      <x:c r="H142" s="29" t="n">
        <x:v>4</x:v>
      </x:c>
      <x:c r="I142" s="29" t="n">
        <x:v>4</x:v>
      </x:c>
      <x:c r="J142" s="29" t="n">
        <x:v>5</x:v>
      </x:c>
      <x:c r="K142" s="29" t="n">
        <x:v>2</x:v>
      </x:c>
      <x:c r="L142" s="31" t="n">
        <x:f>SUM(H142:K142)</x:f>
        <x:v>15</x:v>
      </x:c>
      <x:c r="M142" s="29" t="str">
        <x:f>IF(L142&gt;=16,"A-优先",IF(L142&gt;=12,"B-培育","C-观察"))</x:f>
        <x:v>B-培育</x:v>
      </x:c>
      <x:c r="N142" s="29" t="str">
        <x:v>创作者基地、影像节、达人内容共创、器材体验与租赁</x:v>
      </x:c>
      <x:c r="O142" s="29" t="str"/>
      <x:c r="P142" s="30" t="str"/>
      <x:c r="Q142" s="30" t="str"/>
      <x:c r="R142" s="30" t="str"/>
      <x:c r="S142" s="30" t="str"/>
      <x:c r="T142" s="30" t="str">
        <x:v>建议检索：PGYTECH 官方 / 公众号 / 微博 / 小红书 / 视频号</x:v>
      </x:c>
      <x:c r="U142" s="30" t="str">
        <x:v>未联系</x:v>
      </x:c>
      <x:c r="V142" s="30" t="str"/>
      <x:c r="W142" s="29" t="str">
        <x:v>高</x:v>
      </x:c>
      <x:c r="X142" s="29" t="str">
        <x:v>https://www.vgover.com/zh-tw/news/226267</x:v>
      </x:c>
    </x:row>
    <x:row r="143">
      <x:c r="A143" s="29" t="n">
        <x:v>140</x:v>
      </x:c>
      <x:c r="B143" s="29" t="str">
        <x:v>E4</x:v>
      </x:c>
      <x:c r="C143" s="29" t="str">
        <x:v>摄影区</x:v>
      </x:c>
      <x:c r="D143" s="29" t="str">
        <x:v>M308</x:v>
      </x:c>
      <x:c r="E143" s="29" t="str">
        <x:v>乐摄宝 Lowepro</x:v>
      </x:c>
      <x:c r="F143" s="30" t="str"/>
      <x:c r="G143" s="29" t="str">
        <x:v>摄影包</x:v>
      </x:c>
      <x:c r="H143" s="29" t="n">
        <x:v>3</x:v>
      </x:c>
      <x:c r="I143" s="29" t="n">
        <x:v>4</x:v>
      </x:c>
      <x:c r="J143" s="29" t="n">
        <x:v>3</x:v>
      </x:c>
      <x:c r="K143" s="29" t="n">
        <x:v>2</x:v>
      </x:c>
      <x:c r="L143" s="31" t="n">
        <x:f>SUM(H143:K143)</x:f>
        <x:v>12</x:v>
      </x:c>
      <x:c r="M143" s="29" t="str">
        <x:f>IF(L143&gt;=16,"A-优先",IF(L143&gt;=12,"B-培育","C-观察"))</x:f>
        <x:v>B-培育</x:v>
      </x:c>
      <x:c r="N143" s="29" t="str">
        <x:v>创作者基地、影像节、达人内容共创、器材体验与租赁</x:v>
      </x:c>
      <x:c r="O143" s="29" t="str"/>
      <x:c r="P143" s="30" t="str"/>
      <x:c r="Q143" s="30" t="str"/>
      <x:c r="R143" s="30" t="str"/>
      <x:c r="S143" s="30" t="str"/>
      <x:c r="T143" s="30" t="str">
        <x:v>建议检索：乐摄宝 Lowepro 官方 / 公众号 / 微博 / 小红书 / 视频号</x:v>
      </x:c>
      <x:c r="U143" s="30" t="str">
        <x:v>未联系</x:v>
      </x:c>
      <x:c r="V143" s="30" t="str"/>
      <x:c r="W143" s="29" t="str">
        <x:v>高</x:v>
      </x:c>
      <x:c r="X143" s="29" t="str">
        <x:v>https://www.vgover.com/zh-tw/news/226267</x:v>
      </x:c>
    </x:row>
    <x:row r="144">
      <x:c r="A144" s="29" t="n">
        <x:v>141</x:v>
      </x:c>
      <x:c r="B144" s="29" t="str">
        <x:v>E5</x:v>
      </x:c>
      <x:c r="C144" s="29" t="str">
        <x:v>魔玩天地</x:v>
      </x:c>
      <x:c r="D144" s="29" t="str">
        <x:v>FM101</x:v>
      </x:c>
      <x:c r="E144" s="29" t="str">
        <x:v>MOSHOW TOYS</x:v>
      </x:c>
      <x:c r="F144" s="30" t="str"/>
      <x:c r="G144" s="29" t="str">
        <x:v>模型/机甲</x:v>
      </x:c>
      <x:c r="H144" s="29" t="n">
        <x:v>3</x:v>
      </x:c>
      <x:c r="I144" s="29" t="n">
        <x:v>5</x:v>
      </x:c>
      <x:c r="J144" s="29" t="n">
        <x:v>3</x:v>
      </x:c>
      <x:c r="K144" s="29" t="n">
        <x:v>2</x:v>
      </x:c>
      <x:c r="L144" s="31" t="n">
        <x:f>SUM(H144:K144)</x:f>
        <x:v>13</x:v>
      </x:c>
      <x:c r="M144" s="29" t="str">
        <x:f>IF(L144&gt;=16,"A-优先",IF(L144&gt;=12,"B-培育","C-观察"))</x:f>
        <x:v>B-培育</x:v>
      </x:c>
      <x:c r="N144" s="29" t="str">
        <x:v>IP授权、谷子经济、商业体快闪、首店首发、制造与渠道</x:v>
      </x:c>
      <x:c r="O144" s="29" t="str"/>
      <x:c r="P144" s="30" t="str"/>
      <x:c r="Q144" s="30" t="str"/>
      <x:c r="R144" s="30" t="str"/>
      <x:c r="S144" s="30" t="str"/>
      <x:c r="T144" s="30" t="str">
        <x:v>建议检索：MOSHOW TOYS 官方 / 公众号 / 微博 / 小红书 / 视频号</x:v>
      </x:c>
      <x:c r="U144" s="30" t="str">
        <x:v>未联系</x:v>
      </x:c>
      <x:c r="V144" s="30" t="str"/>
      <x:c r="W144" s="29" t="str">
        <x:v>高</x:v>
      </x:c>
      <x:c r="X144" s="29" t="str">
        <x:v>https://www.vgover.com/zh-tw/news/226267</x:v>
      </x:c>
    </x:row>
    <x:row r="145">
      <x:c r="A145" s="29" t="n">
        <x:v>142</x:v>
      </x:c>
      <x:c r="B145" s="29" t="str">
        <x:v>E5</x:v>
      </x:c>
      <x:c r="C145" s="29" t="str">
        <x:v>魔玩天地</x:v>
      </x:c>
      <x:c r="D145" s="29" t="str">
        <x:v>FM102</x:v>
      </x:c>
      <x:c r="E145" s="29" t="str">
        <x:v>淘天潮玩</x:v>
      </x:c>
      <x:c r="F145" s="30" t="str"/>
      <x:c r="G145" s="29" t="str">
        <x:v>电商/潮玩</x:v>
      </x:c>
      <x:c r="H145" s="29" t="n">
        <x:v>4</x:v>
      </x:c>
      <x:c r="I145" s="29" t="n">
        <x:v>5</x:v>
      </x:c>
      <x:c r="J145" s="29" t="n">
        <x:v>5</x:v>
      </x:c>
      <x:c r="K145" s="29" t="n">
        <x:v>2</x:v>
      </x:c>
      <x:c r="L145" s="31" t="n">
        <x:f>SUM(H145:K145)</x:f>
        <x:v>16</x:v>
      </x:c>
      <x:c r="M145" s="29" t="str">
        <x:f>IF(L145&gt;=16,"A-优先",IF(L145&gt;=12,"B-培育","C-观察"))</x:f>
        <x:v>A-优先</x:v>
      </x:c>
      <x:c r="N145" s="29" t="str">
        <x:v>IP授权、谷子经济、商业体快闪、首店首发、制造与渠道</x:v>
      </x:c>
      <x:c r="O145" s="29" t="str"/>
      <x:c r="P145" s="30" t="str"/>
      <x:c r="Q145" s="30" t="str"/>
      <x:c r="R145" s="30" t="str"/>
      <x:c r="S145" s="30" t="str"/>
      <x:c r="T145" s="30" t="str">
        <x:v>建议检索：淘天潮玩 官方 / 公众号 / 微博 / 小红书 / 视频号</x:v>
      </x:c>
      <x:c r="U145" s="30" t="str">
        <x:v>未联系</x:v>
      </x:c>
      <x:c r="V145" s="30" t="str"/>
      <x:c r="W145" s="29" t="str">
        <x:v>高</x:v>
      </x:c>
      <x:c r="X145" s="29" t="str">
        <x:v>https://www.vgover.com/zh-tw/news/226267</x:v>
      </x:c>
    </x:row>
    <x:row r="146">
      <x:c r="A146" s="29" t="n">
        <x:v>143</x:v>
      </x:c>
      <x:c r="B146" s="29" t="str">
        <x:v>E5</x:v>
      </x:c>
      <x:c r="C146" s="29" t="str">
        <x:v>魔玩天地</x:v>
      </x:c>
      <x:c r="D146" s="29" t="str">
        <x:v>FM103</x:v>
      </x:c>
      <x:c r="E146" s="29" t="str">
        <x:v>Hot Toys</x:v>
      </x:c>
      <x:c r="F146" s="30" t="str"/>
      <x:c r="G146" s="29" t="str">
        <x:v>收藏玩具</x:v>
      </x:c>
      <x:c r="H146" s="29" t="n">
        <x:v>3</x:v>
      </x:c>
      <x:c r="I146" s="29" t="n">
        <x:v>5</x:v>
      </x:c>
      <x:c r="J146" s="29" t="n">
        <x:v>3</x:v>
      </x:c>
      <x:c r="K146" s="29" t="n">
        <x:v>2</x:v>
      </x:c>
      <x:c r="L146" s="31" t="n">
        <x:f>SUM(H146:K146)</x:f>
        <x:v>13</x:v>
      </x:c>
      <x:c r="M146" s="29" t="str">
        <x:f>IF(L146&gt;=16,"A-优先",IF(L146&gt;=12,"B-培育","C-观察"))</x:f>
        <x:v>B-培育</x:v>
      </x:c>
      <x:c r="N146" s="29" t="str">
        <x:v>IP授权、谷子经济、商业体快闪、首店首发、制造与渠道</x:v>
      </x:c>
      <x:c r="O146" s="29" t="str"/>
      <x:c r="P146" s="30" t="str"/>
      <x:c r="Q146" s="30" t="str"/>
      <x:c r="R146" s="30" t="str"/>
      <x:c r="S146" s="30" t="str"/>
      <x:c r="T146" s="30" t="str">
        <x:v>建议检索：Hot Toys 官方 / 公众号 / 微博 / 小红书 / 视频号</x:v>
      </x:c>
      <x:c r="U146" s="30" t="str">
        <x:v>未联系</x:v>
      </x:c>
      <x:c r="V146" s="30" t="str"/>
      <x:c r="W146" s="29" t="str">
        <x:v>高</x:v>
      </x:c>
      <x:c r="X146" s="29" t="str">
        <x:v>https://www.vgover.com/zh-tw/news/226267</x:v>
      </x:c>
    </x:row>
    <x:row r="147">
      <x:c r="A147" s="29" t="n">
        <x:v>144</x:v>
      </x:c>
      <x:c r="B147" s="29" t="str">
        <x:v>E5</x:v>
      </x:c>
      <x:c r="C147" s="29" t="str">
        <x:v>魔玩天地</x:v>
      </x:c>
      <x:c r="D147" s="29" t="str">
        <x:v>FM104</x:v>
      </x:c>
      <x:c r="E147" s="29" t="str">
        <x:v>HIT CARD</x:v>
      </x:c>
      <x:c r="F147" s="30" t="str"/>
      <x:c r="G147" s="29" t="str">
        <x:v>卡牌</x:v>
      </x:c>
      <x:c r="H147" s="29" t="n">
        <x:v>3</x:v>
      </x:c>
      <x:c r="I147" s="29" t="n">
        <x:v>5</x:v>
      </x:c>
      <x:c r="J147" s="29" t="n">
        <x:v>3</x:v>
      </x:c>
      <x:c r="K147" s="29" t="n">
        <x:v>2</x:v>
      </x:c>
      <x:c r="L147" s="31" t="n">
        <x:f>SUM(H147:K147)</x:f>
        <x:v>13</x:v>
      </x:c>
      <x:c r="M147" s="29" t="str">
        <x:f>IF(L147&gt;=16,"A-优先",IF(L147&gt;=12,"B-培育","C-观察"))</x:f>
        <x:v>B-培育</x:v>
      </x:c>
      <x:c r="N147" s="29" t="str">
        <x:v>IP授权、谷子经济、商业体快闪、首店首发、制造与渠道</x:v>
      </x:c>
      <x:c r="O147" s="29" t="str"/>
      <x:c r="P147" s="30" t="str"/>
      <x:c r="Q147" s="30" t="str"/>
      <x:c r="R147" s="30" t="str"/>
      <x:c r="S147" s="30" t="str"/>
      <x:c r="T147" s="30" t="str">
        <x:v>建议检索：HIT CARD 官方 / 公众号 / 微博 / 小红书 / 视频号</x:v>
      </x:c>
      <x:c r="U147" s="30" t="str">
        <x:v>未联系</x:v>
      </x:c>
      <x:c r="V147" s="30" t="str"/>
      <x:c r="W147" s="29" t="str">
        <x:v>高</x:v>
      </x:c>
      <x:c r="X147" s="29" t="str">
        <x:v>https://www.vgover.com/zh-tw/news/226267</x:v>
      </x:c>
    </x:row>
    <x:row r="148">
      <x:c r="A148" s="29" t="n">
        <x:v>145</x:v>
      </x:c>
      <x:c r="B148" s="29" t="str">
        <x:v>E5</x:v>
      </x:c>
      <x:c r="C148" s="29" t="str">
        <x:v>魔玩天地</x:v>
      </x:c>
      <x:c r="D148" s="29" t="str">
        <x:v>FM201</x:v>
      </x:c>
      <x:c r="E148" s="29" t="str">
        <x:v>COME4FREE</x:v>
      </x:c>
      <x:c r="F148" s="30" t="str"/>
      <x:c r="G148" s="29" t="str">
        <x:v>潮玩</x:v>
      </x:c>
      <x:c r="H148" s="29" t="n">
        <x:v>3</x:v>
      </x:c>
      <x:c r="I148" s="29" t="n">
        <x:v>5</x:v>
      </x:c>
      <x:c r="J148" s="29" t="n">
        <x:v>5</x:v>
      </x:c>
      <x:c r="K148" s="29" t="n">
        <x:v>2</x:v>
      </x:c>
      <x:c r="L148" s="31" t="n">
        <x:f>SUM(H148:K148)</x:f>
        <x:v>15</x:v>
      </x:c>
      <x:c r="M148" s="29" t="str">
        <x:f>IF(L148&gt;=16,"A-优先",IF(L148&gt;=12,"B-培育","C-观察"))</x:f>
        <x:v>B-培育</x:v>
      </x:c>
      <x:c r="N148" s="29" t="str">
        <x:v>IP授权、谷子经济、商业体快闪、首店首发、制造与渠道</x:v>
      </x:c>
      <x:c r="O148" s="29" t="str"/>
      <x:c r="P148" s="30" t="str"/>
      <x:c r="Q148" s="30" t="str"/>
      <x:c r="R148" s="30" t="str"/>
      <x:c r="S148" s="30" t="str"/>
      <x:c r="T148" s="30" t="str">
        <x:v>建议检索：COME4FREE 官方 / 公众号 / 微博 / 小红书 / 视频号</x:v>
      </x:c>
      <x:c r="U148" s="30" t="str">
        <x:v>未联系</x:v>
      </x:c>
      <x:c r="V148" s="30" t="str"/>
      <x:c r="W148" s="29" t="str">
        <x:v>高</x:v>
      </x:c>
      <x:c r="X148" s="29" t="str">
        <x:v>https://www.vgover.com/zh-tw/news/226267</x:v>
      </x:c>
    </x:row>
    <x:row r="149">
      <x:c r="A149" s="29" t="n">
        <x:v>146</x:v>
      </x:c>
      <x:c r="B149" s="29" t="str">
        <x:v>E5</x:v>
      </x:c>
      <x:c r="C149" s="29" t="str">
        <x:v>魔玩天地</x:v>
      </x:c>
      <x:c r="D149" s="29" t="str">
        <x:v>FM202-1</x:v>
      </x:c>
      <x:c r="E149" s="29" t="str">
        <x:v>入魂一番</x:v>
      </x:c>
      <x:c r="F149" s="30" t="str"/>
      <x:c r="G149" s="29" t="str">
        <x:v>潮玩</x:v>
      </x:c>
      <x:c r="H149" s="29" t="n">
        <x:v>3</x:v>
      </x:c>
      <x:c r="I149" s="29" t="n">
        <x:v>5</x:v>
      </x:c>
      <x:c r="J149" s="29" t="n">
        <x:v>5</x:v>
      </x:c>
      <x:c r="K149" s="29" t="n">
        <x:v>2</x:v>
      </x:c>
      <x:c r="L149" s="31" t="n">
        <x:f>SUM(H149:K149)</x:f>
        <x:v>15</x:v>
      </x:c>
      <x:c r="M149" s="29" t="str">
        <x:f>IF(L149&gt;=16,"A-优先",IF(L149&gt;=12,"B-培育","C-观察"))</x:f>
        <x:v>B-培育</x:v>
      </x:c>
      <x:c r="N149" s="29" t="str">
        <x:v>IP授权、谷子经济、商业体快闪、首店首发、制造与渠道</x:v>
      </x:c>
      <x:c r="O149" s="29" t="str"/>
      <x:c r="P149" s="30" t="str"/>
      <x:c r="Q149" s="30" t="str"/>
      <x:c r="R149" s="30" t="str"/>
      <x:c r="S149" s="30" t="str"/>
      <x:c r="T149" s="30" t="str">
        <x:v>建议检索：入魂一番 官方 / 公众号 / 微博 / 小红书 / 视频号</x:v>
      </x:c>
      <x:c r="U149" s="30" t="str">
        <x:v>未联系</x:v>
      </x:c>
      <x:c r="V149" s="30" t="str"/>
      <x:c r="W149" s="29" t="str">
        <x:v>高</x:v>
      </x:c>
      <x:c r="X149" s="29" t="str">
        <x:v>https://www.vgover.com/zh-tw/news/226267</x:v>
      </x:c>
    </x:row>
    <x:row r="150">
      <x:c r="A150" s="29" t="n">
        <x:v>147</x:v>
      </x:c>
      <x:c r="B150" s="29" t="str">
        <x:v>E5</x:v>
      </x:c>
      <x:c r="C150" s="29" t="str">
        <x:v>魔玩天地</x:v>
      </x:c>
      <x:c r="D150" s="29" t="str">
        <x:v>FM202-2</x:v>
      </x:c>
      <x:c r="E150" s="29" t="str">
        <x:v>以猫记</x:v>
      </x:c>
      <x:c r="F150" s="30" t="str"/>
      <x:c r="G150" s="29" t="str">
        <x:v>潮玩</x:v>
      </x:c>
      <x:c r="H150" s="29" t="n">
        <x:v>3</x:v>
      </x:c>
      <x:c r="I150" s="29" t="n">
        <x:v>5</x:v>
      </x:c>
      <x:c r="J150" s="29" t="n">
        <x:v>5</x:v>
      </x:c>
      <x:c r="K150" s="29" t="n">
        <x:v>2</x:v>
      </x:c>
      <x:c r="L150" s="31" t="n">
        <x:f>SUM(H150:K150)</x:f>
        <x:v>15</x:v>
      </x:c>
      <x:c r="M150" s="29" t="str">
        <x:f>IF(L150&gt;=16,"A-优先",IF(L150&gt;=12,"B-培育","C-观察"))</x:f>
        <x:v>B-培育</x:v>
      </x:c>
      <x:c r="N150" s="29" t="str">
        <x:v>IP授权、谷子经济、商业体快闪、首店首发、制造与渠道</x:v>
      </x:c>
      <x:c r="O150" s="29" t="str">
        <x:v>展位图识别，待复核</x:v>
      </x:c>
      <x:c r="P150" s="30" t="str"/>
      <x:c r="Q150" s="30" t="str"/>
      <x:c r="R150" s="30" t="str"/>
      <x:c r="S150" s="30" t="str"/>
      <x:c r="T150" s="30" t="str">
        <x:v>建议检索：以猫记 官方 / 公众号 / 微博 / 小红书 / 视频号</x:v>
      </x:c>
      <x:c r="U150" s="30" t="str">
        <x:v>未联系</x:v>
      </x:c>
      <x:c r="V150" s="30" t="str"/>
      <x:c r="W150" s="29" t="str">
        <x:v>中</x:v>
      </x:c>
      <x:c r="X150" s="29" t="str">
        <x:v>https://www.vgover.com/zh-tw/news/226267</x:v>
      </x:c>
    </x:row>
    <x:row r="151">
      <x:c r="A151" s="29" t="n">
        <x:v>148</x:v>
      </x:c>
      <x:c r="B151" s="29" t="str">
        <x:v>E5</x:v>
      </x:c>
      <x:c r="C151" s="29" t="str">
        <x:v>魔玩天地</x:v>
      </x:c>
      <x:c r="D151" s="29" t="str">
        <x:v>FM203</x:v>
      </x:c>
      <x:c r="E151" s="29" t="str">
        <x:v>threezero</x:v>
      </x:c>
      <x:c r="F151" s="30" t="str"/>
      <x:c r="G151" s="29" t="str">
        <x:v>收藏玩具</x:v>
      </x:c>
      <x:c r="H151" s="29" t="n">
        <x:v>3</x:v>
      </x:c>
      <x:c r="I151" s="29" t="n">
        <x:v>5</x:v>
      </x:c>
      <x:c r="J151" s="29" t="n">
        <x:v>3</x:v>
      </x:c>
      <x:c r="K151" s="29" t="n">
        <x:v>2</x:v>
      </x:c>
      <x:c r="L151" s="31" t="n">
        <x:f>SUM(H151:K151)</x:f>
        <x:v>13</x:v>
      </x:c>
      <x:c r="M151" s="29" t="str">
        <x:f>IF(L151&gt;=16,"A-优先",IF(L151&gt;=12,"B-培育","C-观察"))</x:f>
        <x:v>B-培育</x:v>
      </x:c>
      <x:c r="N151" s="29" t="str">
        <x:v>IP授权、谷子经济、商业体快闪、首店首发、制造与渠道</x:v>
      </x:c>
      <x:c r="O151" s="29" t="str"/>
      <x:c r="P151" s="30" t="str"/>
      <x:c r="Q151" s="30" t="str"/>
      <x:c r="R151" s="30" t="str"/>
      <x:c r="S151" s="30" t="str"/>
      <x:c r="T151" s="30" t="str">
        <x:v>建议检索：threezero 官方 / 公众号 / 微博 / 小红书 / 视频号</x:v>
      </x:c>
      <x:c r="U151" s="30" t="str">
        <x:v>未联系</x:v>
      </x:c>
      <x:c r="V151" s="30" t="str"/>
      <x:c r="W151" s="29" t="str">
        <x:v>高</x:v>
      </x:c>
      <x:c r="X151" s="29" t="str">
        <x:v>https://www.vgover.com/zh-tw/news/226267</x:v>
      </x:c>
    </x:row>
    <x:row r="152">
      <x:c r="A152" s="29" t="n">
        <x:v>149</x:v>
      </x:c>
      <x:c r="B152" s="29" t="str">
        <x:v>E5</x:v>
      </x:c>
      <x:c r="C152" s="29" t="str">
        <x:v>魔玩天地</x:v>
      </x:c>
      <x:c r="D152" s="29" t="str">
        <x:v>FM204</x:v>
      </x:c>
      <x:c r="E152" s="29" t="str">
        <x:v>Mini Times</x:v>
      </x:c>
      <x:c r="F152" s="30" t="str"/>
      <x:c r="G152" s="29" t="str">
        <x:v>模型/雕像</x:v>
      </x:c>
      <x:c r="H152" s="29" t="n">
        <x:v>3</x:v>
      </x:c>
      <x:c r="I152" s="29" t="n">
        <x:v>5</x:v>
      </x:c>
      <x:c r="J152" s="29" t="n">
        <x:v>3</x:v>
      </x:c>
      <x:c r="K152" s="29" t="n">
        <x:v>2</x:v>
      </x:c>
      <x:c r="L152" s="31" t="n">
        <x:f>SUM(H152:K152)</x:f>
        <x:v>13</x:v>
      </x:c>
      <x:c r="M152" s="29" t="str">
        <x:f>IF(L152&gt;=16,"A-优先",IF(L152&gt;=12,"B-培育","C-观察"))</x:f>
        <x:v>B-培育</x:v>
      </x:c>
      <x:c r="N152" s="29" t="str">
        <x:v>IP授权、谷子经济、商业体快闪、首店首发、制造与渠道</x:v>
      </x:c>
      <x:c r="O152" s="29" t="str"/>
      <x:c r="P152" s="30" t="str"/>
      <x:c r="Q152" s="30" t="str"/>
      <x:c r="R152" s="30" t="str"/>
      <x:c r="S152" s="30" t="str"/>
      <x:c r="T152" s="30" t="str">
        <x:v>建议检索：Mini Times 官方 / 公众号 / 微博 / 小红书 / 视频号</x:v>
      </x:c>
      <x:c r="U152" s="30" t="str">
        <x:v>未联系</x:v>
      </x:c>
      <x:c r="V152" s="30" t="str"/>
      <x:c r="W152" s="29" t="str">
        <x:v>高</x:v>
      </x:c>
      <x:c r="X152" s="29" t="str">
        <x:v>https://www.vgover.com/zh-tw/news/226267</x:v>
      </x:c>
    </x:row>
    <x:row r="153">
      <x:c r="A153" s="29" t="n">
        <x:v>150</x:v>
      </x:c>
      <x:c r="B153" s="29" t="str">
        <x:v>E5</x:v>
      </x:c>
      <x:c r="C153" s="29" t="str">
        <x:v>魔玩天地</x:v>
      </x:c>
      <x:c r="D153" s="29" t="str">
        <x:v>FM205</x:v>
      </x:c>
      <x:c r="E153" s="29" t="str">
        <x:v>大漫匠</x:v>
      </x:c>
      <x:c r="F153" s="30" t="str"/>
      <x:c r="G153" s="29" t="str">
        <x:v>潮玩/IP</x:v>
      </x:c>
      <x:c r="H153" s="29" t="n">
        <x:v>3</x:v>
      </x:c>
      <x:c r="I153" s="29" t="n">
        <x:v>5</x:v>
      </x:c>
      <x:c r="J153" s="29" t="n">
        <x:v>5</x:v>
      </x:c>
      <x:c r="K153" s="29" t="n">
        <x:v>2</x:v>
      </x:c>
      <x:c r="L153" s="31" t="n">
        <x:f>SUM(H153:K153)</x:f>
        <x:v>15</x:v>
      </x:c>
      <x:c r="M153" s="29" t="str">
        <x:f>IF(L153&gt;=16,"A-优先",IF(L153&gt;=12,"B-培育","C-观察"))</x:f>
        <x:v>B-培育</x:v>
      </x:c>
      <x:c r="N153" s="29" t="str">
        <x:v>IP授权、谷子经济、商业体快闪、首店首发、制造与渠道</x:v>
      </x:c>
      <x:c r="O153" s="29" t="str"/>
      <x:c r="P153" s="30" t="str"/>
      <x:c r="Q153" s="30" t="str"/>
      <x:c r="R153" s="30" t="str"/>
      <x:c r="S153" s="30" t="str"/>
      <x:c r="T153" s="30" t="str">
        <x:v>建议检索：大漫匠 官方 / 公众号 / 微博 / 小红书 / 视频号</x:v>
      </x:c>
      <x:c r="U153" s="30" t="str">
        <x:v>未联系</x:v>
      </x:c>
      <x:c r="V153" s="30" t="str"/>
      <x:c r="W153" s="29" t="str">
        <x:v>高</x:v>
      </x:c>
      <x:c r="X153" s="29" t="str">
        <x:v>https://www.vgover.com/zh-tw/news/226267</x:v>
      </x:c>
    </x:row>
    <x:row r="154">
      <x:c r="A154" s="29" t="n">
        <x:v>151</x:v>
      </x:c>
      <x:c r="B154" s="29" t="str">
        <x:v>E5</x:v>
      </x:c>
      <x:c r="C154" s="29" t="str">
        <x:v>魔玩天地</x:v>
      </x:c>
      <x:c r="D154" s="29" t="str">
        <x:v>FM301-1</x:v>
      </x:c>
      <x:c r="E154" s="29" t="str">
        <x:v>Yolopark</x:v>
      </x:c>
      <x:c r="F154" s="30" t="str"/>
      <x:c r="G154" s="29" t="str">
        <x:v>模型/机甲</x:v>
      </x:c>
      <x:c r="H154" s="29" t="n">
        <x:v>3</x:v>
      </x:c>
      <x:c r="I154" s="29" t="n">
        <x:v>5</x:v>
      </x:c>
      <x:c r="J154" s="29" t="n">
        <x:v>3</x:v>
      </x:c>
      <x:c r="K154" s="29" t="n">
        <x:v>2</x:v>
      </x:c>
      <x:c r="L154" s="31" t="n">
        <x:f>SUM(H154:K154)</x:f>
        <x:v>13</x:v>
      </x:c>
      <x:c r="M154" s="29" t="str">
        <x:f>IF(L154&gt;=16,"A-优先",IF(L154&gt;=12,"B-培育","C-观察"))</x:f>
        <x:v>B-培育</x:v>
      </x:c>
      <x:c r="N154" s="29" t="str">
        <x:v>IP授权、谷子经济、商业体快闪、首店首发、制造与渠道</x:v>
      </x:c>
      <x:c r="O154" s="29" t="str"/>
      <x:c r="P154" s="30" t="str"/>
      <x:c r="Q154" s="30" t="str"/>
      <x:c r="R154" s="30" t="str"/>
      <x:c r="S154" s="30" t="str"/>
      <x:c r="T154" s="30" t="str">
        <x:v>建议检索：Yolopark 官方 / 公众号 / 微博 / 小红书 / 视频号</x:v>
      </x:c>
      <x:c r="U154" s="30" t="str">
        <x:v>未联系</x:v>
      </x:c>
      <x:c r="V154" s="30" t="str"/>
      <x:c r="W154" s="29" t="str">
        <x:v>高</x:v>
      </x:c>
      <x:c r="X154" s="29" t="str">
        <x:v>https://www.vgover.com/zh-tw/news/226267</x:v>
      </x:c>
    </x:row>
    <x:row r="155">
      <x:c r="A155" s="29" t="n">
        <x:v>152</x:v>
      </x:c>
      <x:c r="B155" s="29" t="str">
        <x:v>E5</x:v>
      </x:c>
      <x:c r="C155" s="29" t="str">
        <x:v>魔玩天地</x:v>
      </x:c>
      <x:c r="D155" s="29" t="str">
        <x:v>FM301-2</x:v>
      </x:c>
      <x:c r="E155" s="29" t="str">
        <x:v>蓝天模型</x:v>
      </x:c>
      <x:c r="F155" s="30" t="str"/>
      <x:c r="G155" s="29" t="str">
        <x:v>模型</x:v>
      </x:c>
      <x:c r="H155" s="29" t="n">
        <x:v>3</x:v>
      </x:c>
      <x:c r="I155" s="29" t="n">
        <x:v>5</x:v>
      </x:c>
      <x:c r="J155" s="29" t="n">
        <x:v>3</x:v>
      </x:c>
      <x:c r="K155" s="29" t="n">
        <x:v>2</x:v>
      </x:c>
      <x:c r="L155" s="31" t="n">
        <x:f>SUM(H155:K155)</x:f>
        <x:v>13</x:v>
      </x:c>
      <x:c r="M155" s="29" t="str">
        <x:f>IF(L155&gt;=16,"A-优先",IF(L155&gt;=12,"B-培育","C-观察"))</x:f>
        <x:v>B-培育</x:v>
      </x:c>
      <x:c r="N155" s="29" t="str">
        <x:v>IP授权、谷子经济、商业体快闪、首店首发、制造与渠道</x:v>
      </x:c>
      <x:c r="O155" s="29" t="str"/>
      <x:c r="P155" s="30" t="str"/>
      <x:c r="Q155" s="30" t="str"/>
      <x:c r="R155" s="30" t="str"/>
      <x:c r="S155" s="30" t="str"/>
      <x:c r="T155" s="30" t="str">
        <x:v>建议检索：蓝天模型 官方 / 公众号 / 微博 / 小红书 / 视频号</x:v>
      </x:c>
      <x:c r="U155" s="30" t="str">
        <x:v>未联系</x:v>
      </x:c>
      <x:c r="V155" s="30" t="str"/>
      <x:c r="W155" s="29" t="str">
        <x:v>高</x:v>
      </x:c>
      <x:c r="X155" s="29" t="str">
        <x:v>https://www.vgover.com/zh-tw/news/226267</x:v>
      </x:c>
    </x:row>
    <x:row r="156">
      <x:c r="A156" s="29" t="n">
        <x:v>153</x:v>
      </x:c>
      <x:c r="B156" s="29" t="str">
        <x:v>E5</x:v>
      </x:c>
      <x:c r="C156" s="29" t="str">
        <x:v>魔玩天地</x:v>
      </x:c>
      <x:c r="D156" s="29" t="str">
        <x:v>FM302-1</x:v>
      </x:c>
      <x:c r="E156" s="29" t="str">
        <x:v>SKYMOTOR 西摩</x:v>
      </x:c>
      <x:c r="F156" s="30" t="str"/>
      <x:c r="G156" s="29" t="str">
        <x:v>模型</x:v>
      </x:c>
      <x:c r="H156" s="29" t="n">
        <x:v>3</x:v>
      </x:c>
      <x:c r="I156" s="29" t="n">
        <x:v>5</x:v>
      </x:c>
      <x:c r="J156" s="29" t="n">
        <x:v>3</x:v>
      </x:c>
      <x:c r="K156" s="29" t="n">
        <x:v>2</x:v>
      </x:c>
      <x:c r="L156" s="31" t="n">
        <x:f>SUM(H156:K156)</x:f>
        <x:v>13</x:v>
      </x:c>
      <x:c r="M156" s="29" t="str">
        <x:f>IF(L156&gt;=16,"A-优先",IF(L156&gt;=12,"B-培育","C-观察"))</x:f>
        <x:v>B-培育</x:v>
      </x:c>
      <x:c r="N156" s="29" t="str">
        <x:v>IP授权、谷子经济、商业体快闪、首店首发、制造与渠道</x:v>
      </x:c>
      <x:c r="O156" s="29" t="str"/>
      <x:c r="P156" s="30" t="str"/>
      <x:c r="Q156" s="30" t="str"/>
      <x:c r="R156" s="30" t="str"/>
      <x:c r="S156" s="30" t="str"/>
      <x:c r="T156" s="30" t="str">
        <x:v>建议检索：SKYMOTOR 西摩 官方 / 公众号 / 微博 / 小红书 / 视频号</x:v>
      </x:c>
      <x:c r="U156" s="30" t="str">
        <x:v>未联系</x:v>
      </x:c>
      <x:c r="V156" s="30" t="str"/>
      <x:c r="W156" s="29" t="str">
        <x:v>高</x:v>
      </x:c>
      <x:c r="X156" s="29" t="str">
        <x:v>https://www.vgover.com/zh-tw/news/226267</x:v>
      </x:c>
    </x:row>
    <x:row r="157">
      <x:c r="A157" s="29" t="n">
        <x:v>154</x:v>
      </x:c>
      <x:c r="B157" s="29" t="str">
        <x:v>E5</x:v>
      </x:c>
      <x:c r="C157" s="29" t="str">
        <x:v>魔玩天地</x:v>
      </x:c>
      <x:c r="D157" s="29" t="str">
        <x:v>FM302-2</x:v>
      </x:c>
      <x:c r="E157" s="29" t="str">
        <x:v>七彩模型</x:v>
      </x:c>
      <x:c r="F157" s="30" t="str"/>
      <x:c r="G157" s="29" t="str">
        <x:v>模型</x:v>
      </x:c>
      <x:c r="H157" s="29" t="n">
        <x:v>3</x:v>
      </x:c>
      <x:c r="I157" s="29" t="n">
        <x:v>5</x:v>
      </x:c>
      <x:c r="J157" s="29" t="n">
        <x:v>3</x:v>
      </x:c>
      <x:c r="K157" s="29" t="n">
        <x:v>2</x:v>
      </x:c>
      <x:c r="L157" s="31" t="n">
        <x:f>SUM(H157:K157)</x:f>
        <x:v>13</x:v>
      </x:c>
      <x:c r="M157" s="29" t="str">
        <x:f>IF(L157&gt;=16,"A-优先",IF(L157&gt;=12,"B-培育","C-观察"))</x:f>
        <x:v>B-培育</x:v>
      </x:c>
      <x:c r="N157" s="29" t="str">
        <x:v>IP授权、谷子经济、商业体快闪、首店首发、制造与渠道</x:v>
      </x:c>
      <x:c r="O157" s="29" t="str">
        <x:v>展位图识别，待复核</x:v>
      </x:c>
      <x:c r="P157" s="30" t="str"/>
      <x:c r="Q157" s="30" t="str"/>
      <x:c r="R157" s="30" t="str"/>
      <x:c r="S157" s="30" t="str"/>
      <x:c r="T157" s="30" t="str">
        <x:v>建议检索：七彩模型 官方 / 公众号 / 微博 / 小红书 / 视频号</x:v>
      </x:c>
      <x:c r="U157" s="30" t="str">
        <x:v>未联系</x:v>
      </x:c>
      <x:c r="V157" s="30" t="str"/>
      <x:c r="W157" s="29" t="str">
        <x:v>中</x:v>
      </x:c>
      <x:c r="X157" s="29" t="str">
        <x:v>https://www.vgover.com/zh-tw/news/226267</x:v>
      </x:c>
    </x:row>
    <x:row r="158">
      <x:c r="A158" s="29" t="n">
        <x:v>155</x:v>
      </x:c>
      <x:c r="B158" s="29" t="str">
        <x:v>E5</x:v>
      </x:c>
      <x:c r="C158" s="29" t="str">
        <x:v>魔玩天地</x:v>
      </x:c>
      <x:c r="D158" s="29" t="str">
        <x:v>FM304</x:v>
      </x:c>
      <x:c r="E158" s="29" t="str">
        <x:v>Piececool 拼酷</x:v>
      </x:c>
      <x:c r="F158" s="30" t="str"/>
      <x:c r="G158" s="29" t="str">
        <x:v>金属模型</x:v>
      </x:c>
      <x:c r="H158" s="29" t="n">
        <x:v>3</x:v>
      </x:c>
      <x:c r="I158" s="29" t="n">
        <x:v>5</x:v>
      </x:c>
      <x:c r="J158" s="29" t="n">
        <x:v>3</x:v>
      </x:c>
      <x:c r="K158" s="29" t="n">
        <x:v>2</x:v>
      </x:c>
      <x:c r="L158" s="31" t="n">
        <x:f>SUM(H158:K158)</x:f>
        <x:v>13</x:v>
      </x:c>
      <x:c r="M158" s="29" t="str">
        <x:f>IF(L158&gt;=16,"A-优先",IF(L158&gt;=12,"B-培育","C-观察"))</x:f>
        <x:v>B-培育</x:v>
      </x:c>
      <x:c r="N158" s="29" t="str">
        <x:v>IP授权、谷子经济、商业体快闪、首店首发、制造与渠道</x:v>
      </x:c>
      <x:c r="O158" s="29" t="str"/>
      <x:c r="P158" s="30" t="str"/>
      <x:c r="Q158" s="30" t="str"/>
      <x:c r="R158" s="30" t="str"/>
      <x:c r="S158" s="30" t="str"/>
      <x:c r="T158" s="30" t="str">
        <x:v>建议检索：Piececool 拼酷 官方 / 公众号 / 微博 / 小红书 / 视频号</x:v>
      </x:c>
      <x:c r="U158" s="30" t="str">
        <x:v>未联系</x:v>
      </x:c>
      <x:c r="V158" s="30" t="str"/>
      <x:c r="W158" s="29" t="str">
        <x:v>高</x:v>
      </x:c>
      <x:c r="X158" s="29" t="str">
        <x:v>https://www.vgover.com/zh-tw/news/226267</x:v>
      </x:c>
    </x:row>
    <x:row r="159">
      <x:c r="A159" s="29" t="n">
        <x:v>156</x:v>
      </x:c>
      <x:c r="B159" s="29" t="str">
        <x:v>E5</x:v>
      </x:c>
      <x:c r="C159" s="29" t="str">
        <x:v>魔玩天地</x:v>
      </x:c>
      <x:c r="D159" s="29" t="str">
        <x:v>FM305</x:v>
      </x:c>
      <x:c r="E159" s="29" t="str">
        <x:v>GCO</x:v>
      </x:c>
      <x:c r="F159" s="30" t="str"/>
      <x:c r="G159" s="29" t="str">
        <x:v>潮玩</x:v>
      </x:c>
      <x:c r="H159" s="29" t="n">
        <x:v>3</x:v>
      </x:c>
      <x:c r="I159" s="29" t="n">
        <x:v>5</x:v>
      </x:c>
      <x:c r="J159" s="29" t="n">
        <x:v>5</x:v>
      </x:c>
      <x:c r="K159" s="29" t="n">
        <x:v>2</x:v>
      </x:c>
      <x:c r="L159" s="31" t="n">
        <x:f>SUM(H159:K159)</x:f>
        <x:v>15</x:v>
      </x:c>
      <x:c r="M159" s="29" t="str">
        <x:f>IF(L159&gt;=16,"A-优先",IF(L159&gt;=12,"B-培育","C-观察"))</x:f>
        <x:v>B-培育</x:v>
      </x:c>
      <x:c r="N159" s="29" t="str">
        <x:v>IP授权、谷子经济、商业体快闪、首店首发、制造与渠道</x:v>
      </x:c>
      <x:c r="O159" s="29" t="str">
        <x:v>品牌缩写按展位图录入</x:v>
      </x:c>
      <x:c r="P159" s="30" t="str"/>
      <x:c r="Q159" s="30" t="str"/>
      <x:c r="R159" s="30" t="str"/>
      <x:c r="S159" s="30" t="str"/>
      <x:c r="T159" s="30" t="str">
        <x:v>建议检索：GCO 官方 / 公众号 / 微博 / 小红书 / 视频号</x:v>
      </x:c>
      <x:c r="U159" s="30" t="str">
        <x:v>未联系</x:v>
      </x:c>
      <x:c r="V159" s="30" t="str"/>
      <x:c r="W159" s="29" t="str">
        <x:v>中</x:v>
      </x:c>
      <x:c r="X159" s="29" t="str">
        <x:v>https://www.vgover.com/zh-tw/news/226267</x:v>
      </x:c>
    </x:row>
    <x:row r="160">
      <x:c r="A160" s="29" t="n">
        <x:v>157</x:v>
      </x:c>
      <x:c r="B160" s="29" t="str">
        <x:v>E5</x:v>
      </x:c>
      <x:c r="C160" s="29" t="str">
        <x:v>魔玩天地</x:v>
      </x:c>
      <x:c r="D160" s="29" t="str">
        <x:v>FM306</x:v>
      </x:c>
      <x:c r="E160" s="29" t="str">
        <x:v>麦当劳</x:v>
      </x:c>
      <x:c r="F160" s="30" t="str"/>
      <x:c r="G160" s="29" t="str">
        <x:v>餐饮/跨界品牌</x:v>
      </x:c>
      <x:c r="H160" s="29" t="n">
        <x:v>3</x:v>
      </x:c>
      <x:c r="I160" s="29" t="n">
        <x:v>5</x:v>
      </x:c>
      <x:c r="J160" s="29" t="n">
        <x:v>3</x:v>
      </x:c>
      <x:c r="K160" s="29" t="n">
        <x:v>2</x:v>
      </x:c>
      <x:c r="L160" s="31" t="n">
        <x:f>SUM(H160:K160)</x:f>
        <x:v>13</x:v>
      </x:c>
      <x:c r="M160" s="29" t="str">
        <x:f>IF(L160&gt;=16,"A-优先",IF(L160&gt;=12,"B-培育","C-观察"))</x:f>
        <x:v>B-培育</x:v>
      </x:c>
      <x:c r="N160" s="29" t="str">
        <x:v>IP授权、谷子经济、商业体快闪、首店首发、制造与渠道</x:v>
      </x:c>
      <x:c r="O160" s="29" t="str"/>
      <x:c r="P160" s="30" t="str"/>
      <x:c r="Q160" s="30" t="str"/>
      <x:c r="R160" s="30" t="str"/>
      <x:c r="S160" s="30" t="str"/>
      <x:c r="T160" s="30" t="str">
        <x:v>建议检索：麦当劳 官方 / 公众号 / 微博 / 小红书 / 视频号</x:v>
      </x:c>
      <x:c r="U160" s="30" t="str">
        <x:v>未联系</x:v>
      </x:c>
      <x:c r="V160" s="30" t="str"/>
      <x:c r="W160" s="29" t="str">
        <x:v>高</x:v>
      </x:c>
      <x:c r="X160" s="29" t="str">
        <x:v>https://www.vgover.com/zh-tw/news/226267</x:v>
      </x:c>
    </x:row>
    <x:row r="161">
      <x:c r="A161" s="29" t="n">
        <x:v>158</x:v>
      </x:c>
      <x:c r="B161" s="29" t="str">
        <x:v>E5</x:v>
      </x:c>
      <x:c r="C161" s="29" t="str">
        <x:v>魔玩天地</x:v>
      </x:c>
      <x:c r="D161" s="29" t="str">
        <x:v>FM401</x:v>
      </x:c>
      <x:c r="E161" s="29" t="str">
        <x:v>HONGKE CULTURE 鸿客文化</x:v>
      </x:c>
      <x:c r="F161" s="30" t="str"/>
      <x:c r="G161" s="29" t="str">
        <x:v>文化/IP</x:v>
      </x:c>
      <x:c r="H161" s="29" t="n">
        <x:v>3</x:v>
      </x:c>
      <x:c r="I161" s="29" t="n">
        <x:v>5</x:v>
      </x:c>
      <x:c r="J161" s="29" t="n">
        <x:v>5</x:v>
      </x:c>
      <x:c r="K161" s="29" t="n">
        <x:v>2</x:v>
      </x:c>
      <x:c r="L161" s="31" t="n">
        <x:f>SUM(H161:K161)</x:f>
        <x:v>15</x:v>
      </x:c>
      <x:c r="M161" s="29" t="str">
        <x:f>IF(L161&gt;=16,"A-优先",IF(L161&gt;=12,"B-培育","C-观察"))</x:f>
        <x:v>B-培育</x:v>
      </x:c>
      <x:c r="N161" s="29" t="str">
        <x:v>IP授权、谷子经济、商业体快闪、首店首发、制造与渠道</x:v>
      </x:c>
      <x:c r="O161" s="29" t="str"/>
      <x:c r="P161" s="30" t="str"/>
      <x:c r="Q161" s="30" t="str"/>
      <x:c r="R161" s="30" t="str"/>
      <x:c r="S161" s="30" t="str"/>
      <x:c r="T161" s="30" t="str">
        <x:v>建议检索：HONGKE CULTURE 鸿客文化 官方 / 公众号 / 微博 / 小红书 / 视频号</x:v>
      </x:c>
      <x:c r="U161" s="30" t="str">
        <x:v>未联系</x:v>
      </x:c>
      <x:c r="V161" s="30" t="str"/>
      <x:c r="W161" s="29" t="str">
        <x:v>高</x:v>
      </x:c>
      <x:c r="X161" s="29" t="str">
        <x:v>https://www.vgover.com/zh-tw/news/226267</x:v>
      </x:c>
    </x:row>
    <x:row r="162">
      <x:c r="A162" s="29" t="n">
        <x:v>159</x:v>
      </x:c>
      <x:c r="B162" s="29" t="str">
        <x:v>E5</x:v>
      </x:c>
      <x:c r="C162" s="29" t="str">
        <x:v>魔玩天地</x:v>
      </x:c>
      <x:c r="D162" s="29" t="str">
        <x:v>FM402</x:v>
      </x:c>
      <x:c r="E162" s="29" t="str">
        <x:v>漫序</x:v>
      </x:c>
      <x:c r="F162" s="30" t="str"/>
      <x:c r="G162" s="29" t="str">
        <x:v>潮玩</x:v>
      </x:c>
      <x:c r="H162" s="29" t="n">
        <x:v>3</x:v>
      </x:c>
      <x:c r="I162" s="29" t="n">
        <x:v>5</x:v>
      </x:c>
      <x:c r="J162" s="29" t="n">
        <x:v>5</x:v>
      </x:c>
      <x:c r="K162" s="29" t="n">
        <x:v>2</x:v>
      </x:c>
      <x:c r="L162" s="31" t="n">
        <x:f>SUM(H162:K162)</x:f>
        <x:v>15</x:v>
      </x:c>
      <x:c r="M162" s="29" t="str">
        <x:f>IF(L162&gt;=16,"A-优先",IF(L162&gt;=12,"B-培育","C-观察"))</x:f>
        <x:v>B-培育</x:v>
      </x:c>
      <x:c r="N162" s="29" t="str">
        <x:v>IP授权、谷子经济、商业体快闪、首店首发、制造与渠道</x:v>
      </x:c>
      <x:c r="O162" s="29" t="str"/>
      <x:c r="P162" s="30" t="str"/>
      <x:c r="Q162" s="30" t="str"/>
      <x:c r="R162" s="30" t="str"/>
      <x:c r="S162" s="30" t="str"/>
      <x:c r="T162" s="30" t="str">
        <x:v>建议检索：漫序 官方 / 公众号 / 微博 / 小红书 / 视频号</x:v>
      </x:c>
      <x:c r="U162" s="30" t="str">
        <x:v>未联系</x:v>
      </x:c>
      <x:c r="V162" s="30" t="str"/>
      <x:c r="W162" s="29" t="str">
        <x:v>高</x:v>
      </x:c>
      <x:c r="X162" s="29" t="str">
        <x:v>https://www.vgover.com/zh-tw/news/226267</x:v>
      </x:c>
    </x:row>
    <x:row r="163">
      <x:c r="A163" s="29" t="n">
        <x:v>160</x:v>
      </x:c>
      <x:c r="B163" s="29" t="str">
        <x:v>E5</x:v>
      </x:c>
      <x:c r="C163" s="29" t="str">
        <x:v>魔玩天地</x:v>
      </x:c>
      <x:c r="D163" s="29" t="str">
        <x:v>FM403</x:v>
      </x:c>
      <x:c r="E163" s="29" t="str">
        <x:v>yoose 有色</x:v>
      </x:c>
      <x:c r="F163" s="30" t="str"/>
      <x:c r="G163" s="29" t="str">
        <x:v>潮流生活</x:v>
      </x:c>
      <x:c r="H163" s="29" t="n">
        <x:v>3</x:v>
      </x:c>
      <x:c r="I163" s="29" t="n">
        <x:v>5</x:v>
      </x:c>
      <x:c r="J163" s="29" t="n">
        <x:v>3</x:v>
      </x:c>
      <x:c r="K163" s="29" t="n">
        <x:v>2</x:v>
      </x:c>
      <x:c r="L163" s="31" t="n">
        <x:f>SUM(H163:K163)</x:f>
        <x:v>13</x:v>
      </x:c>
      <x:c r="M163" s="29" t="str">
        <x:f>IF(L163&gt;=16,"A-优先",IF(L163&gt;=12,"B-培育","C-观察"))</x:f>
        <x:v>B-培育</x:v>
      </x:c>
      <x:c r="N163" s="29" t="str">
        <x:v>IP授权、谷子经济、商业体快闪、首店首发、制造与渠道</x:v>
      </x:c>
      <x:c r="O163" s="29" t="str"/>
      <x:c r="P163" s="30" t="str"/>
      <x:c r="Q163" s="30" t="str"/>
      <x:c r="R163" s="30" t="str"/>
      <x:c r="S163" s="30" t="str"/>
      <x:c r="T163" s="30" t="str">
        <x:v>建议检索：yoose 有色 官方 / 公众号 / 微博 / 小红书 / 视频号</x:v>
      </x:c>
      <x:c r="U163" s="30" t="str">
        <x:v>未联系</x:v>
      </x:c>
      <x:c r="V163" s="30" t="str"/>
      <x:c r="W163" s="29" t="str">
        <x:v>高</x:v>
      </x:c>
      <x:c r="X163" s="29" t="str">
        <x:v>https://www.vgover.com/zh-tw/news/226267</x:v>
      </x:c>
    </x:row>
    <x:row r="164">
      <x:c r="A164" s="29" t="n">
        <x:v>161</x:v>
      </x:c>
      <x:c r="B164" s="29" t="str">
        <x:v>E5</x:v>
      </x:c>
      <x:c r="C164" s="29" t="str">
        <x:v>魔玩天地</x:v>
      </x:c>
      <x:c r="D164" s="29" t="str">
        <x:v>FM404</x:v>
      </x:c>
      <x:c r="E164" s="29" t="str">
        <x:v>JOYTOY</x:v>
      </x:c>
      <x:c r="F164" s="30" t="str"/>
      <x:c r="G164" s="29" t="str">
        <x:v>模型/潮玩</x:v>
      </x:c>
      <x:c r="H164" s="29" t="n">
        <x:v>3</x:v>
      </x:c>
      <x:c r="I164" s="29" t="n">
        <x:v>5</x:v>
      </x:c>
      <x:c r="J164" s="29" t="n">
        <x:v>5</x:v>
      </x:c>
      <x:c r="K164" s="29" t="n">
        <x:v>2</x:v>
      </x:c>
      <x:c r="L164" s="31" t="n">
        <x:f>SUM(H164:K164)</x:f>
        <x:v>15</x:v>
      </x:c>
      <x:c r="M164" s="29" t="str">
        <x:f>IF(L164&gt;=16,"A-优先",IF(L164&gt;=12,"B-培育","C-观察"))</x:f>
        <x:v>B-培育</x:v>
      </x:c>
      <x:c r="N164" s="29" t="str">
        <x:v>IP授权、谷子经济、商业体快闪、首店首发、制造与渠道</x:v>
      </x:c>
      <x:c r="O164" s="29" t="str"/>
      <x:c r="P164" s="30" t="str"/>
      <x:c r="Q164" s="30" t="str"/>
      <x:c r="R164" s="30" t="str"/>
      <x:c r="S164" s="30" t="str"/>
      <x:c r="T164" s="30" t="str">
        <x:v>建议检索：JOYTOY 官方 / 公众号 / 微博 / 小红书 / 视频号</x:v>
      </x:c>
      <x:c r="U164" s="30" t="str">
        <x:v>未联系</x:v>
      </x:c>
      <x:c r="V164" s="30" t="str"/>
      <x:c r="W164" s="29" t="str">
        <x:v>高</x:v>
      </x:c>
      <x:c r="X164" s="29" t="str">
        <x:v>https://www.vgover.com/zh-tw/news/226267</x:v>
      </x:c>
    </x:row>
    <x:row r="165">
      <x:c r="A165" s="29" t="n">
        <x:v>162</x:v>
      </x:c>
      <x:c r="B165" s="29" t="str">
        <x:v>E5</x:v>
      </x:c>
      <x:c r="C165" s="29" t="str">
        <x:v>魔玩天地</x:v>
      </x:c>
      <x:c r="D165" s="29" t="str">
        <x:v>FM405</x:v>
      </x:c>
      <x:c r="E165" s="29" t="str">
        <x:v>MECHTRON</x:v>
      </x:c>
      <x:c r="F165" s="30" t="str"/>
      <x:c r="G165" s="29" t="str">
        <x:v>模型/机甲</x:v>
      </x:c>
      <x:c r="H165" s="29" t="n">
        <x:v>3</x:v>
      </x:c>
      <x:c r="I165" s="29" t="n">
        <x:v>5</x:v>
      </x:c>
      <x:c r="J165" s="29" t="n">
        <x:v>3</x:v>
      </x:c>
      <x:c r="K165" s="29" t="n">
        <x:v>2</x:v>
      </x:c>
      <x:c r="L165" s="31" t="n">
        <x:f>SUM(H165:K165)</x:f>
        <x:v>13</x:v>
      </x:c>
      <x:c r="M165" s="29" t="str">
        <x:f>IF(L165&gt;=16,"A-优先",IF(L165&gt;=12,"B-培育","C-观察"))</x:f>
        <x:v>B-培育</x:v>
      </x:c>
      <x:c r="N165" s="29" t="str">
        <x:v>IP授权、谷子经济、商业体快闪、首店首发、制造与渠道</x:v>
      </x:c>
      <x:c r="O165" s="29" t="str"/>
      <x:c r="P165" s="30" t="str"/>
      <x:c r="Q165" s="30" t="str"/>
      <x:c r="R165" s="30" t="str"/>
      <x:c r="S165" s="30" t="str"/>
      <x:c r="T165" s="30" t="str">
        <x:v>建议检索：MECHTRON 官方 / 公众号 / 微博 / 小红书 / 视频号</x:v>
      </x:c>
      <x:c r="U165" s="30" t="str">
        <x:v>未联系</x:v>
      </x:c>
      <x:c r="V165" s="30" t="str"/>
      <x:c r="W165" s="29" t="str">
        <x:v>高</x:v>
      </x:c>
      <x:c r="X165" s="29" t="str">
        <x:v>https://www.vgover.com/zh-tw/news/226267</x:v>
      </x:c>
    </x:row>
    <x:row r="166">
      <x:c r="A166" s="29" t="n">
        <x:v>163</x:v>
      </x:c>
      <x:c r="B166" s="29" t="str">
        <x:v>E5</x:v>
      </x:c>
      <x:c r="C166" s="29" t="str">
        <x:v>魔玩天地</x:v>
      </x:c>
      <x:c r="D166" s="29" t="str">
        <x:v>FM406</x:v>
      </x:c>
      <x:c r="E166" s="29" t="str">
        <x:v>PUREARTS</x:v>
      </x:c>
      <x:c r="F166" s="30" t="str"/>
      <x:c r="G166" s="29" t="str">
        <x:v>收藏雕像</x:v>
      </x:c>
      <x:c r="H166" s="29" t="n">
        <x:v>3</x:v>
      </x:c>
      <x:c r="I166" s="29" t="n">
        <x:v>5</x:v>
      </x:c>
      <x:c r="J166" s="29" t="n">
        <x:v>3</x:v>
      </x:c>
      <x:c r="K166" s="29" t="n">
        <x:v>2</x:v>
      </x:c>
      <x:c r="L166" s="31" t="n">
        <x:f>SUM(H166:K166)</x:f>
        <x:v>13</x:v>
      </x:c>
      <x:c r="M166" s="29" t="str">
        <x:f>IF(L166&gt;=16,"A-优先",IF(L166&gt;=12,"B-培育","C-观察"))</x:f>
        <x:v>B-培育</x:v>
      </x:c>
      <x:c r="N166" s="29" t="str">
        <x:v>IP授权、谷子经济、商业体快闪、首店首发、制造与渠道</x:v>
      </x:c>
      <x:c r="O166" s="29" t="str"/>
      <x:c r="P166" s="30" t="str"/>
      <x:c r="Q166" s="30" t="str"/>
      <x:c r="R166" s="30" t="str"/>
      <x:c r="S166" s="30" t="str"/>
      <x:c r="T166" s="30" t="str">
        <x:v>建议检索：PUREARTS 官方 / 公众号 / 微博 / 小红书 / 视频号</x:v>
      </x:c>
      <x:c r="U166" s="30" t="str">
        <x:v>未联系</x:v>
      </x:c>
      <x:c r="V166" s="30" t="str"/>
      <x:c r="W166" s="29" t="str">
        <x:v>高</x:v>
      </x:c>
      <x:c r="X166" s="29" t="str">
        <x:v>https://www.vgover.com/zh-tw/news/226267</x:v>
      </x:c>
    </x:row>
    <x:row r="167">
      <x:c r="A167" s="29" t="n">
        <x:v>164</x:v>
      </x:c>
      <x:c r="B167" s="29" t="str">
        <x:v>E5</x:v>
      </x:c>
      <x:c r="C167" s="29" t="str">
        <x:v>魔玩天地</x:v>
      </x:c>
      <x:c r="D167" s="29" t="str">
        <x:v>FM411</x:v>
      </x:c>
      <x:c r="E167" s="29" t="str">
        <x:v>趣萌凯蒂</x:v>
      </x:c>
      <x:c r="F167" s="30" t="str"/>
      <x:c r="G167" s="29" t="str">
        <x:v>万代模玩代理</x:v>
      </x:c>
      <x:c r="H167" s="29" t="n">
        <x:v>3</x:v>
      </x:c>
      <x:c r="I167" s="29" t="n">
        <x:v>5</x:v>
      </x:c>
      <x:c r="J167" s="29" t="n">
        <x:v>3</x:v>
      </x:c>
      <x:c r="K167" s="29" t="n">
        <x:v>2</x:v>
      </x:c>
      <x:c r="L167" s="31" t="n">
        <x:f>SUM(H167:K167)</x:f>
        <x:v>13</x:v>
      </x:c>
      <x:c r="M167" s="29" t="str">
        <x:f>IF(L167&gt;=16,"A-优先",IF(L167&gt;=12,"B-培育","C-观察"))</x:f>
        <x:v>B-培育</x:v>
      </x:c>
      <x:c r="N167" s="29" t="str">
        <x:v>IP授权、谷子经济、商业体快闪、首店首发、制造与渠道</x:v>
      </x:c>
      <x:c r="O167" s="29" t="str">
        <x:v>万代高达、假面骑士、龙珠、宝可梦等</x:v>
      </x:c>
      <x:c r="P167" s="30" t="str"/>
      <x:c r="Q167" s="30" t="str"/>
      <x:c r="R167" s="30" t="str"/>
      <x:c r="S167" s="30" t="str"/>
      <x:c r="T167" s="30" t="str">
        <x:v>建议检索：趣萌凯蒂 官方 / 公众号 / 微博 / 小红书 / 视频号</x:v>
      </x:c>
      <x:c r="U167" s="30" t="str">
        <x:v>未联系</x:v>
      </x:c>
      <x:c r="V167" s="30" t="str"/>
      <x:c r="W167" s="29" t="str">
        <x:v>高</x:v>
      </x:c>
      <x:c r="X167" s="29" t="str">
        <x:v>https://btb.chinajoy.net/news/63993</x:v>
      </x:c>
    </x:row>
    <x:row r="168">
      <x:c r="A168" s="29" t="n">
        <x:v>165</x:v>
      </x:c>
      <x:c r="B168" s="29" t="str">
        <x:v>E5</x:v>
      </x:c>
      <x:c r="C168" s="29" t="str">
        <x:v>魔玩天地</x:v>
      </x:c>
      <x:c r="D168" s="29" t="str">
        <x:v>FM501</x:v>
      </x:c>
      <x:c r="E168" s="29" t="str">
        <x:v>BOOM COMIC</x:v>
      </x:c>
      <x:c r="F168" s="30" t="str"/>
      <x:c r="G168" s="29" t="str">
        <x:v>漫画/IP</x:v>
      </x:c>
      <x:c r="H168" s="29" t="n">
        <x:v>3</x:v>
      </x:c>
      <x:c r="I168" s="29" t="n">
        <x:v>5</x:v>
      </x:c>
      <x:c r="J168" s="29" t="n">
        <x:v>5</x:v>
      </x:c>
      <x:c r="K168" s="29" t="n">
        <x:v>2</x:v>
      </x:c>
      <x:c r="L168" s="31" t="n">
        <x:f>SUM(H168:K168)</x:f>
        <x:v>15</x:v>
      </x:c>
      <x:c r="M168" s="29" t="str">
        <x:f>IF(L168&gt;=16,"A-优先",IF(L168&gt;=12,"B-培育","C-观察"))</x:f>
        <x:v>B-培育</x:v>
      </x:c>
      <x:c r="N168" s="29" t="str">
        <x:v>IP授权、谷子经济、商业体快闪、首店首发、制造与渠道</x:v>
      </x:c>
      <x:c r="O168" s="29" t="str"/>
      <x:c r="P168" s="30" t="str"/>
      <x:c r="Q168" s="30" t="str"/>
      <x:c r="R168" s="30" t="str"/>
      <x:c r="S168" s="30" t="str"/>
      <x:c r="T168" s="30" t="str">
        <x:v>建议检索：BOOM COMIC 官方 / 公众号 / 微博 / 小红书 / 视频号</x:v>
      </x:c>
      <x:c r="U168" s="30" t="str">
        <x:v>未联系</x:v>
      </x:c>
      <x:c r="V168" s="30" t="str"/>
      <x:c r="W168" s="29" t="str">
        <x:v>高</x:v>
      </x:c>
      <x:c r="X168" s="29" t="str">
        <x:v>https://www.vgover.com/zh-tw/news/226267</x:v>
      </x:c>
    </x:row>
    <x:row r="169">
      <x:c r="A169" s="29" t="n">
        <x:v>166</x:v>
      </x:c>
      <x:c r="B169" s="29" t="str">
        <x:v>E5</x:v>
      </x:c>
      <x:c r="C169" s="29" t="str">
        <x:v>魔玩天地</x:v>
      </x:c>
      <x:c r="D169" s="29" t="str">
        <x:v>FM503</x:v>
      </x:c>
      <x:c r="E169" s="29" t="str">
        <x:v>谜弦</x:v>
      </x:c>
      <x:c r="F169" s="30" t="str"/>
      <x:c r="G169" s="29" t="str">
        <x:v>潮玩</x:v>
      </x:c>
      <x:c r="H169" s="29" t="n">
        <x:v>3</x:v>
      </x:c>
      <x:c r="I169" s="29" t="n">
        <x:v>5</x:v>
      </x:c>
      <x:c r="J169" s="29" t="n">
        <x:v>5</x:v>
      </x:c>
      <x:c r="K169" s="29" t="n">
        <x:v>2</x:v>
      </x:c>
      <x:c r="L169" s="31" t="n">
        <x:f>SUM(H169:K169)</x:f>
        <x:v>15</x:v>
      </x:c>
      <x:c r="M169" s="29" t="str">
        <x:f>IF(L169&gt;=16,"A-优先",IF(L169&gt;=12,"B-培育","C-观察"))</x:f>
        <x:v>B-培育</x:v>
      </x:c>
      <x:c r="N169" s="29" t="str">
        <x:v>IP授权、谷子经济、商业体快闪、首店首发、制造与渠道</x:v>
      </x:c>
      <x:c r="O169" s="29" t="str">
        <x:v>展位图识别，待复核</x:v>
      </x:c>
      <x:c r="P169" s="30" t="str"/>
      <x:c r="Q169" s="30" t="str"/>
      <x:c r="R169" s="30" t="str"/>
      <x:c r="S169" s="30" t="str"/>
      <x:c r="T169" s="30" t="str">
        <x:v>建议检索：谜弦 官方 / 公众号 / 微博 / 小红书 / 视频号</x:v>
      </x:c>
      <x:c r="U169" s="30" t="str">
        <x:v>未联系</x:v>
      </x:c>
      <x:c r="V169" s="30" t="str"/>
      <x:c r="W169" s="29" t="str">
        <x:v>中</x:v>
      </x:c>
      <x:c r="X169" s="29" t="str">
        <x:v>https://www.vgover.com/zh-tw/news/226267</x:v>
      </x:c>
    </x:row>
    <x:row r="170">
      <x:c r="A170" s="29" t="n">
        <x:v>167</x:v>
      </x:c>
      <x:c r="B170" s="29" t="str">
        <x:v>E5</x:v>
      </x:c>
      <x:c r="C170" s="29" t="str">
        <x:v>魔玩天地</x:v>
      </x:c>
      <x:c r="D170" s="29" t="str">
        <x:v>FM504</x:v>
      </x:c>
      <x:c r="E170" s="29" t="str">
        <x:v>摩可得</x:v>
      </x:c>
      <x:c r="F170" s="30" t="str"/>
      <x:c r="G170" s="29" t="str">
        <x:v>潮玩</x:v>
      </x:c>
      <x:c r="H170" s="29" t="n">
        <x:v>3</x:v>
      </x:c>
      <x:c r="I170" s="29" t="n">
        <x:v>5</x:v>
      </x:c>
      <x:c r="J170" s="29" t="n">
        <x:v>5</x:v>
      </x:c>
      <x:c r="K170" s="29" t="n">
        <x:v>2</x:v>
      </x:c>
      <x:c r="L170" s="31" t="n">
        <x:f>SUM(H170:K170)</x:f>
        <x:v>15</x:v>
      </x:c>
      <x:c r="M170" s="29" t="str">
        <x:f>IF(L170&gt;=16,"A-优先",IF(L170&gt;=12,"B-培育","C-观察"))</x:f>
        <x:v>B-培育</x:v>
      </x:c>
      <x:c r="N170" s="29" t="str">
        <x:v>IP授权、谷子经济、商业体快闪、首店首发、制造与渠道</x:v>
      </x:c>
      <x:c r="O170" s="29" t="str">
        <x:v>展位图识别，待复核</x:v>
      </x:c>
      <x:c r="P170" s="30" t="str"/>
      <x:c r="Q170" s="30" t="str"/>
      <x:c r="R170" s="30" t="str"/>
      <x:c r="S170" s="30" t="str"/>
      <x:c r="T170" s="30" t="str">
        <x:v>建议检索：摩可得 官方 / 公众号 / 微博 / 小红书 / 视频号</x:v>
      </x:c>
      <x:c r="U170" s="30" t="str">
        <x:v>未联系</x:v>
      </x:c>
      <x:c r="V170" s="30" t="str"/>
      <x:c r="W170" s="29" t="str">
        <x:v>中</x:v>
      </x:c>
      <x:c r="X170" s="29" t="str">
        <x:v>https://www.vgover.com/zh-tw/news/226267</x:v>
      </x:c>
    </x:row>
    <x:row r="171">
      <x:c r="A171" s="29" t="n">
        <x:v>168</x:v>
      </x:c>
      <x:c r="B171" s="29" t="str">
        <x:v>E5</x:v>
      </x:c>
      <x:c r="C171" s="29" t="str">
        <x:v>魔玩天地</x:v>
      </x:c>
      <x:c r="D171" s="29" t="str">
        <x:v>FM505</x:v>
      </x:c>
      <x:c r="E171" s="29" t="str">
        <x:v>上好佳</x:v>
      </x:c>
      <x:c r="F171" s="30" t="str"/>
      <x:c r="G171" s="29" t="str">
        <x:v>食品/跨界品牌</x:v>
      </x:c>
      <x:c r="H171" s="29" t="n">
        <x:v>3</x:v>
      </x:c>
      <x:c r="I171" s="29" t="n">
        <x:v>5</x:v>
      </x:c>
      <x:c r="J171" s="29" t="n">
        <x:v>4</x:v>
      </x:c>
      <x:c r="K171" s="29" t="n">
        <x:v>2</x:v>
      </x:c>
      <x:c r="L171" s="31" t="n">
        <x:f>SUM(H171:K171)</x:f>
        <x:v>14</x:v>
      </x:c>
      <x:c r="M171" s="29" t="str">
        <x:f>IF(L171&gt;=16,"A-优先",IF(L171&gt;=12,"B-培育","C-观察"))</x:f>
        <x:v>B-培育</x:v>
      </x:c>
      <x:c r="N171" s="29" t="str">
        <x:v>IP授权、谷子经济、商业体快闪、首店首发、制造与渠道</x:v>
      </x:c>
      <x:c r="O171" s="29" t="str"/>
      <x:c r="P171" s="30" t="str"/>
      <x:c r="Q171" s="30" t="str"/>
      <x:c r="R171" s="30" t="str"/>
      <x:c r="S171" s="30" t="str"/>
      <x:c r="T171" s="30" t="str">
        <x:v>建议检索：上好佳 官方 / 公众号 / 微博 / 小红书 / 视频号</x:v>
      </x:c>
      <x:c r="U171" s="30" t="str">
        <x:v>未联系</x:v>
      </x:c>
      <x:c r="V171" s="30" t="str"/>
      <x:c r="W171" s="29" t="str">
        <x:v>高</x:v>
      </x:c>
      <x:c r="X171" s="29" t="str">
        <x:v>https://www.vgover.com/zh-tw/news/226267</x:v>
      </x:c>
    </x:row>
    <x:row r="172">
      <x:c r="A172" s="29" t="n">
        <x:v>169</x:v>
      </x:c>
      <x:c r="B172" s="29" t="str">
        <x:v>E5</x:v>
      </x:c>
      <x:c r="C172" s="29" t="str">
        <x:v>魔玩天地</x:v>
      </x:c>
      <x:c r="D172" s="29" t="str">
        <x:v>FM506</x:v>
      </x:c>
      <x:c r="E172" s="29" t="str">
        <x:v>达米恩潮玩</x:v>
      </x:c>
      <x:c r="F172" s="30" t="str"/>
      <x:c r="G172" s="29" t="str">
        <x:v>潮玩</x:v>
      </x:c>
      <x:c r="H172" s="29" t="n">
        <x:v>3</x:v>
      </x:c>
      <x:c r="I172" s="29" t="n">
        <x:v>5</x:v>
      </x:c>
      <x:c r="J172" s="29" t="n">
        <x:v>5</x:v>
      </x:c>
      <x:c r="K172" s="29" t="n">
        <x:v>2</x:v>
      </x:c>
      <x:c r="L172" s="31" t="n">
        <x:f>SUM(H172:K172)</x:f>
        <x:v>15</x:v>
      </x:c>
      <x:c r="M172" s="29" t="str">
        <x:f>IF(L172&gt;=16,"A-优先",IF(L172&gt;=12,"B-培育","C-观察"))</x:f>
        <x:v>B-培育</x:v>
      </x:c>
      <x:c r="N172" s="29" t="str">
        <x:v>IP授权、谷子经济、商业体快闪、首店首发、制造与渠道</x:v>
      </x:c>
      <x:c r="O172" s="29" t="str">
        <x:v>展位图识别，待复核</x:v>
      </x:c>
      <x:c r="P172" s="30" t="str"/>
      <x:c r="Q172" s="30" t="str"/>
      <x:c r="R172" s="30" t="str"/>
      <x:c r="S172" s="30" t="str"/>
      <x:c r="T172" s="30" t="str">
        <x:v>建议检索：达米恩潮玩 官方 / 公众号 / 微博 / 小红书 / 视频号</x:v>
      </x:c>
      <x:c r="U172" s="30" t="str">
        <x:v>未联系</x:v>
      </x:c>
      <x:c r="V172" s="30" t="str"/>
      <x:c r="W172" s="29" t="str">
        <x:v>中</x:v>
      </x:c>
      <x:c r="X172" s="29" t="str">
        <x:v>https://www.vgover.com/zh-tw/news/226267</x:v>
      </x:c>
    </x:row>
    <x:row r="173">
      <x:c r="A173" s="29" t="n">
        <x:v>170</x:v>
      </x:c>
      <x:c r="B173" s="29" t="str">
        <x:v>E5</x:v>
      </x:c>
      <x:c r="C173" s="29" t="str">
        <x:v>魔玩天地</x:v>
      </x:c>
      <x:c r="D173" s="29" t="str">
        <x:v>FM507</x:v>
      </x:c>
      <x:c r="E173" s="29" t="str">
        <x:v>STC雷卡</x:v>
      </x:c>
      <x:c r="F173" s="30" t="str"/>
      <x:c r="G173" s="29" t="str">
        <x:v>卡牌/潮玩</x:v>
      </x:c>
      <x:c r="H173" s="29" t="n">
        <x:v>3</x:v>
      </x:c>
      <x:c r="I173" s="29" t="n">
        <x:v>5</x:v>
      </x:c>
      <x:c r="J173" s="29" t="n">
        <x:v>5</x:v>
      </x:c>
      <x:c r="K173" s="29" t="n">
        <x:v>2</x:v>
      </x:c>
      <x:c r="L173" s="31" t="n">
        <x:f>SUM(H173:K173)</x:f>
        <x:v>15</x:v>
      </x:c>
      <x:c r="M173" s="29" t="str">
        <x:f>IF(L173&gt;=16,"A-优先",IF(L173&gt;=12,"B-培育","C-观察"))</x:f>
        <x:v>B-培育</x:v>
      </x:c>
      <x:c r="N173" s="29" t="str">
        <x:v>IP授权、谷子经济、商业体快闪、首店首发、制造与渠道</x:v>
      </x:c>
      <x:c r="O173" s="29" t="str">
        <x:v>展位图识别，待复核</x:v>
      </x:c>
      <x:c r="P173" s="30" t="str"/>
      <x:c r="Q173" s="30" t="str"/>
      <x:c r="R173" s="30" t="str"/>
      <x:c r="S173" s="30" t="str"/>
      <x:c r="T173" s="30" t="str">
        <x:v>建议检索：STC雷卡 官方 / 公众号 / 微博 / 小红书 / 视频号</x:v>
      </x:c>
      <x:c r="U173" s="30" t="str">
        <x:v>未联系</x:v>
      </x:c>
      <x:c r="V173" s="30" t="str"/>
      <x:c r="W173" s="29" t="str">
        <x:v>中</x:v>
      </x:c>
      <x:c r="X173" s="29" t="str">
        <x:v>https://www.vgover.com/zh-tw/news/226267</x:v>
      </x:c>
    </x:row>
    <x:row r="174">
      <x:c r="A174" s="29" t="n">
        <x:v>171</x:v>
      </x:c>
      <x:c r="B174" s="29" t="str">
        <x:v>E5</x:v>
      </x:c>
      <x:c r="C174" s="29" t="str">
        <x:v>魔玩天地</x:v>
      </x:c>
      <x:c r="D174" s="29" t="str">
        <x:v>FM603</x:v>
      </x:c>
      <x:c r="E174" s="29" t="str">
        <x:v>白熊星球</x:v>
      </x:c>
      <x:c r="F174" s="30" t="str"/>
      <x:c r="G174" s="29" t="str">
        <x:v>潮玩</x:v>
      </x:c>
      <x:c r="H174" s="29" t="n">
        <x:v>3</x:v>
      </x:c>
      <x:c r="I174" s="29" t="n">
        <x:v>5</x:v>
      </x:c>
      <x:c r="J174" s="29" t="n">
        <x:v>5</x:v>
      </x:c>
      <x:c r="K174" s="29" t="n">
        <x:v>2</x:v>
      </x:c>
      <x:c r="L174" s="31" t="n">
        <x:f>SUM(H174:K174)</x:f>
        <x:v>15</x:v>
      </x:c>
      <x:c r="M174" s="29" t="str">
        <x:f>IF(L174&gt;=16,"A-优先",IF(L174&gt;=12,"B-培育","C-观察"))</x:f>
        <x:v>B-培育</x:v>
      </x:c>
      <x:c r="N174" s="29" t="str">
        <x:v>IP授权、谷子经济、商业体快闪、首店首发、制造与渠道</x:v>
      </x:c>
      <x:c r="O174" s="29" t="str">
        <x:v>展位图识别，待复核</x:v>
      </x:c>
      <x:c r="P174" s="30" t="str"/>
      <x:c r="Q174" s="30" t="str"/>
      <x:c r="R174" s="30" t="str"/>
      <x:c r="S174" s="30" t="str"/>
      <x:c r="T174" s="30" t="str">
        <x:v>建议检索：白熊星球 官方 / 公众号 / 微博 / 小红书 / 视频号</x:v>
      </x:c>
      <x:c r="U174" s="30" t="str">
        <x:v>未联系</x:v>
      </x:c>
      <x:c r="V174" s="30" t="str"/>
      <x:c r="W174" s="29" t="str">
        <x:v>中</x:v>
      </x:c>
      <x:c r="X174" s="29" t="str">
        <x:v>https://www.vgover.com/zh-tw/news/226267</x:v>
      </x:c>
    </x:row>
    <x:row r="175">
      <x:c r="A175" s="29" t="n">
        <x:v>172</x:v>
      </x:c>
      <x:c r="B175" s="29" t="str">
        <x:v>E5</x:v>
      </x:c>
      <x:c r="C175" s="29" t="str">
        <x:v>魔玩天地</x:v>
      </x:c>
      <x:c r="D175" s="29" t="str">
        <x:v>FM604</x:v>
      </x:c>
      <x:c r="E175" s="29" t="str">
        <x:v>INART</x:v>
      </x:c>
      <x:c r="F175" s="30" t="str"/>
      <x:c r="G175" s="29" t="str">
        <x:v>收藏玩具</x:v>
      </x:c>
      <x:c r="H175" s="29" t="n">
        <x:v>3</x:v>
      </x:c>
      <x:c r="I175" s="29" t="n">
        <x:v>5</x:v>
      </x:c>
      <x:c r="J175" s="29" t="n">
        <x:v>3</x:v>
      </x:c>
      <x:c r="K175" s="29" t="n">
        <x:v>2</x:v>
      </x:c>
      <x:c r="L175" s="31" t="n">
        <x:f>SUM(H175:K175)</x:f>
        <x:v>13</x:v>
      </x:c>
      <x:c r="M175" s="29" t="str">
        <x:f>IF(L175&gt;=16,"A-优先",IF(L175&gt;=12,"B-培育","C-观察"))</x:f>
        <x:v>B-培育</x:v>
      </x:c>
      <x:c r="N175" s="29" t="str">
        <x:v>IP授权、谷子经济、商业体快闪、首店首发、制造与渠道</x:v>
      </x:c>
      <x:c r="O175" s="29" t="str"/>
      <x:c r="P175" s="30" t="str"/>
      <x:c r="Q175" s="30" t="str"/>
      <x:c r="R175" s="30" t="str"/>
      <x:c r="S175" s="30" t="str"/>
      <x:c r="T175" s="30" t="str">
        <x:v>建议检索：INART 官方 / 公众号 / 微博 / 小红书 / 视频号</x:v>
      </x:c>
      <x:c r="U175" s="30" t="str">
        <x:v>未联系</x:v>
      </x:c>
      <x:c r="V175" s="30" t="str"/>
      <x:c r="W175" s="29" t="str">
        <x:v>高</x:v>
      </x:c>
      <x:c r="X175" s="29" t="str">
        <x:v>https://www.vgover.com/zh-tw/news/226267</x:v>
      </x:c>
    </x:row>
    <x:row r="176">
      <x:c r="A176" s="29" t="n">
        <x:v>173</x:v>
      </x:c>
      <x:c r="B176" s="29" t="str">
        <x:v>E5</x:v>
      </x:c>
      <x:c r="C176" s="29" t="str">
        <x:v>魔玩天地</x:v>
      </x:c>
      <x:c r="D176" s="29" t="str">
        <x:v>FM605</x:v>
      </x:c>
      <x:c r="E176" s="29" t="str">
        <x:v>Hello Kitty Park Anji China</x:v>
      </x:c>
      <x:c r="F176" s="30" t="str"/>
      <x:c r="G176" s="29" t="str">
        <x:v>IP/文旅</x:v>
      </x:c>
      <x:c r="H176" s="29" t="n">
        <x:v>3</x:v>
      </x:c>
      <x:c r="I176" s="29" t="n">
        <x:v>5</x:v>
      </x:c>
      <x:c r="J176" s="29" t="n">
        <x:v>5</x:v>
      </x:c>
      <x:c r="K176" s="29" t="n">
        <x:v>2</x:v>
      </x:c>
      <x:c r="L176" s="31" t="n">
        <x:f>SUM(H176:K176)</x:f>
        <x:v>15</x:v>
      </x:c>
      <x:c r="M176" s="29" t="str">
        <x:f>IF(L176&gt;=16,"A-优先",IF(L176&gt;=12,"B-培育","C-观察"))</x:f>
        <x:v>B-培育</x:v>
      </x:c>
      <x:c r="N176" s="29" t="str">
        <x:v>IP授权、谷子经济、商业体快闪、首店首发、制造与渠道</x:v>
      </x:c>
      <x:c r="O176" s="29" t="str"/>
      <x:c r="P176" s="30" t="str"/>
      <x:c r="Q176" s="30" t="str"/>
      <x:c r="R176" s="30" t="str"/>
      <x:c r="S176" s="30" t="str"/>
      <x:c r="T176" s="30" t="str">
        <x:v>建议检索：Hello Kitty Park Anji China 官方 / 公众号 / 微博 / 小红书 / 视频号</x:v>
      </x:c>
      <x:c r="U176" s="30" t="str">
        <x:v>未联系</x:v>
      </x:c>
      <x:c r="V176" s="30" t="str"/>
      <x:c r="W176" s="29" t="str">
        <x:v>高</x:v>
      </x:c>
      <x:c r="X176" s="29" t="str">
        <x:v>https://www.vgover.com/zh-tw/news/226267</x:v>
      </x:c>
    </x:row>
    <x:row r="177">
      <x:c r="A177" s="29" t="n">
        <x:v>174</x:v>
      </x:c>
      <x:c r="B177" s="29" t="str">
        <x:v>E5</x:v>
      </x:c>
      <x:c r="C177" s="29" t="str">
        <x:v>魔玩天地</x:v>
      </x:c>
      <x:c r="D177" s="29" t="str">
        <x:v>FM606</x:v>
      </x:c>
      <x:c r="E177" s="29" t="str">
        <x:v>MEZCOTOYZ</x:v>
      </x:c>
      <x:c r="F177" s="30" t="str"/>
      <x:c r="G177" s="29" t="str">
        <x:v>收藏玩具</x:v>
      </x:c>
      <x:c r="H177" s="29" t="n">
        <x:v>3</x:v>
      </x:c>
      <x:c r="I177" s="29" t="n">
        <x:v>5</x:v>
      </x:c>
      <x:c r="J177" s="29" t="n">
        <x:v>3</x:v>
      </x:c>
      <x:c r="K177" s="29" t="n">
        <x:v>2</x:v>
      </x:c>
      <x:c r="L177" s="31" t="n">
        <x:f>SUM(H177:K177)</x:f>
        <x:v>13</x:v>
      </x:c>
      <x:c r="M177" s="29" t="str">
        <x:f>IF(L177&gt;=16,"A-优先",IF(L177&gt;=12,"B-培育","C-观察"))</x:f>
        <x:v>B-培育</x:v>
      </x:c>
      <x:c r="N177" s="29" t="str">
        <x:v>IP授权、谷子经济、商业体快闪、首店首发、制造与渠道</x:v>
      </x:c>
      <x:c r="O177" s="29" t="str"/>
      <x:c r="P177" s="30" t="str"/>
      <x:c r="Q177" s="30" t="str"/>
      <x:c r="R177" s="30" t="str"/>
      <x:c r="S177" s="30" t="str"/>
      <x:c r="T177" s="30" t="str">
        <x:v>建议检索：MEZCOTOYZ 官方 / 公众号 / 微博 / 小红书 / 视频号</x:v>
      </x:c>
      <x:c r="U177" s="30" t="str">
        <x:v>未联系</x:v>
      </x:c>
      <x:c r="V177" s="30" t="str"/>
      <x:c r="W177" s="29" t="str">
        <x:v>高</x:v>
      </x:c>
      <x:c r="X177" s="29" t="str">
        <x:v>https://www.vgover.com/zh-tw/news/226267</x:v>
      </x:c>
    </x:row>
    <x:row r="178">
      <x:c r="A178" s="29" t="n">
        <x:v>175</x:v>
      </x:c>
      <x:c r="B178" s="29" t="str">
        <x:v>E5</x:v>
      </x:c>
      <x:c r="C178" s="29" t="str">
        <x:v>魔玩天地</x:v>
      </x:c>
      <x:c r="D178" s="29" t="str">
        <x:v>FM607</x:v>
      </x:c>
      <x:c r="E178" s="29" t="str">
        <x:v>Prime 1 Studio</x:v>
      </x:c>
      <x:c r="F178" s="30" t="str"/>
      <x:c r="G178" s="29" t="str">
        <x:v>收藏雕像</x:v>
      </x:c>
      <x:c r="H178" s="29" t="n">
        <x:v>3</x:v>
      </x:c>
      <x:c r="I178" s="29" t="n">
        <x:v>5</x:v>
      </x:c>
      <x:c r="J178" s="29" t="n">
        <x:v>3</x:v>
      </x:c>
      <x:c r="K178" s="29" t="n">
        <x:v>2</x:v>
      </x:c>
      <x:c r="L178" s="31" t="n">
        <x:f>SUM(H178:K178)</x:f>
        <x:v>13</x:v>
      </x:c>
      <x:c r="M178" s="29" t="str">
        <x:f>IF(L178&gt;=16,"A-优先",IF(L178&gt;=12,"B-培育","C-观察"))</x:f>
        <x:v>B-培育</x:v>
      </x:c>
      <x:c r="N178" s="29" t="str">
        <x:v>IP授权、谷子经济、商业体快闪、首店首发、制造与渠道</x:v>
      </x:c>
      <x:c r="O178" s="29" t="str"/>
      <x:c r="P178" s="30" t="str"/>
      <x:c r="Q178" s="30" t="str"/>
      <x:c r="R178" s="30" t="str"/>
      <x:c r="S178" s="30" t="str"/>
      <x:c r="T178" s="30" t="str">
        <x:v>建议检索：Prime 1 Studio 官方 / 公众号 / 微博 / 小红书 / 视频号</x:v>
      </x:c>
      <x:c r="U178" s="30" t="str">
        <x:v>未联系</x:v>
      </x:c>
      <x:c r="V178" s="30" t="str"/>
      <x:c r="W178" s="29" t="str">
        <x:v>高</x:v>
      </x:c>
      <x:c r="X178" s="29" t="str">
        <x:v>https://www.vgover.com/zh-tw/news/226267</x:v>
      </x:c>
    </x:row>
    <x:row r="179">
      <x:c r="A179" s="29" t="n">
        <x:v>176</x:v>
      </x:c>
      <x:c r="B179" s="29" t="str">
        <x:v>E5</x:v>
      </x:c>
      <x:c r="C179" s="29" t="str">
        <x:v>魔玩天地</x:v>
      </x:c>
      <x:c r="D179" s="29" t="str">
        <x:v>FM608</x:v>
      </x:c>
      <x:c r="E179" s="29" t="str">
        <x:v>中国邮政</x:v>
      </x:c>
      <x:c r="F179" s="30" t="str"/>
      <x:c r="G179" s="29" t="str">
        <x:v>邮政/文创</x:v>
      </x:c>
      <x:c r="H179" s="29" t="n">
        <x:v>3</x:v>
      </x:c>
      <x:c r="I179" s="29" t="n">
        <x:v>5</x:v>
      </x:c>
      <x:c r="J179" s="29" t="n">
        <x:v>4</x:v>
      </x:c>
      <x:c r="K179" s="29" t="n">
        <x:v>2</x:v>
      </x:c>
      <x:c r="L179" s="31" t="n">
        <x:f>SUM(H179:K179)</x:f>
        <x:v>14</x:v>
      </x:c>
      <x:c r="M179" s="29" t="str">
        <x:f>IF(L179&gt;=16,"A-优先",IF(L179&gt;=12,"B-培育","C-观察"))</x:f>
        <x:v>B-培育</x:v>
      </x:c>
      <x:c r="N179" s="29" t="str">
        <x:v>IP授权、谷子经济、商业体快闪、首店首发、制造与渠道</x:v>
      </x:c>
      <x:c r="O179" s="29" t="str"/>
      <x:c r="P179" s="30" t="str"/>
      <x:c r="Q179" s="30" t="str"/>
      <x:c r="R179" s="30" t="str"/>
      <x:c r="S179" s="30" t="str"/>
      <x:c r="T179" s="30" t="str">
        <x:v>建议检索：中国邮政 官方 / 公众号 / 微博 / 小红书 / 视频号</x:v>
      </x:c>
      <x:c r="U179" s="30" t="str">
        <x:v>未联系</x:v>
      </x:c>
      <x:c r="V179" s="30" t="str"/>
      <x:c r="W179" s="29" t="str">
        <x:v>高</x:v>
      </x:c>
      <x:c r="X179" s="29" t="str">
        <x:v>https://www.vgover.com/zh-tw/news/226267</x:v>
      </x:c>
    </x:row>
    <x:row r="180">
      <x:c r="A180" s="29" t="n">
        <x:v>177</x:v>
      </x:c>
      <x:c r="B180" s="29" t="str">
        <x:v>E5</x:v>
      </x:c>
      <x:c r="C180" s="29" t="str">
        <x:v>魔玩天地</x:v>
      </x:c>
      <x:c r="D180" s="29" t="str">
        <x:v>FM609</x:v>
      </x:c>
      <x:c r="E180" s="29" t="str">
        <x:v>Mirai Dolls</x:v>
      </x:c>
      <x:c r="F180" s="30" t="str"/>
      <x:c r="G180" s="29" t="str">
        <x:v>人偶</x:v>
      </x:c>
      <x:c r="H180" s="29" t="n">
        <x:v>3</x:v>
      </x:c>
      <x:c r="I180" s="29" t="n">
        <x:v>5</x:v>
      </x:c>
      <x:c r="J180" s="29" t="n">
        <x:v>3</x:v>
      </x:c>
      <x:c r="K180" s="29" t="n">
        <x:v>2</x:v>
      </x:c>
      <x:c r="L180" s="31" t="n">
        <x:f>SUM(H180:K180)</x:f>
        <x:v>13</x:v>
      </x:c>
      <x:c r="M180" s="29" t="str">
        <x:f>IF(L180&gt;=16,"A-优先",IF(L180&gt;=12,"B-培育","C-观察"))</x:f>
        <x:v>B-培育</x:v>
      </x:c>
      <x:c r="N180" s="29" t="str">
        <x:v>IP授权、谷子经济、商业体快闪、首店首发、制造与渠道</x:v>
      </x:c>
      <x:c r="O180" s="29" t="str"/>
      <x:c r="P180" s="30" t="str"/>
      <x:c r="Q180" s="30" t="str"/>
      <x:c r="R180" s="30" t="str"/>
      <x:c r="S180" s="30" t="str"/>
      <x:c r="T180" s="30" t="str">
        <x:v>建议检索：Mirai Dolls 官方 / 公众号 / 微博 / 小红书 / 视频号</x:v>
      </x:c>
      <x:c r="U180" s="30" t="str">
        <x:v>未联系</x:v>
      </x:c>
      <x:c r="V180" s="30" t="str"/>
      <x:c r="W180" s="29" t="str">
        <x:v>高</x:v>
      </x:c>
      <x:c r="X180" s="29" t="str">
        <x:v>https://www.vgover.com/zh-tw/news/226267</x:v>
      </x:c>
    </x:row>
    <x:row r="181">
      <x:c r="A181" s="29" t="n">
        <x:v>178</x:v>
      </x:c>
      <x:c r="B181" s="29" t="str">
        <x:v>E5</x:v>
      </x:c>
      <x:c r="C181" s="29" t="str">
        <x:v>魔玩天地</x:v>
      </x:c>
      <x:c r="D181" s="29" t="str">
        <x:v>FM808</x:v>
      </x:c>
      <x:c r="E181" s="29" t="str">
        <x:v>beambox</x:v>
      </x:c>
      <x:c r="F181" s="30" t="str"/>
      <x:c r="G181" s="29" t="str">
        <x:v>潮玩</x:v>
      </x:c>
      <x:c r="H181" s="29" t="n">
        <x:v>3</x:v>
      </x:c>
      <x:c r="I181" s="29" t="n">
        <x:v>5</x:v>
      </x:c>
      <x:c r="J181" s="29" t="n">
        <x:v>5</x:v>
      </x:c>
      <x:c r="K181" s="29" t="n">
        <x:v>2</x:v>
      </x:c>
      <x:c r="L181" s="31" t="n">
        <x:f>SUM(H181:K181)</x:f>
        <x:v>15</x:v>
      </x:c>
      <x:c r="M181" s="29" t="str">
        <x:f>IF(L181&gt;=16,"A-优先",IF(L181&gt;=12,"B-培育","C-观察"))</x:f>
        <x:v>B-培育</x:v>
      </x:c>
      <x:c r="N181" s="29" t="str">
        <x:v>IP授权、谷子经济、商业体快闪、首店首发、制造与渠道</x:v>
      </x:c>
      <x:c r="O181" s="29" t="str"/>
      <x:c r="P181" s="30" t="str"/>
      <x:c r="Q181" s="30" t="str"/>
      <x:c r="R181" s="30" t="str"/>
      <x:c r="S181" s="30" t="str"/>
      <x:c r="T181" s="30" t="str">
        <x:v>建议检索：beambox 官方 / 公众号 / 微博 / 小红书 / 视频号</x:v>
      </x:c>
      <x:c r="U181" s="30" t="str">
        <x:v>未联系</x:v>
      </x:c>
      <x:c r="V181" s="30" t="str"/>
      <x:c r="W181" s="29" t="str">
        <x:v>高</x:v>
      </x:c>
      <x:c r="X181" s="29" t="str">
        <x:v>https://www.vgover.com/zh-tw/news/226267</x:v>
      </x:c>
    </x:row>
    <x:row r="182">
      <x:c r="A182" s="29" t="n">
        <x:v>179</x:v>
      </x:c>
      <x:c r="B182" s="29" t="str">
        <x:v>E5</x:v>
      </x:c>
      <x:c r="C182" s="29" t="str">
        <x:v>魔玩天地</x:v>
      </x:c>
      <x:c r="D182" s="29" t="str">
        <x:v>FM809</x:v>
      </x:c>
      <x:c r="E182" s="29" t="str">
        <x:v>PLZDOT</x:v>
      </x:c>
      <x:c r="F182" s="30" t="str"/>
      <x:c r="G182" s="29" t="str">
        <x:v>潮玩</x:v>
      </x:c>
      <x:c r="H182" s="29" t="n">
        <x:v>3</x:v>
      </x:c>
      <x:c r="I182" s="29" t="n">
        <x:v>5</x:v>
      </x:c>
      <x:c r="J182" s="29" t="n">
        <x:v>5</x:v>
      </x:c>
      <x:c r="K182" s="29" t="n">
        <x:v>2</x:v>
      </x:c>
      <x:c r="L182" s="31" t="n">
        <x:f>SUM(H182:K182)</x:f>
        <x:v>15</x:v>
      </x:c>
      <x:c r="M182" s="29" t="str">
        <x:f>IF(L182&gt;=16,"A-优先",IF(L182&gt;=12,"B-培育","C-观察"))</x:f>
        <x:v>B-培育</x:v>
      </x:c>
      <x:c r="N182" s="29" t="str">
        <x:v>IP授权、谷子经济、商业体快闪、首店首发、制造与渠道</x:v>
      </x:c>
      <x:c r="O182" s="29" t="str"/>
      <x:c r="P182" s="30" t="str"/>
      <x:c r="Q182" s="30" t="str"/>
      <x:c r="R182" s="30" t="str"/>
      <x:c r="S182" s="30" t="str"/>
      <x:c r="T182" s="30" t="str">
        <x:v>建议检索：PLZDOT 官方 / 公众号 / 微博 / 小红书 / 视频号</x:v>
      </x:c>
      <x:c r="U182" s="30" t="str">
        <x:v>未联系</x:v>
      </x:c>
      <x:c r="V182" s="30" t="str"/>
      <x:c r="W182" s="29" t="str">
        <x:v>高</x:v>
      </x:c>
      <x:c r="X182" s="29" t="str">
        <x:v>https://www.vgover.com/zh-tw/news/226267</x:v>
      </x:c>
    </x:row>
    <x:row r="183">
      <x:c r="A183" s="29" t="n">
        <x:v>180</x:v>
      </x:c>
      <x:c r="B183" s="29" t="str">
        <x:v>E5</x:v>
      </x:c>
      <x:c r="C183" s="29" t="str">
        <x:v>魔玩天地</x:v>
      </x:c>
      <x:c r="D183" s="29" t="str">
        <x:v>FM210</x:v>
      </x:c>
      <x:c r="E183" s="29" t="str">
        <x:v>集奇怪</x:v>
      </x:c>
      <x:c r="F183" s="30" t="str"/>
      <x:c r="G183" s="29" t="str">
        <x:v>潮玩工作室</x:v>
      </x:c>
      <x:c r="H183" s="29" t="n">
        <x:v>2</x:v>
      </x:c>
      <x:c r="I183" s="29" t="n">
        <x:v>5</x:v>
      </x:c>
      <x:c r="J183" s="29" t="n">
        <x:v>5</x:v>
      </x:c>
      <x:c r="K183" s="29" t="n">
        <x:v>2</x:v>
      </x:c>
      <x:c r="L183" s="31" t="n">
        <x:f>SUM(H183:K183)</x:f>
        <x:v>14</x:v>
      </x:c>
      <x:c r="M183" s="29" t="str">
        <x:f>IF(L183&gt;=16,"A-优先",IF(L183&gt;=12,"B-培育","C-观察"))</x:f>
        <x:v>B-培育</x:v>
      </x:c>
      <x:c r="N183" s="29" t="str">
        <x:v>IP授权、谷子经济、商业体快闪、首店首发、制造与渠道</x:v>
      </x:c>
      <x:c r="O183" s="29" t="str"/>
      <x:c r="P183" s="30" t="str"/>
      <x:c r="Q183" s="30" t="str"/>
      <x:c r="R183" s="30" t="str"/>
      <x:c r="S183" s="30" t="str"/>
      <x:c r="T183" s="30" t="str">
        <x:v>建议检索：集奇怪 官方 / 公众号 / 微博 / 小红书 / 视频号</x:v>
      </x:c>
      <x:c r="U183" s="30" t="str">
        <x:v>未联系</x:v>
      </x:c>
      <x:c r="V183" s="30" t="str"/>
      <x:c r="W183" s="29" t="str">
        <x:v>高</x:v>
      </x:c>
      <x:c r="X183" s="29" t="str">
        <x:v>https://www.vgover.com/zh-tw/news/226267</x:v>
      </x:c>
    </x:row>
    <x:row r="184">
      <x:c r="A184" s="29" t="n">
        <x:v>181</x:v>
      </x:c>
      <x:c r="B184" s="29" t="str">
        <x:v>E5</x:v>
      </x:c>
      <x:c r="C184" s="29" t="str">
        <x:v>魔玩天地</x:v>
      </x:c>
      <x:c r="D184" s="29" t="str">
        <x:v>FM211</x:v>
      </x:c>
      <x:c r="E184" s="29" t="str">
        <x:v>广聚博汇</x:v>
      </x:c>
      <x:c r="F184" s="30" t="str"/>
      <x:c r="G184" s="29" t="str">
        <x:v>潮玩/渠道</x:v>
      </x:c>
      <x:c r="H184" s="29" t="n">
        <x:v>3</x:v>
      </x:c>
      <x:c r="I184" s="29" t="n">
        <x:v>5</x:v>
      </x:c>
      <x:c r="J184" s="29" t="n">
        <x:v>5</x:v>
      </x:c>
      <x:c r="K184" s="29" t="n">
        <x:v>2</x:v>
      </x:c>
      <x:c r="L184" s="31" t="n">
        <x:f>SUM(H184:K184)</x:f>
        <x:v>15</x:v>
      </x:c>
      <x:c r="M184" s="29" t="str">
        <x:f>IF(L184&gt;=16,"A-优先",IF(L184&gt;=12,"B-培育","C-观察"))</x:f>
        <x:v>B-培育</x:v>
      </x:c>
      <x:c r="N184" s="29" t="str">
        <x:v>IP授权、谷子经济、商业体快闪、首店首发、制造与渠道</x:v>
      </x:c>
      <x:c r="O184" s="29" t="str"/>
      <x:c r="P184" s="30" t="str"/>
      <x:c r="Q184" s="30" t="str"/>
      <x:c r="R184" s="30" t="str"/>
      <x:c r="S184" s="30" t="str"/>
      <x:c r="T184" s="30" t="str">
        <x:v>建议检索：广聚博汇 官方 / 公众号 / 微博 / 小红书 / 视频号</x:v>
      </x:c>
      <x:c r="U184" s="30" t="str">
        <x:v>未联系</x:v>
      </x:c>
      <x:c r="V184" s="30" t="str"/>
      <x:c r="W184" s="29" t="str">
        <x:v>高</x:v>
      </x:c>
      <x:c r="X184" s="29" t="str">
        <x:v>https://www.vgover.com/zh-tw/news/226267</x:v>
      </x:c>
    </x:row>
    <x:row r="185">
      <x:c r="A185" s="29" t="n">
        <x:v>182</x:v>
      </x:c>
      <x:c r="B185" s="29" t="str">
        <x:v>E5</x:v>
      </x:c>
      <x:c r="C185" s="29" t="str">
        <x:v>魔玩天地</x:v>
      </x:c>
      <x:c r="D185" s="29" t="str">
        <x:v>FM213</x:v>
      </x:c>
      <x:c r="E185" s="29" t="str">
        <x:v>千伏</x:v>
      </x:c>
      <x:c r="F185" s="30" t="str"/>
      <x:c r="G185" s="29" t="str">
        <x:v>潮玩工作室</x:v>
      </x:c>
      <x:c r="H185" s="29" t="n">
        <x:v>2</x:v>
      </x:c>
      <x:c r="I185" s="29" t="n">
        <x:v>5</x:v>
      </x:c>
      <x:c r="J185" s="29" t="n">
        <x:v>5</x:v>
      </x:c>
      <x:c r="K185" s="29" t="n">
        <x:v>2</x:v>
      </x:c>
      <x:c r="L185" s="31" t="n">
        <x:f>SUM(H185:K185)</x:f>
        <x:v>14</x:v>
      </x:c>
      <x:c r="M185" s="29" t="str">
        <x:f>IF(L185&gt;=16,"A-优先",IF(L185&gt;=12,"B-培育","C-观察"))</x:f>
        <x:v>B-培育</x:v>
      </x:c>
      <x:c r="N185" s="29" t="str">
        <x:v>IP授权、谷子经济、商业体快闪、首店首发、制造与渠道</x:v>
      </x:c>
      <x:c r="O185" s="29" t="str"/>
      <x:c r="P185" s="30" t="str"/>
      <x:c r="Q185" s="30" t="str"/>
      <x:c r="R185" s="30" t="str"/>
      <x:c r="S185" s="30" t="str"/>
      <x:c r="T185" s="30" t="str">
        <x:v>建议检索：千伏 官方 / 公众号 / 微博 / 小红书 / 视频号</x:v>
      </x:c>
      <x:c r="U185" s="30" t="str">
        <x:v>未联系</x:v>
      </x:c>
      <x:c r="V185" s="30" t="str"/>
      <x:c r="W185" s="29" t="str">
        <x:v>高</x:v>
      </x:c>
      <x:c r="X185" s="29" t="str">
        <x:v>https://www.vgover.com/zh-tw/news/226267</x:v>
      </x:c>
    </x:row>
    <x:row r="186">
      <x:c r="A186" s="29" t="n">
        <x:v>183</x:v>
      </x:c>
      <x:c r="B186" s="29" t="str">
        <x:v>E5</x:v>
      </x:c>
      <x:c r="C186" s="29" t="str">
        <x:v>魔玩天地</x:v>
      </x:c>
      <x:c r="D186" s="29" t="str">
        <x:v>FM214</x:v>
      </x:c>
      <x:c r="E186" s="29" t="str">
        <x:v>树实</x:v>
      </x:c>
      <x:c r="F186" s="30" t="str"/>
      <x:c r="G186" s="29" t="str">
        <x:v>潮玩工作室</x:v>
      </x:c>
      <x:c r="H186" s="29" t="n">
        <x:v>2</x:v>
      </x:c>
      <x:c r="I186" s="29" t="n">
        <x:v>5</x:v>
      </x:c>
      <x:c r="J186" s="29" t="n">
        <x:v>5</x:v>
      </x:c>
      <x:c r="K186" s="29" t="n">
        <x:v>2</x:v>
      </x:c>
      <x:c r="L186" s="31" t="n">
        <x:f>SUM(H186:K186)</x:f>
        <x:v>14</x:v>
      </x:c>
      <x:c r="M186" s="29" t="str">
        <x:f>IF(L186&gt;=16,"A-优先",IF(L186&gt;=12,"B-培育","C-观察"))</x:f>
        <x:v>B-培育</x:v>
      </x:c>
      <x:c r="N186" s="29" t="str">
        <x:v>IP授权、谷子经济、商业体快闪、首店首发、制造与渠道</x:v>
      </x:c>
      <x:c r="O186" s="29" t="str"/>
      <x:c r="P186" s="30" t="str"/>
      <x:c r="Q186" s="30" t="str"/>
      <x:c r="R186" s="30" t="str"/>
      <x:c r="S186" s="30" t="str"/>
      <x:c r="T186" s="30" t="str">
        <x:v>建议检索：树实 官方 / 公众号 / 微博 / 小红书 / 视频号</x:v>
      </x:c>
      <x:c r="U186" s="30" t="str">
        <x:v>未联系</x:v>
      </x:c>
      <x:c r="V186" s="30" t="str"/>
      <x:c r="W186" s="29" t="str">
        <x:v>高</x:v>
      </x:c>
      <x:c r="X186" s="29" t="str">
        <x:v>https://www.vgover.com/zh-tw/news/226267</x:v>
      </x:c>
    </x:row>
    <x:row r="187">
      <x:c r="A187" s="29" t="n">
        <x:v>184</x:v>
      </x:c>
      <x:c r="B187" s="29" t="str">
        <x:v>E5</x:v>
      </x:c>
      <x:c r="C187" s="29" t="str">
        <x:v>魔玩天地</x:v>
      </x:c>
      <x:c r="D187" s="29" t="str">
        <x:v>FM215</x:v>
      </x:c>
      <x:c r="E187" s="29" t="str">
        <x:v>绞尼伏斯</x:v>
      </x:c>
      <x:c r="F187" s="30" t="str"/>
      <x:c r="G187" s="29" t="str">
        <x:v>潮玩工作室</x:v>
      </x:c>
      <x:c r="H187" s="29" t="n">
        <x:v>2</x:v>
      </x:c>
      <x:c r="I187" s="29" t="n">
        <x:v>5</x:v>
      </x:c>
      <x:c r="J187" s="29" t="n">
        <x:v>5</x:v>
      </x:c>
      <x:c r="K187" s="29" t="n">
        <x:v>2</x:v>
      </x:c>
      <x:c r="L187" s="31" t="n">
        <x:f>SUM(H187:K187)</x:f>
        <x:v>14</x:v>
      </x:c>
      <x:c r="M187" s="29" t="str">
        <x:f>IF(L187&gt;=16,"A-优先",IF(L187&gt;=12,"B-培育","C-观察"))</x:f>
        <x:v>B-培育</x:v>
      </x:c>
      <x:c r="N187" s="29" t="str">
        <x:v>IP授权、谷子经济、商业体快闪、首店首发、制造与渠道</x:v>
      </x:c>
      <x:c r="O187" s="29" t="str">
        <x:v>展位图识别，待复核</x:v>
      </x:c>
      <x:c r="P187" s="30" t="str"/>
      <x:c r="Q187" s="30" t="str"/>
      <x:c r="R187" s="30" t="str"/>
      <x:c r="S187" s="30" t="str"/>
      <x:c r="T187" s="30" t="str">
        <x:v>建议检索：绞尼伏斯 官方 / 公众号 / 微博 / 小红书 / 视频号</x:v>
      </x:c>
      <x:c r="U187" s="30" t="str">
        <x:v>未联系</x:v>
      </x:c>
      <x:c r="V187" s="30" t="str"/>
      <x:c r="W187" s="29" t="str">
        <x:v>中</x:v>
      </x:c>
      <x:c r="X187" s="29" t="str">
        <x:v>https://www.vgover.com/zh-tw/news/226267</x:v>
      </x:c>
    </x:row>
    <x:row r="188">
      <x:c r="A188" s="29" t="n">
        <x:v>185</x:v>
      </x:c>
      <x:c r="B188" s="29" t="str">
        <x:v>E5</x:v>
      </x:c>
      <x:c r="C188" s="29" t="str">
        <x:v>魔玩天地</x:v>
      </x:c>
      <x:c r="D188" s="29" t="str">
        <x:v>FM216</x:v>
      </x:c>
      <x:c r="E188" s="29" t="str">
        <x:v>晨峰</x:v>
      </x:c>
      <x:c r="F188" s="30" t="str"/>
      <x:c r="G188" s="29" t="str">
        <x:v>潮玩工作室</x:v>
      </x:c>
      <x:c r="H188" s="29" t="n">
        <x:v>2</x:v>
      </x:c>
      <x:c r="I188" s="29" t="n">
        <x:v>5</x:v>
      </x:c>
      <x:c r="J188" s="29" t="n">
        <x:v>5</x:v>
      </x:c>
      <x:c r="K188" s="29" t="n">
        <x:v>2</x:v>
      </x:c>
      <x:c r="L188" s="31" t="n">
        <x:f>SUM(H188:K188)</x:f>
        <x:v>14</x:v>
      </x:c>
      <x:c r="M188" s="29" t="str">
        <x:f>IF(L188&gt;=16,"A-优先",IF(L188&gt;=12,"B-培育","C-观察"))</x:f>
        <x:v>B-培育</x:v>
      </x:c>
      <x:c r="N188" s="29" t="str">
        <x:v>IP授权、谷子经济、商业体快闪、首店首发、制造与渠道</x:v>
      </x:c>
      <x:c r="O188" s="29" t="str"/>
      <x:c r="P188" s="30" t="str"/>
      <x:c r="Q188" s="30" t="str"/>
      <x:c r="R188" s="30" t="str"/>
      <x:c r="S188" s="30" t="str"/>
      <x:c r="T188" s="30" t="str">
        <x:v>建议检索：晨峰 官方 / 公众号 / 微博 / 小红书 / 视频号</x:v>
      </x:c>
      <x:c r="U188" s="30" t="str">
        <x:v>未联系</x:v>
      </x:c>
      <x:c r="V188" s="30" t="str"/>
      <x:c r="W188" s="29" t="str">
        <x:v>高</x:v>
      </x:c>
      <x:c r="X188" s="29" t="str">
        <x:v>https://www.vgover.com/zh-tw/news/226267</x:v>
      </x:c>
    </x:row>
    <x:row r="189">
      <x:c r="A189" s="29" t="n">
        <x:v>186</x:v>
      </x:c>
      <x:c r="B189" s="29" t="str">
        <x:v>E5</x:v>
      </x:c>
      <x:c r="C189" s="29" t="str">
        <x:v>魔玩天地</x:v>
      </x:c>
      <x:c r="D189" s="29" t="str">
        <x:v>FM313</x:v>
      </x:c>
      <x:c r="E189" s="29" t="str">
        <x:v>HIT.Collection 收卡吧</x:v>
      </x:c>
      <x:c r="F189" s="30" t="str"/>
      <x:c r="G189" s="29" t="str">
        <x:v>卡牌</x:v>
      </x:c>
      <x:c r="H189" s="29" t="n">
        <x:v>3</x:v>
      </x:c>
      <x:c r="I189" s="29" t="n">
        <x:v>5</x:v>
      </x:c>
      <x:c r="J189" s="29" t="n">
        <x:v>3</x:v>
      </x:c>
      <x:c r="K189" s="29" t="n">
        <x:v>2</x:v>
      </x:c>
      <x:c r="L189" s="31" t="n">
        <x:f>SUM(H189:K189)</x:f>
        <x:v>13</x:v>
      </x:c>
      <x:c r="M189" s="29" t="str">
        <x:f>IF(L189&gt;=16,"A-优先",IF(L189&gt;=12,"B-培育","C-观察"))</x:f>
        <x:v>B-培育</x:v>
      </x:c>
      <x:c r="N189" s="29" t="str">
        <x:v>IP授权、谷子经济、商业体快闪、首店首发、制造与渠道</x:v>
      </x:c>
      <x:c r="O189" s="29" t="str"/>
      <x:c r="P189" s="30" t="str"/>
      <x:c r="Q189" s="30" t="str"/>
      <x:c r="R189" s="30" t="str"/>
      <x:c r="S189" s="30" t="str"/>
      <x:c r="T189" s="30" t="str">
        <x:v>建议检索：HIT.Collection 收卡吧 官方 / 公众号 / 微博 / 小红书 / 视频号</x:v>
      </x:c>
      <x:c r="U189" s="30" t="str">
        <x:v>未联系</x:v>
      </x:c>
      <x:c r="V189" s="30" t="str"/>
      <x:c r="W189" s="29" t="str">
        <x:v>高</x:v>
      </x:c>
      <x:c r="X189" s="29" t="str">
        <x:v>https://www.vgover.com/zh-tw/news/226267</x:v>
      </x:c>
    </x:row>
    <x:row r="190">
      <x:c r="A190" s="29" t="n">
        <x:v>187</x:v>
      </x:c>
      <x:c r="B190" s="29" t="str">
        <x:v>E5</x:v>
      </x:c>
      <x:c r="C190" s="29" t="str">
        <x:v>魔玩天地</x:v>
      </x:c>
      <x:c r="D190" s="29" t="str">
        <x:v>FM314</x:v>
      </x:c>
      <x:c r="E190" s="29" t="str">
        <x:v>机械入侵</x:v>
      </x:c>
      <x:c r="F190" s="30" t="str"/>
      <x:c r="G190" s="29" t="str">
        <x:v>模型</x:v>
      </x:c>
      <x:c r="H190" s="29" t="n">
        <x:v>3</x:v>
      </x:c>
      <x:c r="I190" s="29" t="n">
        <x:v>5</x:v>
      </x:c>
      <x:c r="J190" s="29" t="n">
        <x:v>3</x:v>
      </x:c>
      <x:c r="K190" s="29" t="n">
        <x:v>2</x:v>
      </x:c>
      <x:c r="L190" s="31" t="n">
        <x:f>SUM(H190:K190)</x:f>
        <x:v>13</x:v>
      </x:c>
      <x:c r="M190" s="29" t="str">
        <x:f>IF(L190&gt;=16,"A-优先",IF(L190&gt;=12,"B-培育","C-观察"))</x:f>
        <x:v>B-培育</x:v>
      </x:c>
      <x:c r="N190" s="29" t="str">
        <x:v>IP授权、谷子经济、商业体快闪、首店首发、制造与渠道</x:v>
      </x:c>
      <x:c r="O190" s="29" t="str"/>
      <x:c r="P190" s="30" t="str"/>
      <x:c r="Q190" s="30" t="str"/>
      <x:c r="R190" s="30" t="str"/>
      <x:c r="S190" s="30" t="str"/>
      <x:c r="T190" s="30" t="str">
        <x:v>建议检索：机械入侵 官方 / 公众号 / 微博 / 小红书 / 视频号</x:v>
      </x:c>
      <x:c r="U190" s="30" t="str">
        <x:v>未联系</x:v>
      </x:c>
      <x:c r="V190" s="30" t="str"/>
      <x:c r="W190" s="29" t="str">
        <x:v>高</x:v>
      </x:c>
      <x:c r="X190" s="29" t="str">
        <x:v>https://www.vgover.com/zh-tw/news/226267</x:v>
      </x:c>
    </x:row>
    <x:row r="191">
      <x:c r="A191" s="29" t="n">
        <x:v>188</x:v>
      </x:c>
      <x:c r="B191" s="29" t="str">
        <x:v>E5</x:v>
      </x:c>
      <x:c r="C191" s="29" t="str">
        <x:v>魔玩天地</x:v>
      </x:c>
      <x:c r="D191" s="29" t="str">
        <x:v>FM315</x:v>
      </x:c>
      <x:c r="E191" s="29" t="str">
        <x:v>树实</x:v>
      </x:c>
      <x:c r="F191" s="30" t="str"/>
      <x:c r="G191" s="29" t="str">
        <x:v>潮玩工作室</x:v>
      </x:c>
      <x:c r="H191" s="29" t="n">
        <x:v>2</x:v>
      </x:c>
      <x:c r="I191" s="29" t="n">
        <x:v>5</x:v>
      </x:c>
      <x:c r="J191" s="29" t="n">
        <x:v>5</x:v>
      </x:c>
      <x:c r="K191" s="29" t="n">
        <x:v>2</x:v>
      </x:c>
      <x:c r="L191" s="31" t="n">
        <x:f>SUM(H191:K191)</x:f>
        <x:v>14</x:v>
      </x:c>
      <x:c r="M191" s="29" t="str">
        <x:f>IF(L191&gt;=16,"A-优先",IF(L191&gt;=12,"B-培育","C-观察"))</x:f>
        <x:v>B-培育</x:v>
      </x:c>
      <x:c r="N191" s="29" t="str">
        <x:v>IP授权、谷子经济、商业体快闪、首店首发、制造与渠道</x:v>
      </x:c>
      <x:c r="O191" s="29" t="str"/>
      <x:c r="P191" s="30" t="str"/>
      <x:c r="Q191" s="30" t="str"/>
      <x:c r="R191" s="30" t="str"/>
      <x:c r="S191" s="30" t="str"/>
      <x:c r="T191" s="30" t="str">
        <x:v>建议检索：树实 官方 / 公众号 / 微博 / 小红书 / 视频号</x:v>
      </x:c>
      <x:c r="U191" s="30" t="str">
        <x:v>未联系</x:v>
      </x:c>
      <x:c r="V191" s="30" t="str"/>
      <x:c r="W191" s="29" t="str">
        <x:v>高</x:v>
      </x:c>
      <x:c r="X191" s="29" t="str">
        <x:v>https://www.vgover.com/zh-tw/news/226267</x:v>
      </x:c>
    </x:row>
    <x:row r="192">
      <x:c r="A192" s="29" t="n">
        <x:v>189</x:v>
      </x:c>
      <x:c r="B192" s="29" t="str">
        <x:v>E5</x:v>
      </x:c>
      <x:c r="C192" s="29" t="str">
        <x:v>魔玩天地</x:v>
      </x:c>
      <x:c r="D192" s="29" t="str">
        <x:v>FM316</x:v>
      </x:c>
      <x:c r="E192" s="29" t="str">
        <x:v>锐腾海林</x:v>
      </x:c>
      <x:c r="F192" s="30" t="str"/>
      <x:c r="G192" s="29" t="str">
        <x:v>潮玩/渠道</x:v>
      </x:c>
      <x:c r="H192" s="29" t="n">
        <x:v>3</x:v>
      </x:c>
      <x:c r="I192" s="29" t="n">
        <x:v>5</x:v>
      </x:c>
      <x:c r="J192" s="29" t="n">
        <x:v>5</x:v>
      </x:c>
      <x:c r="K192" s="29" t="n">
        <x:v>2</x:v>
      </x:c>
      <x:c r="L192" s="31" t="n">
        <x:f>SUM(H192:K192)</x:f>
        <x:v>15</x:v>
      </x:c>
      <x:c r="M192" s="29" t="str">
        <x:f>IF(L192&gt;=16,"A-优先",IF(L192&gt;=12,"B-培育","C-观察"))</x:f>
        <x:v>B-培育</x:v>
      </x:c>
      <x:c r="N192" s="29" t="str">
        <x:v>IP授权、谷子经济、商业体快闪、首店首发、制造与渠道</x:v>
      </x:c>
      <x:c r="O192" s="29" t="str"/>
      <x:c r="P192" s="30" t="str"/>
      <x:c r="Q192" s="30" t="str"/>
      <x:c r="R192" s="30" t="str"/>
      <x:c r="S192" s="30" t="str"/>
      <x:c r="T192" s="30" t="str">
        <x:v>建议检索：锐腾海林 官方 / 公众号 / 微博 / 小红书 / 视频号</x:v>
      </x:c>
      <x:c r="U192" s="30" t="str">
        <x:v>未联系</x:v>
      </x:c>
      <x:c r="V192" s="30" t="str"/>
      <x:c r="W192" s="29" t="str">
        <x:v>高</x:v>
      </x:c>
      <x:c r="X192" s="29" t="str">
        <x:v>https://www.vgover.com/zh-tw/news/226267</x:v>
      </x:c>
    </x:row>
    <x:row r="193">
      <x:c r="A193" s="29" t="n">
        <x:v>190</x:v>
      </x:c>
      <x:c r="B193" s="29" t="str">
        <x:v>E5</x:v>
      </x:c>
      <x:c r="C193" s="29" t="str">
        <x:v>魔玩天地</x:v>
      </x:c>
      <x:c r="D193" s="29" t="str">
        <x:v>FM412</x:v>
      </x:c>
      <x:c r="E193" s="29" t="str">
        <x:v>灾音</x:v>
      </x:c>
      <x:c r="F193" s="30" t="str"/>
      <x:c r="G193" s="29" t="str">
        <x:v>创作者/IP</x:v>
      </x:c>
      <x:c r="H193" s="29" t="n">
        <x:v>2</x:v>
      </x:c>
      <x:c r="I193" s="29" t="n">
        <x:v>5</x:v>
      </x:c>
      <x:c r="J193" s="29" t="n">
        <x:v>5</x:v>
      </x:c>
      <x:c r="K193" s="29" t="n">
        <x:v>2</x:v>
      </x:c>
      <x:c r="L193" s="31" t="n">
        <x:f>SUM(H193:K193)</x:f>
        <x:v>14</x:v>
      </x:c>
      <x:c r="M193" s="29" t="str">
        <x:f>IF(L193&gt;=16,"A-优先",IF(L193&gt;=12,"B-培育","C-观察"))</x:f>
        <x:v>B-培育</x:v>
      </x:c>
      <x:c r="N193" s="29" t="str">
        <x:v>IP授权、谷子经济、商业体快闪、首店首发、制造与渠道</x:v>
      </x:c>
      <x:c r="O193" s="29" t="str"/>
      <x:c r="P193" s="30" t="str"/>
      <x:c r="Q193" s="30" t="str"/>
      <x:c r="R193" s="30" t="str"/>
      <x:c r="S193" s="30" t="str"/>
      <x:c r="T193" s="30" t="str">
        <x:v>建议检索：灾音 官方 / 公众号 / 微博 / 小红书 / 视频号</x:v>
      </x:c>
      <x:c r="U193" s="30" t="str">
        <x:v>未联系</x:v>
      </x:c>
      <x:c r="V193" s="30" t="str"/>
      <x:c r="W193" s="29" t="str">
        <x:v>高</x:v>
      </x:c>
      <x:c r="X193" s="29" t="str">
        <x:v>https://www.vgover.com/zh-tw/news/226267</x:v>
      </x:c>
    </x:row>
    <x:row r="194">
      <x:c r="A194" s="29" t="n">
        <x:v>191</x:v>
      </x:c>
      <x:c r="B194" s="29" t="str">
        <x:v>E5</x:v>
      </x:c>
      <x:c r="C194" s="29" t="str">
        <x:v>魔玩天地</x:v>
      </x:c>
      <x:c r="D194" s="29" t="str">
        <x:v>FM413</x:v>
      </x:c>
      <x:c r="E194" s="29" t="str">
        <x:v>宅高达</x:v>
      </x:c>
      <x:c r="F194" s="30" t="str"/>
      <x:c r="G194" s="29" t="str">
        <x:v>高达模型</x:v>
      </x:c>
      <x:c r="H194" s="29" t="n">
        <x:v>3</x:v>
      </x:c>
      <x:c r="I194" s="29" t="n">
        <x:v>5</x:v>
      </x:c>
      <x:c r="J194" s="29" t="n">
        <x:v>3</x:v>
      </x:c>
      <x:c r="K194" s="29" t="n">
        <x:v>2</x:v>
      </x:c>
      <x:c r="L194" s="31" t="n">
        <x:f>SUM(H194:K194)</x:f>
        <x:v>13</x:v>
      </x:c>
      <x:c r="M194" s="29" t="str">
        <x:f>IF(L194&gt;=16,"A-优先",IF(L194&gt;=12,"B-培育","C-观察"))</x:f>
        <x:v>B-培育</x:v>
      </x:c>
      <x:c r="N194" s="29" t="str">
        <x:v>IP授权、谷子经济、商业体快闪、首店首发、制造与渠道</x:v>
      </x:c>
      <x:c r="O194" s="29" t="str"/>
      <x:c r="P194" s="30" t="str"/>
      <x:c r="Q194" s="30" t="str"/>
      <x:c r="R194" s="30" t="str"/>
      <x:c r="S194" s="30" t="str"/>
      <x:c r="T194" s="30" t="str">
        <x:v>建议检索：宅高达 官方 / 公众号 / 微博 / 小红书 / 视频号</x:v>
      </x:c>
      <x:c r="U194" s="30" t="str">
        <x:v>未联系</x:v>
      </x:c>
      <x:c r="V194" s="30" t="str"/>
      <x:c r="W194" s="29" t="str">
        <x:v>高</x:v>
      </x:c>
      <x:c r="X194" s="29" t="str">
        <x:v>https://www.vgover.com/zh-tw/news/226267</x:v>
      </x:c>
    </x:row>
    <x:row r="195">
      <x:c r="A195" s="29" t="n">
        <x:v>192</x:v>
      </x:c>
      <x:c r="B195" s="29" t="str">
        <x:v>E5</x:v>
      </x:c>
      <x:c r="C195" s="29" t="str">
        <x:v>魔玩天地</x:v>
      </x:c>
      <x:c r="D195" s="29" t="str">
        <x:v>FM414</x:v>
      </x:c>
      <x:c r="E195" s="29" t="str">
        <x:v>悠尼伏斯</x:v>
      </x:c>
      <x:c r="F195" s="30" t="str"/>
      <x:c r="G195" s="29" t="str">
        <x:v>潮玩工作室</x:v>
      </x:c>
      <x:c r="H195" s="29" t="n">
        <x:v>2</x:v>
      </x:c>
      <x:c r="I195" s="29" t="n">
        <x:v>5</x:v>
      </x:c>
      <x:c r="J195" s="29" t="n">
        <x:v>5</x:v>
      </x:c>
      <x:c r="K195" s="29" t="n">
        <x:v>2</x:v>
      </x:c>
      <x:c r="L195" s="31" t="n">
        <x:f>SUM(H195:K195)</x:f>
        <x:v>14</x:v>
      </x:c>
      <x:c r="M195" s="29" t="str">
        <x:f>IF(L195&gt;=16,"A-优先",IF(L195&gt;=12,"B-培育","C-观察"))</x:f>
        <x:v>B-培育</x:v>
      </x:c>
      <x:c r="N195" s="29" t="str">
        <x:v>IP授权、谷子经济、商业体快闪、首店首发、制造与渠道</x:v>
      </x:c>
      <x:c r="O195" s="29" t="str"/>
      <x:c r="P195" s="30" t="str"/>
      <x:c r="Q195" s="30" t="str"/>
      <x:c r="R195" s="30" t="str"/>
      <x:c r="S195" s="30" t="str"/>
      <x:c r="T195" s="30" t="str">
        <x:v>建议检索：悠尼伏斯 官方 / 公众号 / 微博 / 小红书 / 视频号</x:v>
      </x:c>
      <x:c r="U195" s="30" t="str">
        <x:v>未联系</x:v>
      </x:c>
      <x:c r="V195" s="30" t="str"/>
      <x:c r="W195" s="29" t="str">
        <x:v>高</x:v>
      </x:c>
      <x:c r="X195" s="29" t="str">
        <x:v>https://www.vgover.com/zh-tw/news/226267</x:v>
      </x:c>
    </x:row>
    <x:row r="196">
      <x:c r="A196" s="29" t="n">
        <x:v>193</x:v>
      </x:c>
      <x:c r="B196" s="29" t="str">
        <x:v>E5</x:v>
      </x:c>
      <x:c r="C196" s="29" t="str">
        <x:v>魔玩天地</x:v>
      </x:c>
      <x:c r="D196" s="29" t="str">
        <x:v>FM415</x:v>
      </x:c>
      <x:c r="E196" s="29" t="str">
        <x:v>多沙</x:v>
      </x:c>
      <x:c r="F196" s="30" t="str"/>
      <x:c r="G196" s="29" t="str">
        <x:v>潮玩工作室</x:v>
      </x:c>
      <x:c r="H196" s="29" t="n">
        <x:v>2</x:v>
      </x:c>
      <x:c r="I196" s="29" t="n">
        <x:v>5</x:v>
      </x:c>
      <x:c r="J196" s="29" t="n">
        <x:v>5</x:v>
      </x:c>
      <x:c r="K196" s="29" t="n">
        <x:v>2</x:v>
      </x:c>
      <x:c r="L196" s="31" t="n">
        <x:f>SUM(H196:K196)</x:f>
        <x:v>14</x:v>
      </x:c>
      <x:c r="M196" s="29" t="str">
        <x:f>IF(L196&gt;=16,"A-优先",IF(L196&gt;=12,"B-培育","C-观察"))</x:f>
        <x:v>B-培育</x:v>
      </x:c>
      <x:c r="N196" s="29" t="str">
        <x:v>IP授权、谷子经济、商业体快闪、首店首发、制造与渠道</x:v>
      </x:c>
      <x:c r="O196" s="29" t="str"/>
      <x:c r="P196" s="30" t="str"/>
      <x:c r="Q196" s="30" t="str"/>
      <x:c r="R196" s="30" t="str"/>
      <x:c r="S196" s="30" t="str"/>
      <x:c r="T196" s="30" t="str">
        <x:v>建议检索：多沙 官方 / 公众号 / 微博 / 小红书 / 视频号</x:v>
      </x:c>
      <x:c r="U196" s="30" t="str">
        <x:v>未联系</x:v>
      </x:c>
      <x:c r="V196" s="30" t="str"/>
      <x:c r="W196" s="29" t="str">
        <x:v>高</x:v>
      </x:c>
      <x:c r="X196" s="29" t="str">
        <x:v>https://www.vgover.com/zh-tw/news/226267</x:v>
      </x:c>
    </x:row>
    <x:row r="197">
      <x:c r="A197" s="29" t="n">
        <x:v>194</x:v>
      </x:c>
      <x:c r="B197" s="29" t="str">
        <x:v>E5</x:v>
      </x:c>
      <x:c r="C197" s="29" t="str">
        <x:v>魔玩天地</x:v>
      </x:c>
      <x:c r="D197" s="29" t="str">
        <x:v>FM416</x:v>
      </x:c>
      <x:c r="E197" s="29" t="str">
        <x:v>星闪</x:v>
      </x:c>
      <x:c r="F197" s="30" t="str"/>
      <x:c r="G197" s="29" t="str">
        <x:v>潮玩工作室</x:v>
      </x:c>
      <x:c r="H197" s="29" t="n">
        <x:v>2</x:v>
      </x:c>
      <x:c r="I197" s="29" t="n">
        <x:v>5</x:v>
      </x:c>
      <x:c r="J197" s="29" t="n">
        <x:v>5</x:v>
      </x:c>
      <x:c r="K197" s="29" t="n">
        <x:v>2</x:v>
      </x:c>
      <x:c r="L197" s="31" t="n">
        <x:f>SUM(H197:K197)</x:f>
        <x:v>14</x:v>
      </x:c>
      <x:c r="M197" s="29" t="str">
        <x:f>IF(L197&gt;=16,"A-优先",IF(L197&gt;=12,"B-培育","C-观察"))</x:f>
        <x:v>B-培育</x:v>
      </x:c>
      <x:c r="N197" s="29" t="str">
        <x:v>IP授权、谷子经济、商业体快闪、首店首发、制造与渠道</x:v>
      </x:c>
      <x:c r="O197" s="29" t="str"/>
      <x:c r="P197" s="30" t="str"/>
      <x:c r="Q197" s="30" t="str"/>
      <x:c r="R197" s="30" t="str"/>
      <x:c r="S197" s="30" t="str"/>
      <x:c r="T197" s="30" t="str">
        <x:v>建议检索：星闪 官方 / 公众号 / 微博 / 小红书 / 视频号</x:v>
      </x:c>
      <x:c r="U197" s="30" t="str">
        <x:v>未联系</x:v>
      </x:c>
      <x:c r="V197" s="30" t="str"/>
      <x:c r="W197" s="29" t="str">
        <x:v>高</x:v>
      </x:c>
      <x:c r="X197" s="29" t="str">
        <x:v>https://www.vgover.com/zh-tw/news/226267</x:v>
      </x:c>
    </x:row>
    <x:row r="198">
      <x:c r="A198" s="29" t="n">
        <x:v>195</x:v>
      </x:c>
      <x:c r="B198" s="29" t="str">
        <x:v>E5</x:v>
      </x:c>
      <x:c r="C198" s="29" t="str">
        <x:v>魔玩天地</x:v>
      </x:c>
      <x:c r="D198" s="29" t="str">
        <x:v>FM511</x:v>
      </x:c>
      <x:c r="E198" s="29" t="str">
        <x:v>爱迪讯</x:v>
      </x:c>
      <x:c r="F198" s="30" t="str"/>
      <x:c r="G198" s="29" t="str">
        <x:v>潮玩/渠道</x:v>
      </x:c>
      <x:c r="H198" s="29" t="n">
        <x:v>3</x:v>
      </x:c>
      <x:c r="I198" s="29" t="n">
        <x:v>5</x:v>
      </x:c>
      <x:c r="J198" s="29" t="n">
        <x:v>5</x:v>
      </x:c>
      <x:c r="K198" s="29" t="n">
        <x:v>2</x:v>
      </x:c>
      <x:c r="L198" s="31" t="n">
        <x:f>SUM(H198:K198)</x:f>
        <x:v>15</x:v>
      </x:c>
      <x:c r="M198" s="29" t="str">
        <x:f>IF(L198&gt;=16,"A-优先",IF(L198&gt;=12,"B-培育","C-观察"))</x:f>
        <x:v>B-培育</x:v>
      </x:c>
      <x:c r="N198" s="29" t="str">
        <x:v>IP授权、谷子经济、商业体快闪、首店首发、制造与渠道</x:v>
      </x:c>
      <x:c r="O198" s="29" t="str"/>
      <x:c r="P198" s="30" t="str"/>
      <x:c r="Q198" s="30" t="str"/>
      <x:c r="R198" s="30" t="str"/>
      <x:c r="S198" s="30" t="str"/>
      <x:c r="T198" s="30" t="str">
        <x:v>建议检索：爱迪讯 官方 / 公众号 / 微博 / 小红书 / 视频号</x:v>
      </x:c>
      <x:c r="U198" s="30" t="str">
        <x:v>未联系</x:v>
      </x:c>
      <x:c r="V198" s="30" t="str"/>
      <x:c r="W198" s="29" t="str">
        <x:v>高</x:v>
      </x:c>
      <x:c r="X198" s="29" t="str">
        <x:v>https://www.vgover.com/zh-tw/news/226267</x:v>
      </x:c>
    </x:row>
    <x:row r="199">
      <x:c r="A199" s="29" t="n">
        <x:v>196</x:v>
      </x:c>
      <x:c r="B199" s="29" t="str">
        <x:v>E6</x:v>
      </x:c>
      <x:c r="C199" s="29" t="str">
        <x:v>发烧硬件</x:v>
      </x:c>
      <x:c r="D199" s="29" t="str">
        <x:v>E001</x:v>
      </x:c>
      <x:c r="E199" s="29" t="str">
        <x:v>Visionox 维信诺</x:v>
      </x:c>
      <x:c r="F199" s="30" t="str"/>
      <x:c r="G199" s="29" t="str">
        <x:v>显示技术</x:v>
      </x:c>
      <x:c r="H199" s="29" t="n">
        <x:v>4</x:v>
      </x:c>
      <x:c r="I199" s="29" t="n">
        <x:v>5</x:v>
      </x:c>
      <x:c r="J199" s="29" t="n">
        <x:v>3</x:v>
      </x:c>
      <x:c r="K199" s="29" t="n">
        <x:v>2</x:v>
      </x:c>
      <x:c r="L199" s="31" t="n">
        <x:f>SUM(H199:K199)</x:f>
        <x:v>14</x:v>
      </x:c>
      <x:c r="M199" s="29" t="str">
        <x:f>IF(L199&gt;=16,"A-优先",IF(L199&gt;=12,"B-培育","C-观察"))</x:f>
        <x:v>B-培育</x:v>
      </x:c>
      <x:c r="N199" s="29" t="str">
        <x:v>电竞空间、首店首发、渠道总部、供应链与制造项目</x:v>
      </x:c>
      <x:c r="O199" s="29" t="str"/>
      <x:c r="P199" s="30" t="str"/>
      <x:c r="Q199" s="30" t="str"/>
      <x:c r="R199" s="30" t="str"/>
      <x:c r="S199" s="30" t="str"/>
      <x:c r="T199" s="30" t="str">
        <x:v>建议检索：Visionox 维信诺 官方 / 公众号 / 微博 / 小红书 / 视频号</x:v>
      </x:c>
      <x:c r="U199" s="30" t="str">
        <x:v>未联系</x:v>
      </x:c>
      <x:c r="V199" s="30" t="str"/>
      <x:c r="W199" s="29" t="str">
        <x:v>高</x:v>
      </x:c>
      <x:c r="X199" s="29" t="str">
        <x:v>https://www.vgover.com/zh-tw/news/226267</x:v>
      </x:c>
    </x:row>
    <x:row r="200">
      <x:c r="A200" s="29" t="n">
        <x:v>197</x:v>
      </x:c>
      <x:c r="B200" s="29" t="str">
        <x:v>E6</x:v>
      </x:c>
      <x:c r="C200" s="29" t="str">
        <x:v>发烧硬件</x:v>
      </x:c>
      <x:c r="D200" s="29" t="str">
        <x:v>E002</x:v>
      </x:c>
      <x:c r="E200" s="29" t="str">
        <x:v>SONY INZONE</x:v>
      </x:c>
      <x:c r="F200" s="30" t="str"/>
      <x:c r="G200" s="29" t="str">
        <x:v>电竞硬件</x:v>
      </x:c>
      <x:c r="H200" s="29" t="n">
        <x:v>4</x:v>
      </x:c>
      <x:c r="I200" s="29" t="n">
        <x:v>5</x:v>
      </x:c>
      <x:c r="J200" s="29" t="n">
        <x:v>5</x:v>
      </x:c>
      <x:c r="K200" s="29" t="n">
        <x:v>2</x:v>
      </x:c>
      <x:c r="L200" s="31" t="n">
        <x:f>SUM(H200:K200)</x:f>
        <x:v>16</x:v>
      </x:c>
      <x:c r="M200" s="29" t="str">
        <x:f>IF(L200&gt;=16,"A-优先",IF(L200&gt;=12,"B-培育","C-观察"))</x:f>
        <x:v>A-优先</x:v>
      </x:c>
      <x:c r="N200" s="29" t="str">
        <x:v>电竞空间、首店首发、渠道总部、供应链与制造项目</x:v>
      </x:c>
      <x:c r="O200" s="29" t="str"/>
      <x:c r="P200" s="30" t="str"/>
      <x:c r="Q200" s="30" t="str"/>
      <x:c r="R200" s="30" t="str"/>
      <x:c r="S200" s="30" t="str"/>
      <x:c r="T200" s="30" t="str">
        <x:v>建议检索：SONY INZONE 官方 / 公众号 / 微博 / 小红书 / 视频号</x:v>
      </x:c>
      <x:c r="U200" s="30" t="str">
        <x:v>未联系</x:v>
      </x:c>
      <x:c r="V200" s="30" t="str"/>
      <x:c r="W200" s="29" t="str">
        <x:v>高</x:v>
      </x:c>
      <x:c r="X200" s="29" t="str">
        <x:v>https://www.vgover.com/zh-tw/news/226267</x:v>
      </x:c>
    </x:row>
    <x:row r="201">
      <x:c r="A201" s="29" t="n">
        <x:v>198</x:v>
      </x:c>
      <x:c r="B201" s="29" t="str">
        <x:v>E6</x:v>
      </x:c>
      <x:c r="C201" s="29" t="str">
        <x:v>发烧硬件</x:v>
      </x:c>
      <x:c r="D201" s="29" t="str">
        <x:v>E003</x:v>
      </x:c>
      <x:c r="E201" s="29" t="str">
        <x:v>AutoFull 傲风</x:v>
      </x:c>
      <x:c r="F201" s="30" t="str"/>
      <x:c r="G201" s="29" t="str">
        <x:v>电竞家具</x:v>
      </x:c>
      <x:c r="H201" s="29" t="n">
        <x:v>3</x:v>
      </x:c>
      <x:c r="I201" s="29" t="n">
        <x:v>5</x:v>
      </x:c>
      <x:c r="J201" s="29" t="n">
        <x:v>5</x:v>
      </x:c>
      <x:c r="K201" s="29" t="n">
        <x:v>2</x:v>
      </x:c>
      <x:c r="L201" s="31" t="n">
        <x:f>SUM(H201:K201)</x:f>
        <x:v>15</x:v>
      </x:c>
      <x:c r="M201" s="29" t="str">
        <x:f>IF(L201&gt;=16,"A-优先",IF(L201&gt;=12,"B-培育","C-观察"))</x:f>
        <x:v>B-培育</x:v>
      </x:c>
      <x:c r="N201" s="29" t="str">
        <x:v>电竞空间、首店首发、渠道总部、供应链与制造项目</x:v>
      </x:c>
      <x:c r="O201" s="29" t="str"/>
      <x:c r="P201" s="30" t="str"/>
      <x:c r="Q201" s="30" t="str"/>
      <x:c r="R201" s="30" t="str"/>
      <x:c r="S201" s="30" t="str"/>
      <x:c r="T201" s="30" t="str">
        <x:v>建议检索：AutoFull 傲风 官方 / 公众号 / 微博 / 小红书 / 视频号</x:v>
      </x:c>
      <x:c r="U201" s="30" t="str">
        <x:v>未联系</x:v>
      </x:c>
      <x:c r="V201" s="30" t="str"/>
      <x:c r="W201" s="29" t="str">
        <x:v>高</x:v>
      </x:c>
      <x:c r="X201" s="29" t="str">
        <x:v>https://www.vgover.com/zh-tw/news/226267</x:v>
      </x:c>
    </x:row>
    <x:row r="202">
      <x:c r="A202" s="29" t="n">
        <x:v>199</x:v>
      </x:c>
      <x:c r="B202" s="29" t="str">
        <x:v>E6</x:v>
      </x:c>
      <x:c r="C202" s="29" t="str">
        <x:v>发烧硬件</x:v>
      </x:c>
      <x:c r="D202" s="29" t="str">
        <x:v>E005</x:v>
      </x:c>
      <x:c r="E202" s="29" t="str">
        <x:v>云幕智造</x:v>
      </x:c>
      <x:c r="F202" s="30" t="str"/>
      <x:c r="G202" s="29" t="str">
        <x:v>科技硬件</x:v>
      </x:c>
      <x:c r="H202" s="29" t="n">
        <x:v>4</x:v>
      </x:c>
      <x:c r="I202" s="29" t="n">
        <x:v>5</x:v>
      </x:c>
      <x:c r="J202" s="29" t="n">
        <x:v>4</x:v>
      </x:c>
      <x:c r="K202" s="29" t="n">
        <x:v>2</x:v>
      </x:c>
      <x:c r="L202" s="31" t="n">
        <x:f>SUM(H202:K202)</x:f>
        <x:v>15</x:v>
      </x:c>
      <x:c r="M202" s="29" t="str">
        <x:f>IF(L202&gt;=16,"A-优先",IF(L202&gt;=12,"B-培育","C-观察"))</x:f>
        <x:v>B-培育</x:v>
      </x:c>
      <x:c r="N202" s="29" t="str">
        <x:v>电竞空间、首店首发、渠道总部、供应链与制造项目</x:v>
      </x:c>
      <x:c r="O202" s="29" t="str"/>
      <x:c r="P202" s="30" t="str"/>
      <x:c r="Q202" s="30" t="str"/>
      <x:c r="R202" s="30" t="str"/>
      <x:c r="S202" s="30" t="str"/>
      <x:c r="T202" s="30" t="str">
        <x:v>建议检索：云幕智造 官方 / 公众号 / 微博 / 小红书 / 视频号</x:v>
      </x:c>
      <x:c r="U202" s="30" t="str">
        <x:v>未联系</x:v>
      </x:c>
      <x:c r="V202" s="30" t="str"/>
      <x:c r="W202" s="29" t="str">
        <x:v>高</x:v>
      </x:c>
      <x:c r="X202" s="29" t="str">
        <x:v>https://www.vgover.com/zh-tw/news/226267</x:v>
      </x:c>
    </x:row>
    <x:row r="203">
      <x:c r="A203" s="29" t="n">
        <x:v>200</x:v>
      </x:c>
      <x:c r="B203" s="29" t="str">
        <x:v>E6</x:v>
      </x:c>
      <x:c r="C203" s="29" t="str">
        <x:v>发烧硬件</x:v>
      </x:c>
      <x:c r="D203" s="29" t="str">
        <x:v>E101</x:v>
      </x:c>
      <x:c r="E203" s="29" t="str">
        <x:v>VGN</x:v>
      </x:c>
      <x:c r="F203" s="30" t="str"/>
      <x:c r="G203" s="29" t="str">
        <x:v>游戏外设</x:v>
      </x:c>
      <x:c r="H203" s="29" t="n">
        <x:v>3</x:v>
      </x:c>
      <x:c r="I203" s="29" t="n">
        <x:v>5</x:v>
      </x:c>
      <x:c r="J203" s="29" t="n">
        <x:v>5</x:v>
      </x:c>
      <x:c r="K203" s="29" t="n">
        <x:v>2</x:v>
      </x:c>
      <x:c r="L203" s="31" t="n">
        <x:f>SUM(H203:K203)</x:f>
        <x:v>15</x:v>
      </x:c>
      <x:c r="M203" s="29" t="str">
        <x:f>IF(L203&gt;=16,"A-优先",IF(L203&gt;=12,"B-培育","C-观察"))</x:f>
        <x:v>B-培育</x:v>
      </x:c>
      <x:c r="N203" s="29" t="str">
        <x:v>电竞空间、首店首发、渠道总部、供应链与制造项目</x:v>
      </x:c>
      <x:c r="O203" s="29" t="str"/>
      <x:c r="P203" s="30" t="str"/>
      <x:c r="Q203" s="30" t="str"/>
      <x:c r="R203" s="30" t="str"/>
      <x:c r="S203" s="30" t="str"/>
      <x:c r="T203" s="30" t="str">
        <x:v>建议检索：VGN 官方 / 公众号 / 微博 / 小红书 / 视频号</x:v>
      </x:c>
      <x:c r="U203" s="30" t="str">
        <x:v>未联系</x:v>
      </x:c>
      <x:c r="V203" s="30" t="str"/>
      <x:c r="W203" s="29" t="str">
        <x:v>高</x:v>
      </x:c>
      <x:c r="X203" s="29" t="str">
        <x:v>https://www.vgover.com/zh-tw/news/226267</x:v>
      </x:c>
    </x:row>
    <x:row r="204">
      <x:c r="A204" s="29" t="n">
        <x:v>201</x:v>
      </x:c>
      <x:c r="B204" s="29" t="str">
        <x:v>E6</x:v>
      </x:c>
      <x:c r="C204" s="29" t="str">
        <x:v>发烧硬件</x:v>
      </x:c>
      <x:c r="D204" s="29" t="str">
        <x:v>E103</x:v>
      </x:c>
      <x:c r="E204" s="29" t="str">
        <x:v>动力未来</x:v>
      </x:c>
      <x:c r="F204" s="30" t="str"/>
      <x:c r="G204" s="29" t="str">
        <x:v>PC硬件</x:v>
      </x:c>
      <x:c r="H204" s="29" t="n">
        <x:v>4</x:v>
      </x:c>
      <x:c r="I204" s="29" t="n">
        <x:v>5</x:v>
      </x:c>
      <x:c r="J204" s="29" t="n">
        <x:v>4</x:v>
      </x:c>
      <x:c r="K204" s="29" t="n">
        <x:v>2</x:v>
      </x:c>
      <x:c r="L204" s="31" t="n">
        <x:f>SUM(H204:K204)</x:f>
        <x:v>15</x:v>
      </x:c>
      <x:c r="M204" s="29" t="str">
        <x:f>IF(L204&gt;=16,"A-优先",IF(L204&gt;=12,"B-培育","C-观察"))</x:f>
        <x:v>B-培育</x:v>
      </x:c>
      <x:c r="N204" s="29" t="str">
        <x:v>电竞空间、首店首发、渠道总部、供应链与制造项目</x:v>
      </x:c>
      <x:c r="O204" s="29" t="str"/>
      <x:c r="P204" s="30" t="str"/>
      <x:c r="Q204" s="30" t="str"/>
      <x:c r="R204" s="30" t="str"/>
      <x:c r="S204" s="30" t="str"/>
      <x:c r="T204" s="30" t="str">
        <x:v>建议检索：动力未来 官方 / 公众号 / 微博 / 小红书 / 视频号</x:v>
      </x:c>
      <x:c r="U204" s="30" t="str">
        <x:v>未联系</x:v>
      </x:c>
      <x:c r="V204" s="30" t="str"/>
      <x:c r="W204" s="29" t="str">
        <x:v>高</x:v>
      </x:c>
      <x:c r="X204" s="29" t="str">
        <x:v>https://www.vgover.com/zh-tw/news/226267</x:v>
      </x:c>
    </x:row>
    <x:row r="205">
      <x:c r="A205" s="29" t="n">
        <x:v>202</x:v>
      </x:c>
      <x:c r="B205" s="29" t="str">
        <x:v>E6</x:v>
      </x:c>
      <x:c r="C205" s="29" t="str">
        <x:v>发烧硬件</x:v>
      </x:c>
      <x:c r="D205" s="29" t="str">
        <x:v>E105</x:v>
      </x:c>
      <x:c r="E205" s="29" t="str">
        <x:v>KIWEAR</x:v>
      </x:c>
      <x:c r="F205" s="30" t="str"/>
      <x:c r="G205" s="29" t="str">
        <x:v>智能穿戴</x:v>
      </x:c>
      <x:c r="H205" s="29" t="n">
        <x:v>3</x:v>
      </x:c>
      <x:c r="I205" s="29" t="n">
        <x:v>5</x:v>
      </x:c>
      <x:c r="J205" s="29" t="n">
        <x:v>3</x:v>
      </x:c>
      <x:c r="K205" s="29" t="n">
        <x:v>2</x:v>
      </x:c>
      <x:c r="L205" s="31" t="n">
        <x:f>SUM(H205:K205)</x:f>
        <x:v>13</x:v>
      </x:c>
      <x:c r="M205" s="29" t="str">
        <x:f>IF(L205&gt;=16,"A-优先",IF(L205&gt;=12,"B-培育","C-观察"))</x:f>
        <x:v>B-培育</x:v>
      </x:c>
      <x:c r="N205" s="29" t="str">
        <x:v>电竞空间、首店首发、渠道总部、供应链与制造项目</x:v>
      </x:c>
      <x:c r="O205" s="29" t="str"/>
      <x:c r="P205" s="30" t="str"/>
      <x:c r="Q205" s="30" t="str"/>
      <x:c r="R205" s="30" t="str"/>
      <x:c r="S205" s="30" t="str"/>
      <x:c r="T205" s="30" t="str">
        <x:v>建议检索：KIWEAR 官方 / 公众号 / 微博 / 小红书 / 视频号</x:v>
      </x:c>
      <x:c r="U205" s="30" t="str">
        <x:v>未联系</x:v>
      </x:c>
      <x:c r="V205" s="30" t="str"/>
      <x:c r="W205" s="29" t="str">
        <x:v>高</x:v>
      </x:c>
      <x:c r="X205" s="29" t="str">
        <x:v>https://www.vgover.com/zh-tw/news/226267</x:v>
      </x:c>
    </x:row>
    <x:row r="206">
      <x:c r="A206" s="29" t="n">
        <x:v>203</x:v>
      </x:c>
      <x:c r="B206" s="29" t="str">
        <x:v>E6</x:v>
      </x:c>
      <x:c r="C206" s="29" t="str">
        <x:v>发烧硬件</x:v>
      </x:c>
      <x:c r="D206" s="29" t="str">
        <x:v>E201</x:v>
      </x:c>
      <x:c r="E206" s="29" t="str">
        <x:v>ONEXPLAYER 壹号本</x:v>
      </x:c>
      <x:c r="F206" s="30" t="str"/>
      <x:c r="G206" s="29" t="str">
        <x:v>掌机/PC</x:v>
      </x:c>
      <x:c r="H206" s="29" t="n">
        <x:v>3</x:v>
      </x:c>
      <x:c r="I206" s="29" t="n">
        <x:v>5</x:v>
      </x:c>
      <x:c r="J206" s="29" t="n">
        <x:v>3</x:v>
      </x:c>
      <x:c r="K206" s="29" t="n">
        <x:v>2</x:v>
      </x:c>
      <x:c r="L206" s="31" t="n">
        <x:f>SUM(H206:K206)</x:f>
        <x:v>13</x:v>
      </x:c>
      <x:c r="M206" s="29" t="str">
        <x:f>IF(L206&gt;=16,"A-优先",IF(L206&gt;=12,"B-培育","C-观察"))</x:f>
        <x:v>B-培育</x:v>
      </x:c>
      <x:c r="N206" s="29" t="str">
        <x:v>电竞空间、首店首发、渠道总部、供应链与制造项目</x:v>
      </x:c>
      <x:c r="O206" s="29" t="str"/>
      <x:c r="P206" s="30" t="str"/>
      <x:c r="Q206" s="30" t="str"/>
      <x:c r="R206" s="30" t="str"/>
      <x:c r="S206" s="30" t="str"/>
      <x:c r="T206" s="30" t="str">
        <x:v>建议检索：ONEXPLAYER 壹号本 官方 / 公众号 / 微博 / 小红书 / 视频号</x:v>
      </x:c>
      <x:c r="U206" s="30" t="str">
        <x:v>未联系</x:v>
      </x:c>
      <x:c r="V206" s="30" t="str"/>
      <x:c r="W206" s="29" t="str">
        <x:v>高</x:v>
      </x:c>
      <x:c r="X206" s="29" t="str">
        <x:v>https://www.vgover.com/zh-tw/news/226267</x:v>
      </x:c>
    </x:row>
    <x:row r="207">
      <x:c r="A207" s="29" t="n">
        <x:v>204</x:v>
      </x:c>
      <x:c r="B207" s="29" t="str">
        <x:v>E6</x:v>
      </x:c>
      <x:c r="C207" s="29" t="str">
        <x:v>发烧硬件</x:v>
      </x:c>
      <x:c r="D207" s="29" t="str">
        <x:v>E202</x:v>
      </x:c>
      <x:c r="E207" s="29" t="str">
        <x:v>觅声 MISION</x:v>
      </x:c>
      <x:c r="F207" s="30" t="str"/>
      <x:c r="G207" s="29" t="str">
        <x:v>音频</x:v>
      </x:c>
      <x:c r="H207" s="29" t="n">
        <x:v>3</x:v>
      </x:c>
      <x:c r="I207" s="29" t="n">
        <x:v>5</x:v>
      </x:c>
      <x:c r="J207" s="29" t="n">
        <x:v>3</x:v>
      </x:c>
      <x:c r="K207" s="29" t="n">
        <x:v>2</x:v>
      </x:c>
      <x:c r="L207" s="31" t="n">
        <x:f>SUM(H207:K207)</x:f>
        <x:v>13</x:v>
      </x:c>
      <x:c r="M207" s="29" t="str">
        <x:f>IF(L207&gt;=16,"A-优先",IF(L207&gt;=12,"B-培育","C-观察"))</x:f>
        <x:v>B-培育</x:v>
      </x:c>
      <x:c r="N207" s="29" t="str">
        <x:v>电竞空间、首店首发、渠道总部、供应链与制造项目</x:v>
      </x:c>
      <x:c r="O207" s="29" t="str"/>
      <x:c r="P207" s="30" t="str"/>
      <x:c r="Q207" s="30" t="str"/>
      <x:c r="R207" s="30" t="str"/>
      <x:c r="S207" s="30" t="str"/>
      <x:c r="T207" s="30" t="str">
        <x:v>建议检索：觅声 MISION 官方 / 公众号 / 微博 / 小红书 / 视频号</x:v>
      </x:c>
      <x:c r="U207" s="30" t="str">
        <x:v>未联系</x:v>
      </x:c>
      <x:c r="V207" s="30" t="str"/>
      <x:c r="W207" s="29" t="str">
        <x:v>高</x:v>
      </x:c>
      <x:c r="X207" s="29" t="str">
        <x:v>https://www.vgover.com/zh-tw/news/226267</x:v>
      </x:c>
    </x:row>
    <x:row r="208">
      <x:c r="A208" s="29" t="n">
        <x:v>205</x:v>
      </x:c>
      <x:c r="B208" s="29" t="str">
        <x:v>E6</x:v>
      </x:c>
      <x:c r="C208" s="29" t="str">
        <x:v>发烧硬件</x:v>
      </x:c>
      <x:c r="D208" s="29" t="str">
        <x:v>E203</x:v>
      </x:c>
      <x:c r="E208" s="29" t="str">
        <x:v>Savage Impact 野蛮部落</x:v>
      </x:c>
      <x:c r="F208" s="30" t="str"/>
      <x:c r="G208" s="29" t="str">
        <x:v>游戏外设</x:v>
      </x:c>
      <x:c r="H208" s="29" t="n">
        <x:v>3</x:v>
      </x:c>
      <x:c r="I208" s="29" t="n">
        <x:v>5</x:v>
      </x:c>
      <x:c r="J208" s="29" t="n">
        <x:v>5</x:v>
      </x:c>
      <x:c r="K208" s="29" t="n">
        <x:v>2</x:v>
      </x:c>
      <x:c r="L208" s="31" t="n">
        <x:f>SUM(H208:K208)</x:f>
        <x:v>15</x:v>
      </x:c>
      <x:c r="M208" s="29" t="str">
        <x:f>IF(L208&gt;=16,"A-优先",IF(L208&gt;=12,"B-培育","C-观察"))</x:f>
        <x:v>B-培育</x:v>
      </x:c>
      <x:c r="N208" s="29" t="str">
        <x:v>电竞空间、首店首发、渠道总部、供应链与制造项目</x:v>
      </x:c>
      <x:c r="O208" s="29" t="str"/>
      <x:c r="P208" s="30" t="str"/>
      <x:c r="Q208" s="30" t="str"/>
      <x:c r="R208" s="30" t="str"/>
      <x:c r="S208" s="30" t="str"/>
      <x:c r="T208" s="30" t="str">
        <x:v>建议检索：Savage Impact 野蛮部落 官方 / 公众号 / 微博 / 小红书 / 视频号</x:v>
      </x:c>
      <x:c r="U208" s="30" t="str">
        <x:v>未联系</x:v>
      </x:c>
      <x:c r="V208" s="30" t="str"/>
      <x:c r="W208" s="29" t="str">
        <x:v>高</x:v>
      </x:c>
      <x:c r="X208" s="29" t="str">
        <x:v>https://www.vgover.com/zh-tw/news/226267</x:v>
      </x:c>
    </x:row>
    <x:row r="209">
      <x:c r="A209" s="29" t="n">
        <x:v>206</x:v>
      </x:c>
      <x:c r="B209" s="29" t="str">
        <x:v>E6</x:v>
      </x:c>
      <x:c r="C209" s="29" t="str">
        <x:v>发烧硬件</x:v>
      </x:c>
      <x:c r="D209" s="29" t="str">
        <x:v>E206</x:v>
      </x:c>
      <x:c r="E209" s="29" t="str">
        <x:v>Gliganzi</x:v>
      </x:c>
      <x:c r="F209" s="30" t="str"/>
      <x:c r="G209" s="29" t="str">
        <x:v>游戏外设</x:v>
      </x:c>
      <x:c r="H209" s="29" t="n">
        <x:v>3</x:v>
      </x:c>
      <x:c r="I209" s="29" t="n">
        <x:v>5</x:v>
      </x:c>
      <x:c r="J209" s="29" t="n">
        <x:v>5</x:v>
      </x:c>
      <x:c r="K209" s="29" t="n">
        <x:v>2</x:v>
      </x:c>
      <x:c r="L209" s="31" t="n">
        <x:f>SUM(H209:K209)</x:f>
        <x:v>15</x:v>
      </x:c>
      <x:c r="M209" s="29" t="str">
        <x:f>IF(L209&gt;=16,"A-优先",IF(L209&gt;=12,"B-培育","C-观察"))</x:f>
        <x:v>B-培育</x:v>
      </x:c>
      <x:c r="N209" s="29" t="str">
        <x:v>电竞空间、首店首发、渠道总部、供应链与制造项目</x:v>
      </x:c>
      <x:c r="O209" s="29" t="str"/>
      <x:c r="P209" s="30" t="str"/>
      <x:c r="Q209" s="30" t="str"/>
      <x:c r="R209" s="30" t="str"/>
      <x:c r="S209" s="30" t="str"/>
      <x:c r="T209" s="30" t="str">
        <x:v>建议检索：Gliganzi 官方 / 公众号 / 微博 / 小红书 / 视频号</x:v>
      </x:c>
      <x:c r="U209" s="30" t="str">
        <x:v>未联系</x:v>
      </x:c>
      <x:c r="V209" s="30" t="str"/>
      <x:c r="W209" s="29" t="str">
        <x:v>高</x:v>
      </x:c>
      <x:c r="X209" s="29" t="str">
        <x:v>https://www.vgover.com/zh-tw/news/226267</x:v>
      </x:c>
    </x:row>
    <x:row r="210">
      <x:c r="A210" s="29" t="n">
        <x:v>207</x:v>
      </x:c>
      <x:c r="B210" s="29" t="str">
        <x:v>E6</x:v>
      </x:c>
      <x:c r="C210" s="29" t="str">
        <x:v>发烧硬件</x:v>
      </x:c>
      <x:c r="D210" s="29" t="str">
        <x:v>E207</x:v>
      </x:c>
      <x:c r="E210" s="29" t="str">
        <x:v>拜雅 beyerdynamic</x:v>
      </x:c>
      <x:c r="F210" s="30" t="str"/>
      <x:c r="G210" s="29" t="str">
        <x:v>音频</x:v>
      </x:c>
      <x:c r="H210" s="29" t="n">
        <x:v>3</x:v>
      </x:c>
      <x:c r="I210" s="29" t="n">
        <x:v>5</x:v>
      </x:c>
      <x:c r="J210" s="29" t="n">
        <x:v>3</x:v>
      </x:c>
      <x:c r="K210" s="29" t="n">
        <x:v>2</x:v>
      </x:c>
      <x:c r="L210" s="31" t="n">
        <x:f>SUM(H210:K210)</x:f>
        <x:v>13</x:v>
      </x:c>
      <x:c r="M210" s="29" t="str">
        <x:f>IF(L210&gt;=16,"A-优先",IF(L210&gt;=12,"B-培育","C-观察"))</x:f>
        <x:v>B-培育</x:v>
      </x:c>
      <x:c r="N210" s="29" t="str">
        <x:v>电竞空间、首店首发、渠道总部、供应链与制造项目</x:v>
      </x:c>
      <x:c r="O210" s="29" t="str"/>
      <x:c r="P210" s="30" t="str"/>
      <x:c r="Q210" s="30" t="str"/>
      <x:c r="R210" s="30" t="str"/>
      <x:c r="S210" s="30" t="str"/>
      <x:c r="T210" s="30" t="str">
        <x:v>建议检索：拜雅 beyerdynamic 官方 / 公众号 / 微博 / 小红书 / 视频号</x:v>
      </x:c>
      <x:c r="U210" s="30" t="str">
        <x:v>未联系</x:v>
      </x:c>
      <x:c r="V210" s="30" t="str"/>
      <x:c r="W210" s="29" t="str">
        <x:v>高</x:v>
      </x:c>
      <x:c r="X210" s="29" t="str">
        <x:v>https://www.vgover.com/zh-tw/news/226267</x:v>
      </x:c>
    </x:row>
    <x:row r="211">
      <x:c r="A211" s="29" t="n">
        <x:v>208</x:v>
      </x:c>
      <x:c r="B211" s="29" t="str">
        <x:v>E6</x:v>
      </x:c>
      <x:c r="C211" s="29" t="str">
        <x:v>发烧硬件</x:v>
      </x:c>
      <x:c r="D211" s="29" t="str">
        <x:v>E301</x:v>
      </x:c>
      <x:c r="E211" s="29" t="str">
        <x:v>CJGC GAMING</x:v>
      </x:c>
      <x:c r="F211" s="30" t="str"/>
      <x:c r="G211" s="29" t="str">
        <x:v>电竞硬件</x:v>
      </x:c>
      <x:c r="H211" s="29" t="n">
        <x:v>4</x:v>
      </x:c>
      <x:c r="I211" s="29" t="n">
        <x:v>5</x:v>
      </x:c>
      <x:c r="J211" s="29" t="n">
        <x:v>5</x:v>
      </x:c>
      <x:c r="K211" s="29" t="n">
        <x:v>2</x:v>
      </x:c>
      <x:c r="L211" s="31" t="n">
        <x:f>SUM(H211:K211)</x:f>
        <x:v>16</x:v>
      </x:c>
      <x:c r="M211" s="29" t="str">
        <x:f>IF(L211&gt;=16,"A-优先",IF(L211&gt;=12,"B-培育","C-观察"))</x:f>
        <x:v>A-优先</x:v>
      </x:c>
      <x:c r="N211" s="29" t="str">
        <x:v>电竞空间、首店首发、渠道总部、供应链与制造项目</x:v>
      </x:c>
      <x:c r="O211" s="29" t="str"/>
      <x:c r="P211" s="30" t="str"/>
      <x:c r="Q211" s="30" t="str"/>
      <x:c r="R211" s="30" t="str"/>
      <x:c r="S211" s="30" t="str"/>
      <x:c r="T211" s="30" t="str">
        <x:v>建议检索：CJGC GAMING 官方 / 公众号 / 微博 / 小红书 / 视频号</x:v>
      </x:c>
      <x:c r="U211" s="30" t="str">
        <x:v>未联系</x:v>
      </x:c>
      <x:c r="V211" s="30" t="str"/>
      <x:c r="W211" s="29" t="str">
        <x:v>高</x:v>
      </x:c>
      <x:c r="X211" s="29" t="str">
        <x:v>https://www.vgover.com/zh-tw/news/226267</x:v>
      </x:c>
    </x:row>
    <x:row r="212">
      <x:c r="A212" s="29" t="n">
        <x:v>209</x:v>
      </x:c>
      <x:c r="B212" s="29" t="str">
        <x:v>E6</x:v>
      </x:c>
      <x:c r="C212" s="29" t="str">
        <x:v>发烧硬件</x:v>
      </x:c>
      <x:c r="D212" s="29" t="str">
        <x:v>E302</x:v>
      </x:c>
      <x:c r="E212" s="29" t="str">
        <x:v>OBSBOT 寻影</x:v>
      </x:c>
      <x:c r="F212" s="30" t="str"/>
      <x:c r="G212" s="29" t="str">
        <x:v>智能影像</x:v>
      </x:c>
      <x:c r="H212" s="29" t="n">
        <x:v>4</x:v>
      </x:c>
      <x:c r="I212" s="29" t="n">
        <x:v>5</x:v>
      </x:c>
      <x:c r="J212" s="29" t="n">
        <x:v>5</x:v>
      </x:c>
      <x:c r="K212" s="29" t="n">
        <x:v>2</x:v>
      </x:c>
      <x:c r="L212" s="31" t="n">
        <x:f>SUM(H212:K212)</x:f>
        <x:v>16</x:v>
      </x:c>
      <x:c r="M212" s="29" t="str">
        <x:f>IF(L212&gt;=16,"A-优先",IF(L212&gt;=12,"B-培育","C-观察"))</x:f>
        <x:v>A-优先</x:v>
      </x:c>
      <x:c r="N212" s="29" t="str">
        <x:v>电竞空间、首店首发、渠道总部、供应链与制造项目</x:v>
      </x:c>
      <x:c r="O212" s="29" t="str"/>
      <x:c r="P212" s="30" t="str"/>
      <x:c r="Q212" s="30" t="str"/>
      <x:c r="R212" s="30" t="str"/>
      <x:c r="S212" s="30" t="str"/>
      <x:c r="T212" s="30" t="str">
        <x:v>建议检索：OBSBOT 寻影 官方 / 公众号 / 微博 / 小红书 / 视频号</x:v>
      </x:c>
      <x:c r="U212" s="30" t="str">
        <x:v>未联系</x:v>
      </x:c>
      <x:c r="V212" s="30" t="str"/>
      <x:c r="W212" s="29" t="str">
        <x:v>高</x:v>
      </x:c>
      <x:c r="X212" s="29" t="str">
        <x:v>https://www.vgover.com/zh-tw/news/226267</x:v>
      </x:c>
    </x:row>
    <x:row r="213">
      <x:c r="A213" s="29" t="n">
        <x:v>210</x:v>
      </x:c>
      <x:c r="B213" s="29" t="str">
        <x:v>E6</x:v>
      </x:c>
      <x:c r="C213" s="29" t="str">
        <x:v>发烧硬件</x:v>
      </x:c>
      <x:c r="D213" s="29" t="str">
        <x:v>E303</x:v>
      </x:c>
      <x:c r="E213" s="29" t="str">
        <x:v>EPZ</x:v>
      </x:c>
      <x:c r="F213" s="30" t="str"/>
      <x:c r="G213" s="29" t="str">
        <x:v>音频</x:v>
      </x:c>
      <x:c r="H213" s="29" t="n">
        <x:v>3</x:v>
      </x:c>
      <x:c r="I213" s="29" t="n">
        <x:v>5</x:v>
      </x:c>
      <x:c r="J213" s="29" t="n">
        <x:v>3</x:v>
      </x:c>
      <x:c r="K213" s="29" t="n">
        <x:v>2</x:v>
      </x:c>
      <x:c r="L213" s="31" t="n">
        <x:f>SUM(H213:K213)</x:f>
        <x:v>13</x:v>
      </x:c>
      <x:c r="M213" s="29" t="str">
        <x:f>IF(L213&gt;=16,"A-优先",IF(L213&gt;=12,"B-培育","C-观察"))</x:f>
        <x:v>B-培育</x:v>
      </x:c>
      <x:c r="N213" s="29" t="str">
        <x:v>电竞空间、首店首发、渠道总部、供应链与制造项目</x:v>
      </x:c>
      <x:c r="O213" s="29" t="str"/>
      <x:c r="P213" s="30" t="str"/>
      <x:c r="Q213" s="30" t="str"/>
      <x:c r="R213" s="30" t="str"/>
      <x:c r="S213" s="30" t="str"/>
      <x:c r="T213" s="30" t="str">
        <x:v>建议检索：EPZ 官方 / 公众号 / 微博 / 小红书 / 视频号</x:v>
      </x:c>
      <x:c r="U213" s="30" t="str">
        <x:v>未联系</x:v>
      </x:c>
      <x:c r="V213" s="30" t="str"/>
      <x:c r="W213" s="29" t="str">
        <x:v>高</x:v>
      </x:c>
      <x:c r="X213" s="29" t="str">
        <x:v>https://www.vgover.com/zh-tw/news/226267</x:v>
      </x:c>
    </x:row>
    <x:row r="214">
      <x:c r="A214" s="29" t="n">
        <x:v>211</x:v>
      </x:c>
      <x:c r="B214" s="29" t="str">
        <x:v>E6</x:v>
      </x:c>
      <x:c r="C214" s="29" t="str">
        <x:v>发烧硬件</x:v>
      </x:c>
      <x:c r="D214" s="29" t="str">
        <x:v>E305</x:v>
      </x:c>
      <x:c r="E214" s="29" t="str">
        <x:v>MISHUAI 麦帅</x:v>
      </x:c>
      <x:c r="F214" s="30" t="str"/>
      <x:c r="G214" s="29" t="str">
        <x:v>游戏外设</x:v>
      </x:c>
      <x:c r="H214" s="29" t="n">
        <x:v>3</x:v>
      </x:c>
      <x:c r="I214" s="29" t="n">
        <x:v>5</x:v>
      </x:c>
      <x:c r="J214" s="29" t="n">
        <x:v>5</x:v>
      </x:c>
      <x:c r="K214" s="29" t="n">
        <x:v>2</x:v>
      </x:c>
      <x:c r="L214" s="31" t="n">
        <x:f>SUM(H214:K214)</x:f>
        <x:v>15</x:v>
      </x:c>
      <x:c r="M214" s="29" t="str">
        <x:f>IF(L214&gt;=16,"A-优先",IF(L214&gt;=12,"B-培育","C-观察"))</x:f>
        <x:v>B-培育</x:v>
      </x:c>
      <x:c r="N214" s="29" t="str">
        <x:v>电竞空间、首店首发、渠道总部、供应链与制造项目</x:v>
      </x:c>
      <x:c r="O214" s="29" t="str"/>
      <x:c r="P214" s="30" t="str"/>
      <x:c r="Q214" s="30" t="str"/>
      <x:c r="R214" s="30" t="str"/>
      <x:c r="S214" s="30" t="str"/>
      <x:c r="T214" s="30" t="str">
        <x:v>建议检索：MISHUAI 麦帅 官方 / 公众号 / 微博 / 小红书 / 视频号</x:v>
      </x:c>
      <x:c r="U214" s="30" t="str">
        <x:v>未联系</x:v>
      </x:c>
      <x:c r="V214" s="30" t="str"/>
      <x:c r="W214" s="29" t="str">
        <x:v>高</x:v>
      </x:c>
      <x:c r="X214" s="29" t="str">
        <x:v>https://www.vgover.com/zh-tw/news/226267</x:v>
      </x:c>
    </x:row>
    <x:row r="215">
      <x:c r="A215" s="29" t="n">
        <x:v>212</x:v>
      </x:c>
      <x:c r="B215" s="29" t="str">
        <x:v>E6</x:v>
      </x:c>
      <x:c r="C215" s="29" t="str">
        <x:v>发烧硬件</x:v>
      </x:c>
      <x:c r="D215" s="29" t="str">
        <x:v>E306</x:v>
      </x:c>
      <x:c r="E215" s="29" t="str">
        <x:v>Blackmagic Design</x:v>
      </x:c>
      <x:c r="F215" s="30" t="str"/>
      <x:c r="G215" s="29" t="str">
        <x:v>专业影像</x:v>
      </x:c>
      <x:c r="H215" s="29" t="n">
        <x:v>4</x:v>
      </x:c>
      <x:c r="I215" s="29" t="n">
        <x:v>5</x:v>
      </x:c>
      <x:c r="J215" s="29" t="n">
        <x:v>5</x:v>
      </x:c>
      <x:c r="K215" s="29" t="n">
        <x:v>2</x:v>
      </x:c>
      <x:c r="L215" s="31" t="n">
        <x:f>SUM(H215:K215)</x:f>
        <x:v>16</x:v>
      </x:c>
      <x:c r="M215" s="29" t="str">
        <x:f>IF(L215&gt;=16,"A-优先",IF(L215&gt;=12,"B-培育","C-观察"))</x:f>
        <x:v>A-优先</x:v>
      </x:c>
      <x:c r="N215" s="29" t="str">
        <x:v>电竞空间、首店首发、渠道总部、供应链与制造项目</x:v>
      </x:c>
      <x:c r="O215" s="29" t="str"/>
      <x:c r="P215" s="30" t="str"/>
      <x:c r="Q215" s="30" t="str"/>
      <x:c r="R215" s="30" t="str"/>
      <x:c r="S215" s="30" t="str"/>
      <x:c r="T215" s="30" t="str">
        <x:v>建议检索：Blackmagic Design 官方 / 公众号 / 微博 / 小红书 / 视频号</x:v>
      </x:c>
      <x:c r="U215" s="30" t="str">
        <x:v>未联系</x:v>
      </x:c>
      <x:c r="V215" s="30" t="str"/>
      <x:c r="W215" s="29" t="str">
        <x:v>高</x:v>
      </x:c>
      <x:c r="X215" s="29" t="str">
        <x:v>https://www.vgover.com/zh-tw/news/226267</x:v>
      </x:c>
    </x:row>
    <x:row r="216">
      <x:c r="A216" s="29" t="n">
        <x:v>213</x:v>
      </x:c>
      <x:c r="B216" s="29" t="str">
        <x:v>E6</x:v>
      </x:c>
      <x:c r="C216" s="29" t="str">
        <x:v>发烧硬件</x:v>
      </x:c>
      <x:c r="D216" s="29" t="str">
        <x:v>E307</x:v>
      </x:c>
      <x:c r="E216" s="29" t="str">
        <x:v>LEGIONY 联想拯救者</x:v>
      </x:c>
      <x:c r="F216" s="30" t="str"/>
      <x:c r="G216" s="29" t="str">
        <x:v>PC/电竞</x:v>
      </x:c>
      <x:c r="H216" s="29" t="n">
        <x:v>3</x:v>
      </x:c>
      <x:c r="I216" s="29" t="n">
        <x:v>5</x:v>
      </x:c>
      <x:c r="J216" s="29" t="n">
        <x:v>5</x:v>
      </x:c>
      <x:c r="K216" s="29" t="n">
        <x:v>2</x:v>
      </x:c>
      <x:c r="L216" s="31" t="n">
        <x:f>SUM(H216:K216)</x:f>
        <x:v>15</x:v>
      </x:c>
      <x:c r="M216" s="29" t="str">
        <x:f>IF(L216&gt;=16,"A-优先",IF(L216&gt;=12,"B-培育","C-观察"))</x:f>
        <x:v>B-培育</x:v>
      </x:c>
      <x:c r="N216" s="29" t="str">
        <x:v>电竞空间、首店首发、渠道总部、供应链与制造项目</x:v>
      </x:c>
      <x:c r="O216" s="29" t="str"/>
      <x:c r="P216" s="30" t="str"/>
      <x:c r="Q216" s="30" t="str"/>
      <x:c r="R216" s="30" t="str"/>
      <x:c r="S216" s="30" t="str"/>
      <x:c r="T216" s="30" t="str">
        <x:v>建议检索：LEGIONY 联想拯救者 官方 / 公众号 / 微博 / 小红书 / 视频号</x:v>
      </x:c>
      <x:c r="U216" s="30" t="str">
        <x:v>未联系</x:v>
      </x:c>
      <x:c r="V216" s="30" t="str"/>
      <x:c r="W216" s="29" t="str">
        <x:v>高</x:v>
      </x:c>
      <x:c r="X216" s="29" t="str">
        <x:v>https://www.vgover.com/zh-tw/news/226267</x:v>
      </x:c>
    </x:row>
    <x:row r="217">
      <x:c r="A217" s="29" t="n">
        <x:v>214</x:v>
      </x:c>
      <x:c r="B217" s="29" t="str">
        <x:v>E6</x:v>
      </x:c>
      <x:c r="C217" s="29" t="str">
        <x:v>发烧硬件</x:v>
      </x:c>
      <x:c r="D217" s="29" t="str">
        <x:v>E308</x:v>
      </x:c>
      <x:c r="E217" s="29" t="str">
        <x:v>NYXI</x:v>
      </x:c>
      <x:c r="F217" s="30" t="str"/>
      <x:c r="G217" s="29" t="str">
        <x:v>游戏外设</x:v>
      </x:c>
      <x:c r="H217" s="29" t="n">
        <x:v>3</x:v>
      </x:c>
      <x:c r="I217" s="29" t="n">
        <x:v>5</x:v>
      </x:c>
      <x:c r="J217" s="29" t="n">
        <x:v>5</x:v>
      </x:c>
      <x:c r="K217" s="29" t="n">
        <x:v>2</x:v>
      </x:c>
      <x:c r="L217" s="31" t="n">
        <x:f>SUM(H217:K217)</x:f>
        <x:v>15</x:v>
      </x:c>
      <x:c r="M217" s="29" t="str">
        <x:f>IF(L217&gt;=16,"A-优先",IF(L217&gt;=12,"B-培育","C-观察"))</x:f>
        <x:v>B-培育</x:v>
      </x:c>
      <x:c r="N217" s="29" t="str">
        <x:v>电竞空间、首店首发、渠道总部、供应链与制造项目</x:v>
      </x:c>
      <x:c r="O217" s="29" t="str"/>
      <x:c r="P217" s="30" t="str"/>
      <x:c r="Q217" s="30" t="str"/>
      <x:c r="R217" s="30" t="str"/>
      <x:c r="S217" s="30" t="str"/>
      <x:c r="T217" s="30" t="str">
        <x:v>建议检索：NYXI 官方 / 公众号 / 微博 / 小红书 / 视频号</x:v>
      </x:c>
      <x:c r="U217" s="30" t="str">
        <x:v>未联系</x:v>
      </x:c>
      <x:c r="V217" s="30" t="str"/>
      <x:c r="W217" s="29" t="str">
        <x:v>高</x:v>
      </x:c>
      <x:c r="X217" s="29" t="str">
        <x:v>https://www.vgover.com/zh-tw/news/226267</x:v>
      </x:c>
    </x:row>
    <x:row r="218">
      <x:c r="A218" s="29" t="n">
        <x:v>215</x:v>
      </x:c>
      <x:c r="B218" s="29" t="str">
        <x:v>E6</x:v>
      </x:c>
      <x:c r="C218" s="29" t="str">
        <x:v>发烧硬件</x:v>
      </x:c>
      <x:c r="D218" s="29" t="str">
        <x:v>E501</x:v>
      </x:c>
      <x:c r="E218" s="29" t="str">
        <x:v>KIOXIA 铠侠</x:v>
      </x:c>
      <x:c r="F218" s="30" t="str"/>
      <x:c r="G218" s="29" t="str">
        <x:v>存储</x:v>
      </x:c>
      <x:c r="H218" s="29" t="n">
        <x:v>3</x:v>
      </x:c>
      <x:c r="I218" s="29" t="n">
        <x:v>5</x:v>
      </x:c>
      <x:c r="J218" s="29" t="n">
        <x:v>3</x:v>
      </x:c>
      <x:c r="K218" s="29" t="n">
        <x:v>4</x:v>
      </x:c>
      <x:c r="L218" s="31" t="n">
        <x:f>SUM(H218:K218)</x:f>
        <x:v>15</x:v>
      </x:c>
      <x:c r="M218" s="29" t="str">
        <x:f>IF(L218&gt;=16,"A-优先",IF(L218&gt;=12,"B-培育","C-观察"))</x:f>
        <x:v>B-培育</x:v>
      </x:c>
      <x:c r="N218" s="29" t="str">
        <x:v>电竞空间、首店首发、渠道总部、供应链与制造项目</x:v>
      </x:c>
      <x:c r="O218" s="29" t="str"/>
      <x:c r="P218" s="30" t="str"/>
      <x:c r="Q218" s="30" t="str"/>
      <x:c r="R218" s="30" t="str"/>
      <x:c r="S218" s="30" t="str">
        <x:v>https://www.kioxia.com.cn/</x:v>
      </x:c>
      <x:c r="T218" s="30" t="str">
        <x:v>KIOXIA 铠侠 官方网站/认证公众号/微博（招商前复核具体商务入口）</x:v>
      </x:c>
      <x:c r="U218" s="30" t="str">
        <x:v>未联系</x:v>
      </x:c>
      <x:c r="V218" s="30" t="str"/>
      <x:c r="W218" s="29" t="str">
        <x:v>高</x:v>
      </x:c>
      <x:c r="X218" s="29" t="str">
        <x:v>https://www.vgover.com/zh-tw/news/226267</x:v>
      </x:c>
    </x:row>
    <x:row r="219">
      <x:c r="A219" s="29" t="n">
        <x:v>216</x:v>
      </x:c>
      <x:c r="B219" s="29" t="str">
        <x:v>E6</x:v>
      </x:c>
      <x:c r="C219" s="29" t="str">
        <x:v>发烧硬件</x:v>
      </x:c>
      <x:c r="D219" s="29" t="str">
        <x:v>E502</x:v>
      </x:c>
      <x:c r="E219" s="29" t="str">
        <x:v>magiclab 魔法原子</x:v>
      </x:c>
      <x:c r="F219" s="30" t="str"/>
      <x:c r="G219" s="29" t="str">
        <x:v>机器人</x:v>
      </x:c>
      <x:c r="H219" s="29" t="n">
        <x:v>5</x:v>
      </x:c>
      <x:c r="I219" s="29" t="n">
        <x:v>5</x:v>
      </x:c>
      <x:c r="J219" s="29" t="n">
        <x:v>5</x:v>
      </x:c>
      <x:c r="K219" s="29" t="n">
        <x:v>2</x:v>
      </x:c>
      <x:c r="L219" s="31" t="n">
        <x:f>SUM(H219:K219)</x:f>
        <x:v>17</x:v>
      </x:c>
      <x:c r="M219" s="29" t="str">
        <x:f>IF(L219&gt;=16,"A-优先",IF(L219&gt;=12,"B-培育","C-观察"))</x:f>
        <x:v>A-优先</x:v>
      </x:c>
      <x:c r="N219" s="29" t="str">
        <x:v>电竞空间、首店首发、渠道总部、供应链与制造项目</x:v>
      </x:c>
      <x:c r="O219" s="29" t="str"/>
      <x:c r="P219" s="30" t="str"/>
      <x:c r="Q219" s="30" t="str"/>
      <x:c r="R219" s="30" t="str"/>
      <x:c r="S219" s="30" t="str"/>
      <x:c r="T219" s="30" t="str">
        <x:v>建议检索：magiclab 魔法原子 官方 / 公众号 / 微博 / 小红书 / 视频号</x:v>
      </x:c>
      <x:c r="U219" s="30" t="str">
        <x:v>未联系</x:v>
      </x:c>
      <x:c r="V219" s="30" t="str"/>
      <x:c r="W219" s="29" t="str">
        <x:v>高</x:v>
      </x:c>
      <x:c r="X219" s="29" t="str">
        <x:v>https://www.vgover.com/zh-tw/news/226267</x:v>
      </x:c>
    </x:row>
    <x:row r="220">
      <x:c r="A220" s="29" t="n">
        <x:v>217</x:v>
      </x:c>
      <x:c r="B220" s="29" t="str">
        <x:v>E6</x:v>
      </x:c>
      <x:c r="C220" s="29" t="str">
        <x:v>发烧硬件</x:v>
      </x:c>
      <x:c r="D220" s="29" t="str">
        <x:v>E503</x:v>
      </x:c>
      <x:c r="E220" s="29" t="str">
        <x:v>滴滴快送</x:v>
      </x:c>
      <x:c r="F220" s="30" t="str"/>
      <x:c r="G220" s="29" t="str">
        <x:v>物流/跨界</x:v>
      </x:c>
      <x:c r="H220" s="29" t="n">
        <x:v>3</x:v>
      </x:c>
      <x:c r="I220" s="29" t="n">
        <x:v>5</x:v>
      </x:c>
      <x:c r="J220" s="29" t="n">
        <x:v>3</x:v>
      </x:c>
      <x:c r="K220" s="29" t="n">
        <x:v>2</x:v>
      </x:c>
      <x:c r="L220" s="31" t="n">
        <x:f>SUM(H220:K220)</x:f>
        <x:v>13</x:v>
      </x:c>
      <x:c r="M220" s="29" t="str">
        <x:f>IF(L220&gt;=16,"A-优先",IF(L220&gt;=12,"B-培育","C-观察"))</x:f>
        <x:v>B-培育</x:v>
      </x:c>
      <x:c r="N220" s="29" t="str">
        <x:v>电竞空间、首店首发、渠道总部、供应链与制造项目</x:v>
      </x:c>
      <x:c r="O220" s="29" t="str"/>
      <x:c r="P220" s="30" t="str"/>
      <x:c r="Q220" s="30" t="str"/>
      <x:c r="R220" s="30" t="str"/>
      <x:c r="S220" s="30" t="str"/>
      <x:c r="T220" s="30" t="str">
        <x:v>建议检索：滴滴快送 官方 / 公众号 / 微博 / 小红书 / 视频号</x:v>
      </x:c>
      <x:c r="U220" s="30" t="str">
        <x:v>未联系</x:v>
      </x:c>
      <x:c r="V220" s="30" t="str"/>
      <x:c r="W220" s="29" t="str">
        <x:v>高</x:v>
      </x:c>
      <x:c r="X220" s="29" t="str">
        <x:v>https://www.vgover.com/zh-tw/news/226267</x:v>
      </x:c>
    </x:row>
    <x:row r="221">
      <x:c r="A221" s="29" t="n">
        <x:v>218</x:v>
      </x:c>
      <x:c r="B221" s="29" t="str">
        <x:v>E6</x:v>
      </x:c>
      <x:c r="C221" s="29" t="str">
        <x:v>发烧硬件</x:v>
      </x:c>
      <x:c r="D221" s="29" t="str">
        <x:v>E506</x:v>
      </x:c>
      <x:c r="E221" s="29" t="str">
        <x:v>UGREEN 绿联</x:v>
      </x:c>
      <x:c r="F221" s="30" t="str"/>
      <x:c r="G221" s="29" t="str">
        <x:v>数码配件</x:v>
      </x:c>
      <x:c r="H221" s="29" t="n">
        <x:v>3</x:v>
      </x:c>
      <x:c r="I221" s="29" t="n">
        <x:v>5</x:v>
      </x:c>
      <x:c r="J221" s="29" t="n">
        <x:v>3</x:v>
      </x:c>
      <x:c r="K221" s="29" t="n">
        <x:v>2</x:v>
      </x:c>
      <x:c r="L221" s="31" t="n">
        <x:f>SUM(H221:K221)</x:f>
        <x:v>13</x:v>
      </x:c>
      <x:c r="M221" s="29" t="str">
        <x:f>IF(L221&gt;=16,"A-优先",IF(L221&gt;=12,"B-培育","C-观察"))</x:f>
        <x:v>B-培育</x:v>
      </x:c>
      <x:c r="N221" s="29" t="str">
        <x:v>电竞空间、首店首发、渠道总部、供应链与制造项目</x:v>
      </x:c>
      <x:c r="O221" s="29" t="str"/>
      <x:c r="P221" s="30" t="str"/>
      <x:c r="Q221" s="30" t="str"/>
      <x:c r="R221" s="30" t="str"/>
      <x:c r="S221" s="30" t="str"/>
      <x:c r="T221" s="30" t="str">
        <x:v>建议检索：UGREEN 绿联 官方 / 公众号 / 微博 / 小红书 / 视频号</x:v>
      </x:c>
      <x:c r="U221" s="30" t="str">
        <x:v>未联系</x:v>
      </x:c>
      <x:c r="V221" s="30" t="str"/>
      <x:c r="W221" s="29" t="str">
        <x:v>高</x:v>
      </x:c>
      <x:c r="X221" s="29" t="str">
        <x:v>https://www.vgover.com/zh-tw/news/226267</x:v>
      </x:c>
    </x:row>
    <x:row r="222">
      <x:c r="A222" s="29" t="n">
        <x:v>219</x:v>
      </x:c>
      <x:c r="B222" s="29" t="str">
        <x:v>E6</x:v>
      </x:c>
      <x:c r="C222" s="29" t="str">
        <x:v>发烧硬件</x:v>
      </x:c>
      <x:c r="D222" s="29" t="str">
        <x:v>E507</x:v>
      </x:c>
      <x:c r="E222" s="29" t="str">
        <x:v>雷神</x:v>
      </x:c>
      <x:c r="F222" s="30" t="str"/>
      <x:c r="G222" s="29" t="str">
        <x:v>PC/电竞</x:v>
      </x:c>
      <x:c r="H222" s="29" t="n">
        <x:v>3</x:v>
      </x:c>
      <x:c r="I222" s="29" t="n">
        <x:v>5</x:v>
      </x:c>
      <x:c r="J222" s="29" t="n">
        <x:v>5</x:v>
      </x:c>
      <x:c r="K222" s="29" t="n">
        <x:v>2</x:v>
      </x:c>
      <x:c r="L222" s="31" t="n">
        <x:f>SUM(H222:K222)</x:f>
        <x:v>15</x:v>
      </x:c>
      <x:c r="M222" s="29" t="str">
        <x:f>IF(L222&gt;=16,"A-优先",IF(L222&gt;=12,"B-培育","C-观察"))</x:f>
        <x:v>B-培育</x:v>
      </x:c>
      <x:c r="N222" s="29" t="str">
        <x:v>电竞空间、首店首发、渠道总部、供应链与制造项目</x:v>
      </x:c>
      <x:c r="O222" s="29" t="str"/>
      <x:c r="P222" s="30" t="str"/>
      <x:c r="Q222" s="30" t="str"/>
      <x:c r="R222" s="30" t="str"/>
      <x:c r="S222" s="30" t="str"/>
      <x:c r="T222" s="30" t="str">
        <x:v>建议检索：雷神 官方 / 公众号 / 微博 / 小红书 / 视频号</x:v>
      </x:c>
      <x:c r="U222" s="30" t="str">
        <x:v>未联系</x:v>
      </x:c>
      <x:c r="V222" s="30" t="str"/>
      <x:c r="W222" s="29" t="str">
        <x:v>高</x:v>
      </x:c>
      <x:c r="X222" s="29" t="str">
        <x:v>https://www.vgover.com/zh-tw/news/226267</x:v>
      </x:c>
    </x:row>
    <x:row r="223">
      <x:c r="A223" s="29" t="n">
        <x:v>220</x:v>
      </x:c>
      <x:c r="B223" s="29" t="str">
        <x:v>E6</x:v>
      </x:c>
      <x:c r="C223" s="29" t="str">
        <x:v>前沿科技</x:v>
      </x:c>
      <x:c r="D223" s="29" t="str">
        <x:v>ST001</x:v>
      </x:c>
      <x:c r="E223" s="29" t="str">
        <x:v>UNITREE 宇树科技</x:v>
      </x:c>
      <x:c r="F223" s="30" t="str"/>
      <x:c r="G223" s="29" t="str">
        <x:v>机器人</x:v>
      </x:c>
      <x:c r="H223" s="29" t="n">
        <x:v>5</x:v>
      </x:c>
      <x:c r="I223" s="29" t="n">
        <x:v>5</x:v>
      </x:c>
      <x:c r="J223" s="29" t="n">
        <x:v>5</x:v>
      </x:c>
      <x:c r="K223" s="29" t="n">
        <x:v>4</x:v>
      </x:c>
      <x:c r="L223" s="31" t="n">
        <x:f>SUM(H223:K223)</x:f>
        <x:v>19</x:v>
      </x:c>
      <x:c r="M223" s="29" t="str">
        <x:f>IF(L223&gt;=16,"A-优先",IF(L223&gt;=12,"B-培育","C-观察"))</x:f>
        <x:v>A-优先</x:v>
      </x:c>
      <x:c r="N223" s="29" t="str">
        <x:v>邀请技术/团队落地；提供场景测试、政策申报、产业基金与园区载体</x:v>
      </x:c>
      <x:c r="O223" s="29" t="str"/>
      <x:c r="P223" s="30" t="str"/>
      <x:c r="Q223" s="30" t="str"/>
      <x:c r="R223" s="30" t="str"/>
      <x:c r="S223" s="30" t="str">
        <x:v>https://www.unitree.com/cn/</x:v>
      </x:c>
      <x:c r="T223" s="30" t="str">
        <x:v>UNITREE 宇树科技 官方网站/认证公众号/微博（招商前复核具体商务入口）</x:v>
      </x:c>
      <x:c r="U223" s="30" t="str">
        <x:v>未联系</x:v>
      </x:c>
      <x:c r="V223" s="30" t="str"/>
      <x:c r="W223" s="29" t="str">
        <x:v>高</x:v>
      </x:c>
      <x:c r="X223" s="29" t="str">
        <x:v>https://www.vgover.com/zh-tw/news/226267</x:v>
      </x:c>
    </x:row>
    <x:row r="224">
      <x:c r="A224" s="29" t="n">
        <x:v>221</x:v>
      </x:c>
      <x:c r="B224" s="29" t="str">
        <x:v>E6</x:v>
      </x:c>
      <x:c r="C224" s="29" t="str">
        <x:v>前沿科技</x:v>
      </x:c>
      <x:c r="D224" s="29" t="str">
        <x:v>ST002</x:v>
      </x:c>
      <x:c r="E224" s="29" t="str">
        <x:v>金山办公</x:v>
      </x:c>
      <x:c r="F224" s="30" t="str"/>
      <x:c r="G224" s="29" t="str">
        <x:v>软件/AI</x:v>
      </x:c>
      <x:c r="H224" s="29" t="n">
        <x:v>3</x:v>
      </x:c>
      <x:c r="I224" s="29" t="n">
        <x:v>5</x:v>
      </x:c>
      <x:c r="J224" s="29" t="n">
        <x:v>3</x:v>
      </x:c>
      <x:c r="K224" s="29" t="n">
        <x:v>4</x:v>
      </x:c>
      <x:c r="L224" s="31" t="n">
        <x:f>SUM(H224:K224)</x:f>
        <x:v>15</x:v>
      </x:c>
      <x:c r="M224" s="29" t="str">
        <x:f>IF(L224&gt;=16,"A-优先",IF(L224&gt;=12,"B-培育","C-观察"))</x:f>
        <x:v>B-培育</x:v>
      </x:c>
      <x:c r="N224" s="29" t="str">
        <x:v>邀请技术/团队落地；提供场景测试、政策申报、产业基金与园区载体</x:v>
      </x:c>
      <x:c r="O224" s="29" t="str"/>
      <x:c r="P224" s="30" t="str"/>
      <x:c r="Q224" s="30" t="str"/>
      <x:c r="R224" s="30" t="str"/>
      <x:c r="S224" s="30" t="str">
        <x:v>https://www.wps.cn/</x:v>
      </x:c>
      <x:c r="T224" s="30" t="str">
        <x:v>金山办公 官方网站/认证公众号/微博（招商前复核具体商务入口）</x:v>
      </x:c>
      <x:c r="U224" s="30" t="str">
        <x:v>未联系</x:v>
      </x:c>
      <x:c r="V224" s="30" t="str"/>
      <x:c r="W224" s="29" t="str">
        <x:v>高</x:v>
      </x:c>
      <x:c r="X224" s="29" t="str">
        <x:v>https://www.vgover.com/zh-tw/news/226267</x:v>
      </x:c>
    </x:row>
    <x:row r="225">
      <x:c r="A225" s="29" t="n">
        <x:v>222</x:v>
      </x:c>
      <x:c r="B225" s="29" t="str">
        <x:v>E6</x:v>
      </x:c>
      <x:c r="C225" s="29" t="str">
        <x:v>前沿科技</x:v>
      </x:c>
      <x:c r="D225" s="29" t="str">
        <x:v>ST003</x:v>
      </x:c>
      <x:c r="E225" s="29" t="str">
        <x:v>前沿科技联合展位</x:v>
      </x:c>
      <x:c r="F225" s="30" t="str"/>
      <x:c r="G225" s="29" t="str">
        <x:v>前沿科技</x:v>
      </x:c>
      <x:c r="H225" s="29" t="n">
        <x:v>4</x:v>
      </x:c>
      <x:c r="I225" s="29" t="n">
        <x:v>5</x:v>
      </x:c>
      <x:c r="J225" s="29" t="n">
        <x:v>4</x:v>
      </x:c>
      <x:c r="K225" s="29" t="n">
        <x:v>2</x:v>
      </x:c>
      <x:c r="L225" s="31" t="n">
        <x:f>SUM(H225:K225)</x:f>
        <x:v>15</x:v>
      </x:c>
      <x:c r="M225" s="29" t="str">
        <x:f>IF(L225&gt;=16,"A-优先",IF(L225&gt;=12,"B-培育","C-观察"))</x:f>
        <x:v>B-培育</x:v>
      </x:c>
      <x:c r="N225" s="29" t="str">
        <x:v>邀请技术/团队落地；提供场景测试、政策申报、产业基金与园区载体</x:v>
      </x:c>
      <x:c r="O225" s="29" t="str"/>
      <x:c r="P225" s="30" t="str"/>
      <x:c r="Q225" s="30" t="str"/>
      <x:c r="R225" s="30" t="str"/>
      <x:c r="S225" s="30" t="str"/>
      <x:c r="T225" s="30" t="str">
        <x:v>建议检索：前沿科技联合展位 官方 / 公众号 / 微博 / 小红书 / 视频号</x:v>
      </x:c>
      <x:c r="U225" s="30" t="str">
        <x:v>未联系</x:v>
      </x:c>
      <x:c r="V225" s="30" t="str"/>
      <x:c r="W225" s="29" t="str">
        <x:v>高</x:v>
      </x:c>
      <x:c r="X225" s="29" t="str">
        <x:v>https://www.vgover.com/zh-tw/news/226267</x:v>
      </x:c>
    </x:row>
    <x:row r="226">
      <x:c r="A226" s="29" t="n">
        <x:v>223</x:v>
      </x:c>
      <x:c r="B226" s="29" t="str">
        <x:v>E6</x:v>
      </x:c>
      <x:c r="C226" s="29" t="str">
        <x:v>前沿科技</x:v>
      </x:c>
      <x:c r="D226" s="29" t="str">
        <x:v>ST005</x:v>
      </x:c>
      <x:c r="E226" s="29" t="str">
        <x:v>大娱人穿越界</x:v>
      </x:c>
      <x:c r="F226" s="30" t="str"/>
      <x:c r="G226" s="29" t="str">
        <x:v>XR/娱乐</x:v>
      </x:c>
      <x:c r="H226" s="29" t="n">
        <x:v>3</x:v>
      </x:c>
      <x:c r="I226" s="29" t="n">
        <x:v>5</x:v>
      </x:c>
      <x:c r="J226" s="29" t="n">
        <x:v>3</x:v>
      </x:c>
      <x:c r="K226" s="29" t="n">
        <x:v>2</x:v>
      </x:c>
      <x:c r="L226" s="31" t="n">
        <x:f>SUM(H226:K226)</x:f>
        <x:v>13</x:v>
      </x:c>
      <x:c r="M226" s="29" t="str">
        <x:f>IF(L226&gt;=16,"A-优先",IF(L226&gt;=12,"B-培育","C-观察"))</x:f>
        <x:v>B-培育</x:v>
      </x:c>
      <x:c r="N226" s="29" t="str">
        <x:v>邀请技术/团队落地；提供场景测试、政策申报、产业基金与园区载体</x:v>
      </x:c>
      <x:c r="O226" s="29" t="str"/>
      <x:c r="P226" s="30" t="str"/>
      <x:c r="Q226" s="30" t="str"/>
      <x:c r="R226" s="30" t="str"/>
      <x:c r="S226" s="30" t="str"/>
      <x:c r="T226" s="30" t="str">
        <x:v>建议检索：大娱人穿越界 官方 / 公众号 / 微博 / 小红书 / 视频号</x:v>
      </x:c>
      <x:c r="U226" s="30" t="str">
        <x:v>未联系</x:v>
      </x:c>
      <x:c r="V226" s="30" t="str"/>
      <x:c r="W226" s="29" t="str">
        <x:v>高</x:v>
      </x:c>
      <x:c r="X226" s="29" t="str">
        <x:v>https://www.vgover.com/zh-tw/news/226267</x:v>
      </x:c>
    </x:row>
    <x:row r="227">
      <x:c r="A227" s="29" t="n">
        <x:v>224</x:v>
      </x:c>
      <x:c r="B227" s="29" t="str">
        <x:v>E6</x:v>
      </x:c>
      <x:c r="C227" s="29" t="str">
        <x:v>前沿科技</x:v>
      </x:c>
      <x:c r="D227" s="29" t="str">
        <x:v>ST006</x:v>
      </x:c>
      <x:c r="E227" s="29" t="str">
        <x:v>逐际动力</x:v>
      </x:c>
      <x:c r="F227" s="30" t="str"/>
      <x:c r="G227" s="29" t="str">
        <x:v>机器人</x:v>
      </x:c>
      <x:c r="H227" s="29" t="n">
        <x:v>5</x:v>
      </x:c>
      <x:c r="I227" s="29" t="n">
        <x:v>5</x:v>
      </x:c>
      <x:c r="J227" s="29" t="n">
        <x:v>5</x:v>
      </x:c>
      <x:c r="K227" s="29" t="n">
        <x:v>2</x:v>
      </x:c>
      <x:c r="L227" s="31" t="n">
        <x:f>SUM(H227:K227)</x:f>
        <x:v>17</x:v>
      </x:c>
      <x:c r="M227" s="29" t="str">
        <x:f>IF(L227&gt;=16,"A-优先",IF(L227&gt;=12,"B-培育","C-观察"))</x:f>
        <x:v>A-优先</x:v>
      </x:c>
      <x:c r="N227" s="29" t="str">
        <x:v>邀请技术/团队落地；提供场景测试、政策申报、产业基金与园区载体</x:v>
      </x:c>
      <x:c r="O227" s="29" t="str"/>
      <x:c r="P227" s="30" t="str"/>
      <x:c r="Q227" s="30" t="str"/>
      <x:c r="R227" s="30" t="str"/>
      <x:c r="S227" s="30" t="str"/>
      <x:c r="T227" s="30" t="str">
        <x:v>建议检索：逐际动力 官方 / 公众号 / 微博 / 小红书 / 视频号</x:v>
      </x:c>
      <x:c r="U227" s="30" t="str">
        <x:v>未联系</x:v>
      </x:c>
      <x:c r="V227" s="30" t="str"/>
      <x:c r="W227" s="29" t="str">
        <x:v>高</x:v>
      </x:c>
      <x:c r="X227" s="29" t="str">
        <x:v>https://www.vgover.com/zh-tw/news/226267</x:v>
      </x:c>
    </x:row>
    <x:row r="228">
      <x:c r="A228" s="29" t="n">
        <x:v>225</x:v>
      </x:c>
      <x:c r="B228" s="29" t="str">
        <x:v>E6</x:v>
      </x:c>
      <x:c r="C228" s="29" t="str">
        <x:v>前沿科技</x:v>
      </x:c>
      <x:c r="D228" s="29" t="str">
        <x:v>ST101</x:v>
      </x:c>
      <x:c r="E228" s="29" t="str">
        <x:v>脸谱心智</x:v>
      </x:c>
      <x:c r="F228" s="30" t="str"/>
      <x:c r="G228" s="29" t="str">
        <x:v>AI/机器人</x:v>
      </x:c>
      <x:c r="H228" s="29" t="n">
        <x:v>5</x:v>
      </x:c>
      <x:c r="I228" s="29" t="n">
        <x:v>5</x:v>
      </x:c>
      <x:c r="J228" s="29" t="n">
        <x:v>5</x:v>
      </x:c>
      <x:c r="K228" s="29" t="n">
        <x:v>2</x:v>
      </x:c>
      <x:c r="L228" s="31" t="n">
        <x:f>SUM(H228:K228)</x:f>
        <x:v>17</x:v>
      </x:c>
      <x:c r="M228" s="29" t="str">
        <x:f>IF(L228&gt;=16,"A-优先",IF(L228&gt;=12,"B-培育","C-观察"))</x:f>
        <x:v>A-优先</x:v>
      </x:c>
      <x:c r="N228" s="29" t="str">
        <x:v>邀请技术/团队落地；提供场景测试、政策申报、产业基金与园区载体</x:v>
      </x:c>
      <x:c r="O228" s="29" t="str"/>
      <x:c r="P228" s="30" t="str"/>
      <x:c r="Q228" s="30" t="str"/>
      <x:c r="R228" s="30" t="str"/>
      <x:c r="S228" s="30" t="str"/>
      <x:c r="T228" s="30" t="str">
        <x:v>建议检索：脸谱心智 官方 / 公众号 / 微博 / 小红书 / 视频号</x:v>
      </x:c>
      <x:c r="U228" s="30" t="str">
        <x:v>未联系</x:v>
      </x:c>
      <x:c r="V228" s="30" t="str"/>
      <x:c r="W228" s="29" t="str">
        <x:v>高</x:v>
      </x:c>
      <x:c r="X228" s="29" t="str">
        <x:v>https://www.vgover.com/zh-tw/news/226267</x:v>
      </x:c>
    </x:row>
    <x:row r="229">
      <x:c r="A229" s="29" t="n">
        <x:v>226</x:v>
      </x:c>
      <x:c r="B229" s="29" t="str">
        <x:v>E6</x:v>
      </x:c>
      <x:c r="C229" s="29" t="str">
        <x:v>前沿科技</x:v>
      </x:c>
      <x:c r="D229" s="29" t="str">
        <x:v>ST102</x:v>
      </x:c>
      <x:c r="E229" s="29" t="str">
        <x:v>PP GUN</x:v>
      </x:c>
      <x:c r="F229" s="30" t="str"/>
      <x:c r="G229" s="29" t="str">
        <x:v>智能硬件</x:v>
      </x:c>
      <x:c r="H229" s="29" t="n">
        <x:v>4</x:v>
      </x:c>
      <x:c r="I229" s="29" t="n">
        <x:v>5</x:v>
      </x:c>
      <x:c r="J229" s="29" t="n">
        <x:v>4</x:v>
      </x:c>
      <x:c r="K229" s="29" t="n">
        <x:v>2</x:v>
      </x:c>
      <x:c r="L229" s="31" t="n">
        <x:f>SUM(H229:K229)</x:f>
        <x:v>15</x:v>
      </x:c>
      <x:c r="M229" s="29" t="str">
        <x:f>IF(L229&gt;=16,"A-优先",IF(L229&gt;=12,"B-培育","C-观察"))</x:f>
        <x:v>B-培育</x:v>
      </x:c>
      <x:c r="N229" s="29" t="str">
        <x:v>邀请技术/团队落地；提供场景测试、政策申报、产业基金与园区载体</x:v>
      </x:c>
      <x:c r="O229" s="29" t="str"/>
      <x:c r="P229" s="30" t="str"/>
      <x:c r="Q229" s="30" t="str"/>
      <x:c r="R229" s="30" t="str"/>
      <x:c r="S229" s="30" t="str"/>
      <x:c r="T229" s="30" t="str">
        <x:v>建议检索：PP GUN 官方 / 公众号 / 微博 / 小红书 / 视频号</x:v>
      </x:c>
      <x:c r="U229" s="30" t="str">
        <x:v>未联系</x:v>
      </x:c>
      <x:c r="V229" s="30" t="str"/>
      <x:c r="W229" s="29" t="str">
        <x:v>高</x:v>
      </x:c>
      <x:c r="X229" s="29" t="str">
        <x:v>https://www.vgover.com/zh-tw/news/226267</x:v>
      </x:c>
    </x:row>
    <x:row r="230">
      <x:c r="A230" s="29" t="n">
        <x:v>227</x:v>
      </x:c>
      <x:c r="B230" s="29" t="str">
        <x:v>E6</x:v>
      </x:c>
      <x:c r="C230" s="29" t="str">
        <x:v>前沿科技</x:v>
      </x:c>
      <x:c r="D230" s="29" t="str">
        <x:v>ST103</x:v>
      </x:c>
      <x:c r="E230" s="29" t="str">
        <x:v>观道</x:v>
      </x:c>
      <x:c r="F230" s="30" t="str"/>
      <x:c r="G230" s="29" t="str">
        <x:v>智能硬件</x:v>
      </x:c>
      <x:c r="H230" s="29" t="n">
        <x:v>4</x:v>
      </x:c>
      <x:c r="I230" s="29" t="n">
        <x:v>5</x:v>
      </x:c>
      <x:c r="J230" s="29" t="n">
        <x:v>4</x:v>
      </x:c>
      <x:c r="K230" s="29" t="n">
        <x:v>2</x:v>
      </x:c>
      <x:c r="L230" s="31" t="n">
        <x:f>SUM(H230:K230)</x:f>
        <x:v>15</x:v>
      </x:c>
      <x:c r="M230" s="29" t="str">
        <x:f>IF(L230&gt;=16,"A-优先",IF(L230&gt;=12,"B-培育","C-观察"))</x:f>
        <x:v>B-培育</x:v>
      </x:c>
      <x:c r="N230" s="29" t="str">
        <x:v>邀请技术/团队落地；提供场景测试、政策申报、产业基金与园区载体</x:v>
      </x:c>
      <x:c r="O230" s="29" t="str"/>
      <x:c r="P230" s="30" t="str"/>
      <x:c r="Q230" s="30" t="str"/>
      <x:c r="R230" s="30" t="str"/>
      <x:c r="S230" s="30" t="str"/>
      <x:c r="T230" s="30" t="str">
        <x:v>建议检索：观道 官方 / 公众号 / 微博 / 小红书 / 视频号</x:v>
      </x:c>
      <x:c r="U230" s="30" t="str">
        <x:v>未联系</x:v>
      </x:c>
      <x:c r="V230" s="30" t="str"/>
      <x:c r="W230" s="29" t="str">
        <x:v>高</x:v>
      </x:c>
      <x:c r="X230" s="29" t="str">
        <x:v>https://www.vgover.com/zh-tw/news/226267</x:v>
      </x:c>
    </x:row>
    <x:row r="231">
      <x:c r="A231" s="29" t="n">
        <x:v>228</x:v>
      </x:c>
      <x:c r="B231" s="29" t="str">
        <x:v>E6</x:v>
      </x:c>
      <x:c r="C231" s="29" t="str">
        <x:v>前沿科技</x:v>
      </x:c>
      <x:c r="D231" s="29" t="str">
        <x:v>ST105</x:v>
      </x:c>
      <x:c r="E231" s="29" t="str">
        <x:v>猎与撞</x:v>
      </x:c>
      <x:c r="F231" s="30" t="str"/>
      <x:c r="G231" s="29" t="str">
        <x:v>智能硬件</x:v>
      </x:c>
      <x:c r="H231" s="29" t="n">
        <x:v>4</x:v>
      </x:c>
      <x:c r="I231" s="29" t="n">
        <x:v>5</x:v>
      </x:c>
      <x:c r="J231" s="29" t="n">
        <x:v>4</x:v>
      </x:c>
      <x:c r="K231" s="29" t="n">
        <x:v>2</x:v>
      </x:c>
      <x:c r="L231" s="31" t="n">
        <x:f>SUM(H231:K231)</x:f>
        <x:v>15</x:v>
      </x:c>
      <x:c r="M231" s="29" t="str">
        <x:f>IF(L231&gt;=16,"A-优先",IF(L231&gt;=12,"B-培育","C-观察"))</x:f>
        <x:v>B-培育</x:v>
      </x:c>
      <x:c r="N231" s="29" t="str">
        <x:v>邀请技术/团队落地；提供场景测试、政策申报、产业基金与园区载体</x:v>
      </x:c>
      <x:c r="O231" s="29" t="str">
        <x:v>展位图识别，待复核</x:v>
      </x:c>
      <x:c r="P231" s="30" t="str"/>
      <x:c r="Q231" s="30" t="str"/>
      <x:c r="R231" s="30" t="str"/>
      <x:c r="S231" s="30" t="str"/>
      <x:c r="T231" s="30" t="str">
        <x:v>建议检索：猎与撞 官方 / 公众号 / 微博 / 小红书 / 视频号</x:v>
      </x:c>
      <x:c r="U231" s="30" t="str">
        <x:v>未联系</x:v>
      </x:c>
      <x:c r="V231" s="30" t="str"/>
      <x:c r="W231" s="29" t="str">
        <x:v>中</x:v>
      </x:c>
      <x:c r="X231" s="29" t="str">
        <x:v>https://www.vgover.com/zh-tw/news/226267</x:v>
      </x:c>
    </x:row>
    <x:row r="232">
      <x:c r="A232" s="29" t="n">
        <x:v>229</x:v>
      </x:c>
      <x:c r="B232" s="29" t="str">
        <x:v>E6</x:v>
      </x:c>
      <x:c r="C232" s="29" t="str">
        <x:v>前沿科技</x:v>
      </x:c>
      <x:c r="D232" s="29" t="str">
        <x:v>ST202</x:v>
      </x:c>
      <x:c r="E232" s="29" t="str">
        <x:v>词元跳动</x:v>
      </x:c>
      <x:c r="F232" s="30" t="str"/>
      <x:c r="G232" s="29" t="str">
        <x:v>AI</x:v>
      </x:c>
      <x:c r="H232" s="29" t="n">
        <x:v>3</x:v>
      </x:c>
      <x:c r="I232" s="29" t="n">
        <x:v>5</x:v>
      </x:c>
      <x:c r="J232" s="29" t="n">
        <x:v>3</x:v>
      </x:c>
      <x:c r="K232" s="29" t="n">
        <x:v>2</x:v>
      </x:c>
      <x:c r="L232" s="31" t="n">
        <x:f>SUM(H232:K232)</x:f>
        <x:v>13</x:v>
      </x:c>
      <x:c r="M232" s="29" t="str">
        <x:f>IF(L232&gt;=16,"A-优先",IF(L232&gt;=12,"B-培育","C-观察"))</x:f>
        <x:v>B-培育</x:v>
      </x:c>
      <x:c r="N232" s="29" t="str">
        <x:v>邀请技术/团队落地；提供场景测试、政策申报、产业基金与园区载体</x:v>
      </x:c>
      <x:c r="O232" s="29" t="str"/>
      <x:c r="P232" s="30" t="str"/>
      <x:c r="Q232" s="30" t="str"/>
      <x:c r="R232" s="30" t="str"/>
      <x:c r="S232" s="30" t="str"/>
      <x:c r="T232" s="30" t="str">
        <x:v>建议检索：词元跳动 官方 / 公众号 / 微博 / 小红书 / 视频号</x:v>
      </x:c>
      <x:c r="U232" s="30" t="str">
        <x:v>未联系</x:v>
      </x:c>
      <x:c r="V232" s="30" t="str"/>
      <x:c r="W232" s="29" t="str">
        <x:v>高</x:v>
      </x:c>
      <x:c r="X232" s="29" t="str">
        <x:v>https://www.vgover.com/zh-tw/news/226267</x:v>
      </x:c>
    </x:row>
    <x:row r="233">
      <x:c r="A233" s="29" t="n">
        <x:v>230</x:v>
      </x:c>
      <x:c r="B233" s="29" t="str">
        <x:v>E6</x:v>
      </x:c>
      <x:c r="C233" s="29" t="str">
        <x:v>前沿科技</x:v>
      </x:c>
      <x:c r="D233" s="29" t="str">
        <x:v>ST203</x:v>
      </x:c>
      <x:c r="E233" s="29" t="str">
        <x:v>FUZOO芙崽</x:v>
      </x:c>
      <x:c r="F233" s="30" t="str"/>
      <x:c r="G233" s="29" t="str">
        <x:v>智能硬件/IP</x:v>
      </x:c>
      <x:c r="H233" s="29" t="n">
        <x:v>4</x:v>
      </x:c>
      <x:c r="I233" s="29" t="n">
        <x:v>5</x:v>
      </x:c>
      <x:c r="J233" s="29" t="n">
        <x:v>5</x:v>
      </x:c>
      <x:c r="K233" s="29" t="n">
        <x:v>2</x:v>
      </x:c>
      <x:c r="L233" s="31" t="n">
        <x:f>SUM(H233:K233)</x:f>
        <x:v>16</x:v>
      </x:c>
      <x:c r="M233" s="29" t="str">
        <x:f>IF(L233&gt;=16,"A-优先",IF(L233&gt;=12,"B-培育","C-观察"))</x:f>
        <x:v>A-优先</x:v>
      </x:c>
      <x:c r="N233" s="29" t="str">
        <x:v>邀请技术/团队落地；提供场景测试、政策申报、产业基金与园区载体</x:v>
      </x:c>
      <x:c r="O233" s="29" t="str"/>
      <x:c r="P233" s="30" t="str"/>
      <x:c r="Q233" s="30" t="str"/>
      <x:c r="R233" s="30" t="str"/>
      <x:c r="S233" s="30" t="str"/>
      <x:c r="T233" s="30" t="str">
        <x:v>建议检索：FUZOO芙崽 官方 / 公众号 / 微博 / 小红书 / 视频号</x:v>
      </x:c>
      <x:c r="U233" s="30" t="str">
        <x:v>未联系</x:v>
      </x:c>
      <x:c r="V233" s="30" t="str"/>
      <x:c r="W233" s="29" t="str">
        <x:v>高</x:v>
      </x:c>
      <x:c r="X233" s="29" t="str">
        <x:v>https://www.vgover.com/zh-tw/news/226267</x:v>
      </x:c>
    </x:row>
    <x:row r="234">
      <x:c r="A234" s="29" t="n">
        <x:v>231</x:v>
      </x:c>
      <x:c r="B234" s="29" t="str">
        <x:v>E6</x:v>
      </x:c>
      <x:c r="C234" s="29" t="str">
        <x:v>前沿科技</x:v>
      </x:c>
      <x:c r="D234" s="29" t="str">
        <x:v>ST205</x:v>
      </x:c>
      <x:c r="E234" s="29" t="str">
        <x:v>乐唯科技</x:v>
      </x:c>
      <x:c r="F234" s="30" t="str"/>
      <x:c r="G234" s="29" t="str">
        <x:v>智能硬件</x:v>
      </x:c>
      <x:c r="H234" s="29" t="n">
        <x:v>4</x:v>
      </x:c>
      <x:c r="I234" s="29" t="n">
        <x:v>5</x:v>
      </x:c>
      <x:c r="J234" s="29" t="n">
        <x:v>4</x:v>
      </x:c>
      <x:c r="K234" s="29" t="n">
        <x:v>2</x:v>
      </x:c>
      <x:c r="L234" s="31" t="n">
        <x:f>SUM(H234:K234)</x:f>
        <x:v>15</x:v>
      </x:c>
      <x:c r="M234" s="29" t="str">
        <x:f>IF(L234&gt;=16,"A-优先",IF(L234&gt;=12,"B-培育","C-观察"))</x:f>
        <x:v>B-培育</x:v>
      </x:c>
      <x:c r="N234" s="29" t="str">
        <x:v>邀请技术/团队落地；提供场景测试、政策申报、产业基金与园区载体</x:v>
      </x:c>
      <x:c r="O234" s="29" t="str"/>
      <x:c r="P234" s="30" t="str"/>
      <x:c r="Q234" s="30" t="str"/>
      <x:c r="R234" s="30" t="str"/>
      <x:c r="S234" s="30" t="str"/>
      <x:c r="T234" s="30" t="str">
        <x:v>建议检索：乐唯科技 官方 / 公众号 / 微博 / 小红书 / 视频号</x:v>
      </x:c>
      <x:c r="U234" s="30" t="str">
        <x:v>未联系</x:v>
      </x:c>
      <x:c r="V234" s="30" t="str"/>
      <x:c r="W234" s="29" t="str">
        <x:v>高</x:v>
      </x:c>
      <x:c r="X234" s="29" t="str">
        <x:v>https://www.vgover.com/zh-tw/news/226267</x:v>
      </x:c>
    </x:row>
    <x:row r="235">
      <x:c r="A235" s="29" t="n">
        <x:v>232</x:v>
      </x:c>
      <x:c r="B235" s="29" t="str">
        <x:v>E6</x:v>
      </x:c>
      <x:c r="C235" s="29" t="str">
        <x:v>前沿科技</x:v>
      </x:c>
      <x:c r="D235" s="29" t="str">
        <x:v>ST301</x:v>
      </x:c>
      <x:c r="E235" s="29" t="str">
        <x:v>酷奇奇科技</x:v>
      </x:c>
      <x:c r="F235" s="30" t="str"/>
      <x:c r="G235" s="29" t="str">
        <x:v>科技企业</x:v>
      </x:c>
      <x:c r="H235" s="29" t="n">
        <x:v>4</x:v>
      </x:c>
      <x:c r="I235" s="29" t="n">
        <x:v>5</x:v>
      </x:c>
      <x:c r="J235" s="29" t="n">
        <x:v>4</x:v>
      </x:c>
      <x:c r="K235" s="29" t="n">
        <x:v>2</x:v>
      </x:c>
      <x:c r="L235" s="31" t="n">
        <x:f>SUM(H235:K235)</x:f>
        <x:v>15</x:v>
      </x:c>
      <x:c r="M235" s="29" t="str">
        <x:f>IF(L235&gt;=16,"A-优先",IF(L235&gt;=12,"B-培育","C-观察"))</x:f>
        <x:v>B-培育</x:v>
      </x:c>
      <x:c r="N235" s="29" t="str">
        <x:v>邀请技术/团队落地；提供场景测试、政策申报、产业基金与园区载体</x:v>
      </x:c>
      <x:c r="O235" s="29" t="str"/>
      <x:c r="P235" s="30" t="str"/>
      <x:c r="Q235" s="30" t="str"/>
      <x:c r="R235" s="30" t="str"/>
      <x:c r="S235" s="30" t="str"/>
      <x:c r="T235" s="30" t="str">
        <x:v>建议检索：酷奇奇科技 官方 / 公众号 / 微博 / 小红书 / 视频号</x:v>
      </x:c>
      <x:c r="U235" s="30" t="str">
        <x:v>未联系</x:v>
      </x:c>
      <x:c r="V235" s="30" t="str"/>
      <x:c r="W235" s="29" t="str">
        <x:v>高</x:v>
      </x:c>
      <x:c r="X235" s="29" t="str">
        <x:v>https://www.vgover.com/zh-tw/news/226267</x:v>
      </x:c>
    </x:row>
    <x:row r="236">
      <x:c r="A236" s="29" t="n">
        <x:v>233</x:v>
      </x:c>
      <x:c r="B236" s="29" t="str">
        <x:v>E6</x:v>
      </x:c>
      <x:c r="C236" s="29" t="str">
        <x:v>前沿科技</x:v>
      </x:c>
      <x:c r="D236" s="29" t="str">
        <x:v>ST302</x:v>
      </x:c>
      <x:c r="E236" s="29" t="str">
        <x:v>酷奇奇科技</x:v>
      </x:c>
      <x:c r="F236" s="30" t="str"/>
      <x:c r="G236" s="29" t="str">
        <x:v>科技企业</x:v>
      </x:c>
      <x:c r="H236" s="29" t="n">
        <x:v>4</x:v>
      </x:c>
      <x:c r="I236" s="29" t="n">
        <x:v>5</x:v>
      </x:c>
      <x:c r="J236" s="29" t="n">
        <x:v>4</x:v>
      </x:c>
      <x:c r="K236" s="29" t="n">
        <x:v>2</x:v>
      </x:c>
      <x:c r="L236" s="31" t="n">
        <x:f>SUM(H236:K236)</x:f>
        <x:v>15</x:v>
      </x:c>
      <x:c r="M236" s="29" t="str">
        <x:f>IF(L236&gt;=16,"A-优先",IF(L236&gt;=12,"B-培育","C-观察"))</x:f>
        <x:v>B-培育</x:v>
      </x:c>
      <x:c r="N236" s="29" t="str">
        <x:v>邀请技术/团队落地；提供场景测试、政策申报、产业基金与园区载体</x:v>
      </x:c>
      <x:c r="O236" s="29" t="str"/>
      <x:c r="P236" s="30" t="str"/>
      <x:c r="Q236" s="30" t="str"/>
      <x:c r="R236" s="30" t="str"/>
      <x:c r="S236" s="30" t="str"/>
      <x:c r="T236" s="30" t="str">
        <x:v>建议检索：酷奇奇科技 官方 / 公众号 / 微博 / 小红书 / 视频号</x:v>
      </x:c>
      <x:c r="U236" s="30" t="str">
        <x:v>未联系</x:v>
      </x:c>
      <x:c r="V236" s="30" t="str"/>
      <x:c r="W236" s="29" t="str">
        <x:v>高</x:v>
      </x:c>
      <x:c r="X236" s="29" t="str">
        <x:v>https://www.vgover.com/zh-tw/news/226267</x:v>
      </x:c>
    </x:row>
    <x:row r="237">
      <x:c r="A237" s="29" t="n">
        <x:v>234</x:v>
      </x:c>
      <x:c r="B237" s="29" t="str">
        <x:v>E6</x:v>
      </x:c>
      <x:c r="C237" s="29" t="str">
        <x:v>前沿科技</x:v>
      </x:c>
      <x:c r="D237" s="29" t="str">
        <x:v>ST501</x:v>
      </x:c>
      <x:c r="E237" s="29" t="str">
        <x:v>实济科技</x:v>
      </x:c>
      <x:c r="F237" s="30" t="str"/>
      <x:c r="G237" s="29" t="str">
        <x:v>科技企业</x:v>
      </x:c>
      <x:c r="H237" s="29" t="n">
        <x:v>4</x:v>
      </x:c>
      <x:c r="I237" s="29" t="n">
        <x:v>5</x:v>
      </x:c>
      <x:c r="J237" s="29" t="n">
        <x:v>4</x:v>
      </x:c>
      <x:c r="K237" s="29" t="n">
        <x:v>2</x:v>
      </x:c>
      <x:c r="L237" s="31" t="n">
        <x:f>SUM(H237:K237)</x:f>
        <x:v>15</x:v>
      </x:c>
      <x:c r="M237" s="29" t="str">
        <x:f>IF(L237&gt;=16,"A-优先",IF(L237&gt;=12,"B-培育","C-观察"))</x:f>
        <x:v>B-培育</x:v>
      </x:c>
      <x:c r="N237" s="29" t="str">
        <x:v>邀请技术/团队落地；提供场景测试、政策申报、产业基金与园区载体</x:v>
      </x:c>
      <x:c r="O237" s="29" t="str"/>
      <x:c r="P237" s="30" t="str"/>
      <x:c r="Q237" s="30" t="str"/>
      <x:c r="R237" s="30" t="str"/>
      <x:c r="S237" s="30" t="str"/>
      <x:c r="T237" s="30" t="str">
        <x:v>建议检索：实济科技 官方 / 公众号 / 微博 / 小红书 / 视频号</x:v>
      </x:c>
      <x:c r="U237" s="30" t="str">
        <x:v>未联系</x:v>
      </x:c>
      <x:c r="V237" s="30" t="str"/>
      <x:c r="W237" s="29" t="str">
        <x:v>高</x:v>
      </x:c>
      <x:c r="X237" s="29" t="str">
        <x:v>https://www.vgover.com/zh-tw/news/226267</x:v>
      </x:c>
    </x:row>
    <x:row r="238">
      <x:c r="A238" s="29" t="n">
        <x:v>235</x:v>
      </x:c>
      <x:c r="B238" s="29" t="str">
        <x:v>E6</x:v>
      </x:c>
      <x:c r="C238" s="29" t="str">
        <x:v>前沿科技</x:v>
      </x:c>
      <x:c r="D238" s="29" t="str">
        <x:v>ST601</x:v>
      </x:c>
      <x:c r="E238" s="29" t="str">
        <x:v>Hyper3D Rodin</x:v>
      </x:c>
      <x:c r="F238" s="30" t="str"/>
      <x:c r="G238" s="29" t="str">
        <x:v>3D生成/AI</x:v>
      </x:c>
      <x:c r="H238" s="29" t="n">
        <x:v>3</x:v>
      </x:c>
      <x:c r="I238" s="29" t="n">
        <x:v>5</x:v>
      </x:c>
      <x:c r="J238" s="29" t="n">
        <x:v>3</x:v>
      </x:c>
      <x:c r="K238" s="29" t="n">
        <x:v>2</x:v>
      </x:c>
      <x:c r="L238" s="31" t="n">
        <x:f>SUM(H238:K238)</x:f>
        <x:v>13</x:v>
      </x:c>
      <x:c r="M238" s="29" t="str">
        <x:f>IF(L238&gt;=16,"A-优先",IF(L238&gt;=12,"B-培育","C-观察"))</x:f>
        <x:v>B-培育</x:v>
      </x:c>
      <x:c r="N238" s="29" t="str">
        <x:v>邀请技术/团队落地；提供场景测试、政策申报、产业基金与园区载体</x:v>
      </x:c>
      <x:c r="O238" s="29" t="str"/>
      <x:c r="P238" s="30" t="str"/>
      <x:c r="Q238" s="30" t="str"/>
      <x:c r="R238" s="30" t="str"/>
      <x:c r="S238" s="30" t="str"/>
      <x:c r="T238" s="30" t="str">
        <x:v>建议检索：Hyper3D Rodin 官方 / 公众号 / 微博 / 小红书 / 视频号</x:v>
      </x:c>
      <x:c r="U238" s="30" t="str">
        <x:v>未联系</x:v>
      </x:c>
      <x:c r="V238" s="30" t="str"/>
      <x:c r="W238" s="29" t="str">
        <x:v>高</x:v>
      </x:c>
      <x:c r="X238" s="29" t="str">
        <x:v>https://www.vgover.com/zh-tw/news/226267</x:v>
      </x:c>
    </x:row>
    <x:row r="239">
      <x:c r="A239" s="29" t="n">
        <x:v>236</x:v>
      </x:c>
      <x:c r="B239" s="29" t="str">
        <x:v>E6</x:v>
      </x:c>
      <x:c r="C239" s="29" t="str">
        <x:v>前沿科技</x:v>
      </x:c>
      <x:c r="D239" s="29" t="str">
        <x:v>ST602</x:v>
      </x:c>
      <x:c r="E239" s="29" t="str">
        <x:v>恒之未来</x:v>
      </x:c>
      <x:c r="F239" s="30" t="str"/>
      <x:c r="G239" s="29" t="str">
        <x:v>科技企业</x:v>
      </x:c>
      <x:c r="H239" s="29" t="n">
        <x:v>4</x:v>
      </x:c>
      <x:c r="I239" s="29" t="n">
        <x:v>5</x:v>
      </x:c>
      <x:c r="J239" s="29" t="n">
        <x:v>4</x:v>
      </x:c>
      <x:c r="K239" s="29" t="n">
        <x:v>2</x:v>
      </x:c>
      <x:c r="L239" s="31" t="n">
        <x:f>SUM(H239:K239)</x:f>
        <x:v>15</x:v>
      </x:c>
      <x:c r="M239" s="29" t="str">
        <x:f>IF(L239&gt;=16,"A-优先",IF(L239&gt;=12,"B-培育","C-观察"))</x:f>
        <x:v>B-培育</x:v>
      </x:c>
      <x:c r="N239" s="29" t="str">
        <x:v>邀请技术/团队落地；提供场景测试、政策申报、产业基金与园区载体</x:v>
      </x:c>
      <x:c r="O239" s="29" t="str"/>
      <x:c r="P239" s="30" t="str"/>
      <x:c r="Q239" s="30" t="str"/>
      <x:c r="R239" s="30" t="str"/>
      <x:c r="S239" s="30" t="str"/>
      <x:c r="T239" s="30" t="str">
        <x:v>建议检索：恒之未来 官方 / 公众号 / 微博 / 小红书 / 视频号</x:v>
      </x:c>
      <x:c r="U239" s="30" t="str">
        <x:v>未联系</x:v>
      </x:c>
      <x:c r="V239" s="30" t="str"/>
      <x:c r="W239" s="29" t="str">
        <x:v>高</x:v>
      </x:c>
      <x:c r="X239" s="29" t="str">
        <x:v>https://www.vgover.com/zh-tw/news/226267</x:v>
      </x:c>
    </x:row>
    <x:row r="240">
      <x:c r="A240" s="29" t="n">
        <x:v>237</x:v>
      </x:c>
      <x:c r="B240" s="29" t="str">
        <x:v>E6</x:v>
      </x:c>
      <x:c r="C240" s="29" t="str">
        <x:v>前沿科技</x:v>
      </x:c>
      <x:c r="D240" s="29" t="str">
        <x:v>ST603</x:v>
      </x:c>
      <x:c r="E240" s="29" t="str">
        <x:v>CJVIEW 辰景光电</x:v>
      </x:c>
      <x:c r="F240" s="30" t="str"/>
      <x:c r="G240" s="29" t="str">
        <x:v>裸眼3D</x:v>
      </x:c>
      <x:c r="H240" s="29" t="n">
        <x:v>3</x:v>
      </x:c>
      <x:c r="I240" s="29" t="n">
        <x:v>5</x:v>
      </x:c>
      <x:c r="J240" s="29" t="n">
        <x:v>3</x:v>
      </x:c>
      <x:c r="K240" s="29" t="n">
        <x:v>2</x:v>
      </x:c>
      <x:c r="L240" s="31" t="n">
        <x:f>SUM(H240:K240)</x:f>
        <x:v>13</x:v>
      </x:c>
      <x:c r="M240" s="29" t="str">
        <x:f>IF(L240&gt;=16,"A-优先",IF(L240&gt;=12,"B-培育","C-观察"))</x:f>
        <x:v>B-培育</x:v>
      </x:c>
      <x:c r="N240" s="29" t="str">
        <x:v>邀请技术/团队落地；提供场景测试、政策申报、产业基金与园区载体</x:v>
      </x:c>
      <x:c r="O240" s="29" t="str"/>
      <x:c r="P240" s="30" t="str"/>
      <x:c r="Q240" s="30" t="str"/>
      <x:c r="R240" s="30" t="str"/>
      <x:c r="S240" s="30" t="str"/>
      <x:c r="T240" s="30" t="str">
        <x:v>建议检索：CJVIEW 辰景光电 官方 / 公众号 / 微博 / 小红书 / 视频号</x:v>
      </x:c>
      <x:c r="U240" s="30" t="str">
        <x:v>未联系</x:v>
      </x:c>
      <x:c r="V240" s="30" t="str"/>
      <x:c r="W240" s="29" t="str">
        <x:v>高</x:v>
      </x:c>
      <x:c r="X240" s="29" t="str">
        <x:v>https://www.vgover.com/zh-tw/news/226267</x:v>
      </x:c>
    </x:row>
    <x:row r="241">
      <x:c r="A241" s="29" t="n">
        <x:v>238</x:v>
      </x:c>
      <x:c r="B241" s="29" t="str">
        <x:v>E6</x:v>
      </x:c>
      <x:c r="C241" s="29" t="str">
        <x:v>前沿科技</x:v>
      </x:c>
      <x:c r="D241" s="29" t="str">
        <x:v>ST606</x:v>
      </x:c>
      <x:c r="E241" s="29" t="str">
        <x:v>小球圈</x:v>
      </x:c>
      <x:c r="F241" s="30" t="str"/>
      <x:c r="G241" s="29" t="str">
        <x:v>科技/互动</x:v>
      </x:c>
      <x:c r="H241" s="29" t="n">
        <x:v>4</x:v>
      </x:c>
      <x:c r="I241" s="29" t="n">
        <x:v>5</x:v>
      </x:c>
      <x:c r="J241" s="29" t="n">
        <x:v>4</x:v>
      </x:c>
      <x:c r="K241" s="29" t="n">
        <x:v>2</x:v>
      </x:c>
      <x:c r="L241" s="31" t="n">
        <x:f>SUM(H241:K241)</x:f>
        <x:v>15</x:v>
      </x:c>
      <x:c r="M241" s="29" t="str">
        <x:f>IF(L241&gt;=16,"A-优先",IF(L241&gt;=12,"B-培育","C-观察"))</x:f>
        <x:v>B-培育</x:v>
      </x:c>
      <x:c r="N241" s="29" t="str">
        <x:v>邀请技术/团队落地；提供场景测试、政策申报、产业基金与园区载体</x:v>
      </x:c>
      <x:c r="O241" s="29" t="str"/>
      <x:c r="P241" s="30" t="str"/>
      <x:c r="Q241" s="30" t="str"/>
      <x:c r="R241" s="30" t="str"/>
      <x:c r="S241" s="30" t="str"/>
      <x:c r="T241" s="30" t="str">
        <x:v>建议检索：小球圈 官方 / 公众号 / 微博 / 小红书 / 视频号</x:v>
      </x:c>
      <x:c r="U241" s="30" t="str">
        <x:v>未联系</x:v>
      </x:c>
      <x:c r="V241" s="30" t="str"/>
      <x:c r="W241" s="29" t="str">
        <x:v>高</x:v>
      </x:c>
      <x:c r="X241" s="29" t="str">
        <x:v>https://www.vgover.com/zh-tw/news/226267</x:v>
      </x:c>
    </x:row>
    <x:row r="242">
      <x:c r="A242" s="29" t="n">
        <x:v>239</x:v>
      </x:c>
      <x:c r="B242" s="29" t="str">
        <x:v>E6</x:v>
      </x:c>
      <x:c r="C242" s="29" t="str">
        <x:v>前沿科技</x:v>
      </x:c>
      <x:c r="D242" s="29" t="str">
        <x:v>ST701</x:v>
      </x:c>
      <x:c r="E242" s="29" t="str">
        <x:v>谷语 Goobo</x:v>
      </x:c>
      <x:c r="F242" s="30" t="str"/>
      <x:c r="G242" s="29" t="str">
        <x:v>AI/机器人</x:v>
      </x:c>
      <x:c r="H242" s="29" t="n">
        <x:v>5</x:v>
      </x:c>
      <x:c r="I242" s="29" t="n">
        <x:v>5</x:v>
      </x:c>
      <x:c r="J242" s="29" t="n">
        <x:v>5</x:v>
      </x:c>
      <x:c r="K242" s="29" t="n">
        <x:v>2</x:v>
      </x:c>
      <x:c r="L242" s="31" t="n">
        <x:f>SUM(H242:K242)</x:f>
        <x:v>17</x:v>
      </x:c>
      <x:c r="M242" s="29" t="str">
        <x:f>IF(L242&gt;=16,"A-优先",IF(L242&gt;=12,"B-培育","C-观察"))</x:f>
        <x:v>A-优先</x:v>
      </x:c>
      <x:c r="N242" s="29" t="str">
        <x:v>邀请技术/团队落地；提供场景测试、政策申报、产业基金与园区载体</x:v>
      </x:c>
      <x:c r="O242" s="29" t="str"/>
      <x:c r="P242" s="30" t="str"/>
      <x:c r="Q242" s="30" t="str"/>
      <x:c r="R242" s="30" t="str"/>
      <x:c r="S242" s="30" t="str"/>
      <x:c r="T242" s="30" t="str">
        <x:v>建议检索：谷语 Goobo 官方 / 公众号 / 微博 / 小红书 / 视频号</x:v>
      </x:c>
      <x:c r="U242" s="30" t="str">
        <x:v>未联系</x:v>
      </x:c>
      <x:c r="V242" s="30" t="str"/>
      <x:c r="W242" s="29" t="str">
        <x:v>高</x:v>
      </x:c>
      <x:c r="X242" s="29" t="str">
        <x:v>https://www.vgover.com/zh-tw/news/226267</x:v>
      </x:c>
    </x:row>
    <x:row r="243">
      <x:c r="A243" s="29" t="n">
        <x:v>240</x:v>
      </x:c>
      <x:c r="B243" s="29" t="str">
        <x:v>E6</x:v>
      </x:c>
      <x:c r="C243" s="29" t="str">
        <x:v>前沿科技</x:v>
      </x:c>
      <x:c r="D243" s="29" t="str">
        <x:v>ST703</x:v>
      </x:c>
      <x:c r="E243" s="29" t="str">
        <x:v>万有引力</x:v>
      </x:c>
      <x:c r="F243" s="30" t="str"/>
      <x:c r="G243" s="29" t="str">
        <x:v>科技企业</x:v>
      </x:c>
      <x:c r="H243" s="29" t="n">
        <x:v>4</x:v>
      </x:c>
      <x:c r="I243" s="29" t="n">
        <x:v>5</x:v>
      </x:c>
      <x:c r="J243" s="29" t="n">
        <x:v>4</x:v>
      </x:c>
      <x:c r="K243" s="29" t="n">
        <x:v>2</x:v>
      </x:c>
      <x:c r="L243" s="31" t="n">
        <x:f>SUM(H243:K243)</x:f>
        <x:v>15</x:v>
      </x:c>
      <x:c r="M243" s="29" t="str">
        <x:f>IF(L243&gt;=16,"A-优先",IF(L243&gt;=12,"B-培育","C-观察"))</x:f>
        <x:v>B-培育</x:v>
      </x:c>
      <x:c r="N243" s="29" t="str">
        <x:v>邀请技术/团队落地；提供场景测试、政策申报、产业基金与园区载体</x:v>
      </x:c>
      <x:c r="O243" s="29" t="str"/>
      <x:c r="P243" s="30" t="str"/>
      <x:c r="Q243" s="30" t="str"/>
      <x:c r="R243" s="30" t="str"/>
      <x:c r="S243" s="30" t="str"/>
      <x:c r="T243" s="30" t="str">
        <x:v>建议检索：万有引力 官方 / 公众号 / 微博 / 小红书 / 视频号</x:v>
      </x:c>
      <x:c r="U243" s="30" t="str">
        <x:v>未联系</x:v>
      </x:c>
      <x:c r="V243" s="30" t="str"/>
      <x:c r="W243" s="29" t="str">
        <x:v>高</x:v>
      </x:c>
      <x:c r="X243" s="29" t="str">
        <x:v>https://www.vgover.com/zh-tw/news/226267</x:v>
      </x:c>
    </x:row>
    <x:row r="244">
      <x:c r="A244" s="29" t="n">
        <x:v>241</x:v>
      </x:c>
      <x:c r="B244" s="29" t="str">
        <x:v>E6</x:v>
      </x:c>
      <x:c r="C244" s="29" t="str">
        <x:v>前沿科技</x:v>
      </x:c>
      <x:c r="D244" s="29" t="str">
        <x:v>ST708</x:v>
      </x:c>
      <x:c r="E244" s="29" t="str">
        <x:v>VAST</x:v>
      </x:c>
      <x:c r="F244" s="30" t="str"/>
      <x:c r="G244" s="29" t="str">
        <x:v>科技企业</x:v>
      </x:c>
      <x:c r="H244" s="29" t="n">
        <x:v>4</x:v>
      </x:c>
      <x:c r="I244" s="29" t="n">
        <x:v>5</x:v>
      </x:c>
      <x:c r="J244" s="29" t="n">
        <x:v>4</x:v>
      </x:c>
      <x:c r="K244" s="29" t="n">
        <x:v>2</x:v>
      </x:c>
      <x:c r="L244" s="31" t="n">
        <x:f>SUM(H244:K244)</x:f>
        <x:v>15</x:v>
      </x:c>
      <x:c r="M244" s="29" t="str">
        <x:f>IF(L244&gt;=16,"A-优先",IF(L244&gt;=12,"B-培育","C-观察"))</x:f>
        <x:v>B-培育</x:v>
      </x:c>
      <x:c r="N244" s="29" t="str">
        <x:v>邀请技术/团队落地；提供场景测试、政策申报、产业基金与园区载体</x:v>
      </x:c>
      <x:c r="O244" s="29" t="str"/>
      <x:c r="P244" s="30" t="str"/>
      <x:c r="Q244" s="30" t="str"/>
      <x:c r="R244" s="30" t="str"/>
      <x:c r="S244" s="30" t="str"/>
      <x:c r="T244" s="30" t="str">
        <x:v>建议检索：VAST 官方 / 公众号 / 微博 / 小红书 / 视频号</x:v>
      </x:c>
      <x:c r="U244" s="30" t="str">
        <x:v>未联系</x:v>
      </x:c>
      <x:c r="V244" s="30" t="str"/>
      <x:c r="W244" s="29" t="str">
        <x:v>高</x:v>
      </x:c>
      <x:c r="X244" s="29" t="str">
        <x:v>https://www.vgover.com/zh-tw/news/226267</x:v>
      </x:c>
    </x:row>
    <x:row r="245">
      <x:c r="A245" s="29" t="n">
        <x:v>242</x:v>
      </x:c>
      <x:c r="B245" s="29" t="str">
        <x:v>E6</x:v>
      </x:c>
      <x:c r="C245" s="29" t="str">
        <x:v>极致装备</x:v>
      </x:c>
      <x:c r="D245" s="29" t="str">
        <x:v>EDC-01</x:v>
      </x:c>
      <x:c r="E245" s="29" t="str">
        <x:v>AULUMU 奥鲁姆</x:v>
      </x:c>
      <x:c r="F245" s="30" t="str"/>
      <x:c r="G245" s="29" t="str">
        <x:v>EDC装备</x:v>
      </x:c>
      <x:c r="H245" s="29" t="n">
        <x:v>3</x:v>
      </x:c>
      <x:c r="I245" s="29" t="n">
        <x:v>3</x:v>
      </x:c>
      <x:c r="J245" s="29" t="n">
        <x:v>3</x:v>
      </x:c>
      <x:c r="K245" s="29" t="n">
        <x:v>2</x:v>
      </x:c>
      <x:c r="L245" s="31" t="n">
        <x:f>SUM(H245:K245)</x:f>
        <x:v>11</x:v>
      </x:c>
      <x:c r="M245" s="29" t="str">
        <x:f>IF(L245&gt;=16,"A-优先",IF(L245&gt;=12,"B-培育","C-观察"))</x:f>
        <x:v>C-观察</x:v>
      </x:c>
      <x:c r="N245" s="29" t="str">
        <x:v>精品零售、会员经济、设计师联名与文创渠道</x:v>
      </x:c>
      <x:c r="O245" s="29" t="str"/>
      <x:c r="P245" s="30" t="str"/>
      <x:c r="Q245" s="30" t="str"/>
      <x:c r="R245" s="30" t="str"/>
      <x:c r="S245" s="30" t="str"/>
      <x:c r="T245" s="30" t="str">
        <x:v>建议检索：AULUMU 奥鲁姆 官方 / 公众号 / 微博 / 小红书 / 视频号</x:v>
      </x:c>
      <x:c r="U245" s="30" t="str">
        <x:v>未联系</x:v>
      </x:c>
      <x:c r="V245" s="30" t="str"/>
      <x:c r="W245" s="29" t="str">
        <x:v>高</x:v>
      </x:c>
      <x:c r="X245" s="29" t="str">
        <x:v>https://www.vgover.com/zh-tw/news/226267</x:v>
      </x:c>
    </x:row>
    <x:row r="246">
      <x:c r="A246" s="29" t="n">
        <x:v>243</x:v>
      </x:c>
      <x:c r="B246" s="29" t="str">
        <x:v>E6</x:v>
      </x:c>
      <x:c r="C246" s="29" t="str">
        <x:v>极致装备</x:v>
      </x:c>
      <x:c r="D246" s="29" t="str">
        <x:v>EDC-03</x:v>
      </x:c>
      <x:c r="E246" s="29" t="str">
        <x:v>小芒EDC</x:v>
      </x:c>
      <x:c r="F246" s="30" t="str"/>
      <x:c r="G246" s="29" t="str">
        <x:v>EDC装备</x:v>
      </x:c>
      <x:c r="H246" s="29" t="n">
        <x:v>3</x:v>
      </x:c>
      <x:c r="I246" s="29" t="n">
        <x:v>3</x:v>
      </x:c>
      <x:c r="J246" s="29" t="n">
        <x:v>3</x:v>
      </x:c>
      <x:c r="K246" s="29" t="n">
        <x:v>2</x:v>
      </x:c>
      <x:c r="L246" s="31" t="n">
        <x:f>SUM(H246:K246)</x:f>
        <x:v>11</x:v>
      </x:c>
      <x:c r="M246" s="29" t="str">
        <x:f>IF(L246&gt;=16,"A-优先",IF(L246&gt;=12,"B-培育","C-观察"))</x:f>
        <x:v>C-观察</x:v>
      </x:c>
      <x:c r="N246" s="29" t="str">
        <x:v>精品零售、会员经济、设计师联名与文创渠道</x:v>
      </x:c>
      <x:c r="O246" s="29" t="str"/>
      <x:c r="P246" s="30" t="str"/>
      <x:c r="Q246" s="30" t="str"/>
      <x:c r="R246" s="30" t="str"/>
      <x:c r="S246" s="30" t="str"/>
      <x:c r="T246" s="30" t="str">
        <x:v>建议检索：小芒EDC 官方 / 公众号 / 微博 / 小红书 / 视频号</x:v>
      </x:c>
      <x:c r="U246" s="30" t="str">
        <x:v>未联系</x:v>
      </x:c>
      <x:c r="V246" s="30" t="str"/>
      <x:c r="W246" s="29" t="str">
        <x:v>高</x:v>
      </x:c>
      <x:c r="X246" s="29" t="str">
        <x:v>https://www.vgover.com/zh-tw/news/226267</x:v>
      </x:c>
    </x:row>
    <x:row r="247">
      <x:c r="A247" s="29" t="n">
        <x:v>244</x:v>
      </x:c>
      <x:c r="B247" s="29" t="str">
        <x:v>E6</x:v>
      </x:c>
      <x:c r="C247" s="29" t="str">
        <x:v>极致装备</x:v>
      </x:c>
      <x:c r="D247" s="29" t="str">
        <x:v>EDC-05</x:v>
      </x:c>
      <x:c r="E247" s="29" t="str">
        <x:v>KADA EDC</x:v>
      </x:c>
      <x:c r="F247" s="30" t="str"/>
      <x:c r="G247" s="29" t="str">
        <x:v>EDC装备</x:v>
      </x:c>
      <x:c r="H247" s="29" t="n">
        <x:v>3</x:v>
      </x:c>
      <x:c r="I247" s="29" t="n">
        <x:v>3</x:v>
      </x:c>
      <x:c r="J247" s="29" t="n">
        <x:v>3</x:v>
      </x:c>
      <x:c r="K247" s="29" t="n">
        <x:v>2</x:v>
      </x:c>
      <x:c r="L247" s="31" t="n">
        <x:f>SUM(H247:K247)</x:f>
        <x:v>11</x:v>
      </x:c>
      <x:c r="M247" s="29" t="str">
        <x:f>IF(L247&gt;=16,"A-优先",IF(L247&gt;=12,"B-培育","C-观察"))</x:f>
        <x:v>C-观察</x:v>
      </x:c>
      <x:c r="N247" s="29" t="str">
        <x:v>精品零售、会员经济、设计师联名与文创渠道</x:v>
      </x:c>
      <x:c r="O247" s="29" t="str"/>
      <x:c r="P247" s="30" t="str"/>
      <x:c r="Q247" s="30" t="str"/>
      <x:c r="R247" s="30" t="str"/>
      <x:c r="S247" s="30" t="str"/>
      <x:c r="T247" s="30" t="str">
        <x:v>建议检索：KADA EDC 官方 / 公众号 / 微博 / 小红书 / 视频号</x:v>
      </x:c>
      <x:c r="U247" s="30" t="str">
        <x:v>未联系</x:v>
      </x:c>
      <x:c r="V247" s="30" t="str"/>
      <x:c r="W247" s="29" t="str">
        <x:v>高</x:v>
      </x:c>
      <x:c r="X247" s="29" t="str">
        <x:v>https://www.vgover.com/zh-tw/news/226267</x:v>
      </x:c>
    </x:row>
    <x:row r="248">
      <x:c r="A248" s="29" t="n">
        <x:v>245</x:v>
      </x:c>
      <x:c r="B248" s="29" t="str">
        <x:v>E6</x:v>
      </x:c>
      <x:c r="C248" s="29" t="str">
        <x:v>极致装备</x:v>
      </x:c>
      <x:c r="D248" s="29" t="str">
        <x:v>EDC-06</x:v>
      </x:c>
      <x:c r="E248" s="29" t="str">
        <x:v>推乐 Twila</x:v>
      </x:c>
      <x:c r="F248" s="30" t="str"/>
      <x:c r="G248" s="29" t="str">
        <x:v>EDC装备</x:v>
      </x:c>
      <x:c r="H248" s="29" t="n">
        <x:v>3</x:v>
      </x:c>
      <x:c r="I248" s="29" t="n">
        <x:v>3</x:v>
      </x:c>
      <x:c r="J248" s="29" t="n">
        <x:v>3</x:v>
      </x:c>
      <x:c r="K248" s="29" t="n">
        <x:v>2</x:v>
      </x:c>
      <x:c r="L248" s="31" t="n">
        <x:f>SUM(H248:K248)</x:f>
        <x:v>11</x:v>
      </x:c>
      <x:c r="M248" s="29" t="str">
        <x:f>IF(L248&gt;=16,"A-优先",IF(L248&gt;=12,"B-培育","C-观察"))</x:f>
        <x:v>C-观察</x:v>
      </x:c>
      <x:c r="N248" s="29" t="str">
        <x:v>精品零售、会员经济、设计师联名与文创渠道</x:v>
      </x:c>
      <x:c r="O248" s="29" t="str"/>
      <x:c r="P248" s="30" t="str"/>
      <x:c r="Q248" s="30" t="str"/>
      <x:c r="R248" s="30" t="str"/>
      <x:c r="S248" s="30" t="str"/>
      <x:c r="T248" s="30" t="str">
        <x:v>建议检索：推乐 Twila 官方 / 公众号 / 微博 / 小红书 / 视频号</x:v>
      </x:c>
      <x:c r="U248" s="30" t="str">
        <x:v>未联系</x:v>
      </x:c>
      <x:c r="V248" s="30" t="str"/>
      <x:c r="W248" s="29" t="str">
        <x:v>高</x:v>
      </x:c>
      <x:c r="X248" s="29" t="str">
        <x:v>https://www.vgover.com/zh-tw/news/226267</x:v>
      </x:c>
    </x:row>
    <x:row r="249">
      <x:c r="A249" s="29" t="n">
        <x:v>246</x:v>
      </x:c>
      <x:c r="B249" s="29" t="str">
        <x:v>E6</x:v>
      </x:c>
      <x:c r="C249" s="29" t="str">
        <x:v>极致装备</x:v>
      </x:c>
      <x:c r="D249" s="29" t="str">
        <x:v>EDC-07</x:v>
      </x:c>
      <x:c r="E249" s="29" t="str">
        <x:v>BPMODS EDC</x:v>
      </x:c>
      <x:c r="F249" s="30" t="str"/>
      <x:c r="G249" s="29" t="str">
        <x:v>EDC装备</x:v>
      </x:c>
      <x:c r="H249" s="29" t="n">
        <x:v>3</x:v>
      </x:c>
      <x:c r="I249" s="29" t="n">
        <x:v>3</x:v>
      </x:c>
      <x:c r="J249" s="29" t="n">
        <x:v>3</x:v>
      </x:c>
      <x:c r="K249" s="29" t="n">
        <x:v>2</x:v>
      </x:c>
      <x:c r="L249" s="31" t="n">
        <x:f>SUM(H249:K249)</x:f>
        <x:v>11</x:v>
      </x:c>
      <x:c r="M249" s="29" t="str">
        <x:f>IF(L249&gt;=16,"A-优先",IF(L249&gt;=12,"B-培育","C-观察"))</x:f>
        <x:v>C-观察</x:v>
      </x:c>
      <x:c r="N249" s="29" t="str">
        <x:v>精品零售、会员经济、设计师联名与文创渠道</x:v>
      </x:c>
      <x:c r="O249" s="29" t="str"/>
      <x:c r="P249" s="30" t="str"/>
      <x:c r="Q249" s="30" t="str"/>
      <x:c r="R249" s="30" t="str"/>
      <x:c r="S249" s="30" t="str"/>
      <x:c r="T249" s="30" t="str">
        <x:v>建议检索：BPMODS EDC 官方 / 公众号 / 微博 / 小红书 / 视频号</x:v>
      </x:c>
      <x:c r="U249" s="30" t="str">
        <x:v>未联系</x:v>
      </x:c>
      <x:c r="V249" s="30" t="str"/>
      <x:c r="W249" s="29" t="str">
        <x:v>高</x:v>
      </x:c>
      <x:c r="X249" s="29" t="str">
        <x:v>https://www.vgover.com/zh-tw/news/226267</x:v>
      </x:c>
    </x:row>
    <x:row r="250">
      <x:c r="A250" s="29" t="n">
        <x:v>247</x:v>
      </x:c>
      <x:c r="B250" s="29" t="str">
        <x:v>E6</x:v>
      </x:c>
      <x:c r="C250" s="29" t="str">
        <x:v>极致装备</x:v>
      </x:c>
      <x:c r="D250" s="29" t="str">
        <x:v>EDC-08</x:v>
      </x:c>
      <x:c r="E250" s="29" t="str">
        <x:v>AIGO国民好物</x:v>
      </x:c>
      <x:c r="F250" s="30" t="str"/>
      <x:c r="G250" s="29" t="str">
        <x:v>EDC装备</x:v>
      </x:c>
      <x:c r="H250" s="29" t="n">
        <x:v>3</x:v>
      </x:c>
      <x:c r="I250" s="29" t="n">
        <x:v>3</x:v>
      </x:c>
      <x:c r="J250" s="29" t="n">
        <x:v>3</x:v>
      </x:c>
      <x:c r="K250" s="29" t="n">
        <x:v>2</x:v>
      </x:c>
      <x:c r="L250" s="31" t="n">
        <x:f>SUM(H250:K250)</x:f>
        <x:v>11</x:v>
      </x:c>
      <x:c r="M250" s="29" t="str">
        <x:f>IF(L250&gt;=16,"A-优先",IF(L250&gt;=12,"B-培育","C-观察"))</x:f>
        <x:v>C-观察</x:v>
      </x:c>
      <x:c r="N250" s="29" t="str">
        <x:v>精品零售、会员经济、设计师联名与文创渠道</x:v>
      </x:c>
      <x:c r="O250" s="29" t="str"/>
      <x:c r="P250" s="30" t="str"/>
      <x:c r="Q250" s="30" t="str"/>
      <x:c r="R250" s="30" t="str"/>
      <x:c r="S250" s="30" t="str"/>
      <x:c r="T250" s="30" t="str">
        <x:v>建议检索：AIGO国民好物 官方 / 公众号 / 微博 / 小红书 / 视频号</x:v>
      </x:c>
      <x:c r="U250" s="30" t="str">
        <x:v>未联系</x:v>
      </x:c>
      <x:c r="V250" s="30" t="str"/>
      <x:c r="W250" s="29" t="str">
        <x:v>高</x:v>
      </x:c>
      <x:c r="X250" s="29" t="str">
        <x:v>https://www.vgover.com/zh-tw/news/226267</x:v>
      </x:c>
    </x:row>
    <x:row r="251">
      <x:c r="A251" s="29" t="n">
        <x:v>248</x:v>
      </x:c>
      <x:c r="B251" s="29" t="str">
        <x:v>E6</x:v>
      </x:c>
      <x:c r="C251" s="29" t="str">
        <x:v>极致装备</x:v>
      </x:c>
      <x:c r="D251" s="29" t="str">
        <x:v>EDC-09</x:v>
      </x:c>
      <x:c r="E251" s="29" t="str">
        <x:v>轻度沸腾</x:v>
      </x:c>
      <x:c r="F251" s="30" t="str"/>
      <x:c r="G251" s="29" t="str">
        <x:v>EDC装备</x:v>
      </x:c>
      <x:c r="H251" s="29" t="n">
        <x:v>3</x:v>
      </x:c>
      <x:c r="I251" s="29" t="n">
        <x:v>3</x:v>
      </x:c>
      <x:c r="J251" s="29" t="n">
        <x:v>3</x:v>
      </x:c>
      <x:c r="K251" s="29" t="n">
        <x:v>2</x:v>
      </x:c>
      <x:c r="L251" s="31" t="n">
        <x:f>SUM(H251:K251)</x:f>
        <x:v>11</x:v>
      </x:c>
      <x:c r="M251" s="29" t="str">
        <x:f>IF(L251&gt;=16,"A-优先",IF(L251&gt;=12,"B-培育","C-观察"))</x:f>
        <x:v>C-观察</x:v>
      </x:c>
      <x:c r="N251" s="29" t="str">
        <x:v>精品零售、会员经济、设计师联名与文创渠道</x:v>
      </x:c>
      <x:c r="O251" s="29" t="str"/>
      <x:c r="P251" s="30" t="str"/>
      <x:c r="Q251" s="30" t="str"/>
      <x:c r="R251" s="30" t="str"/>
      <x:c r="S251" s="30" t="str"/>
      <x:c r="T251" s="30" t="str">
        <x:v>建议检索：轻度沸腾 官方 / 公众号 / 微博 / 小红书 / 视频号</x:v>
      </x:c>
      <x:c r="U251" s="30" t="str">
        <x:v>未联系</x:v>
      </x:c>
      <x:c r="V251" s="30" t="str"/>
      <x:c r="W251" s="29" t="str">
        <x:v>高</x:v>
      </x:c>
      <x:c r="X251" s="29" t="str">
        <x:v>https://www.vgover.com/zh-tw/news/226267</x:v>
      </x:c>
    </x:row>
    <x:row r="252">
      <x:c r="A252" s="29" t="n">
        <x:v>249</x:v>
      </x:c>
      <x:c r="B252" s="29" t="str">
        <x:v>E6</x:v>
      </x:c>
      <x:c r="C252" s="29" t="str">
        <x:v>极致装备</x:v>
      </x:c>
      <x:c r="D252" s="29" t="str">
        <x:v>EDC-11</x:v>
      </x:c>
      <x:c r="E252" s="29" t="str">
        <x:v>OUROPROXY 欧核</x:v>
      </x:c>
      <x:c r="F252" s="30" t="str"/>
      <x:c r="G252" s="29" t="str">
        <x:v>EDC装备</x:v>
      </x:c>
      <x:c r="H252" s="29" t="n">
        <x:v>3</x:v>
      </x:c>
      <x:c r="I252" s="29" t="n">
        <x:v>3</x:v>
      </x:c>
      <x:c r="J252" s="29" t="n">
        <x:v>3</x:v>
      </x:c>
      <x:c r="K252" s="29" t="n">
        <x:v>2</x:v>
      </x:c>
      <x:c r="L252" s="31" t="n">
        <x:f>SUM(H252:K252)</x:f>
        <x:v>11</x:v>
      </x:c>
      <x:c r="M252" s="29" t="str">
        <x:f>IF(L252&gt;=16,"A-优先",IF(L252&gt;=12,"B-培育","C-观察"))</x:f>
        <x:v>C-观察</x:v>
      </x:c>
      <x:c r="N252" s="29" t="str">
        <x:v>精品零售、会员经济、设计师联名与文创渠道</x:v>
      </x:c>
      <x:c r="O252" s="29" t="str"/>
      <x:c r="P252" s="30" t="str"/>
      <x:c r="Q252" s="30" t="str"/>
      <x:c r="R252" s="30" t="str"/>
      <x:c r="S252" s="30" t="str"/>
      <x:c r="T252" s="30" t="str">
        <x:v>建议检索：OUROPROXY 欧核 官方 / 公众号 / 微博 / 小红书 / 视频号</x:v>
      </x:c>
      <x:c r="U252" s="30" t="str">
        <x:v>未联系</x:v>
      </x:c>
      <x:c r="V252" s="30" t="str"/>
      <x:c r="W252" s="29" t="str">
        <x:v>高</x:v>
      </x:c>
      <x:c r="X252" s="29" t="str">
        <x:v>https://www.vgover.com/zh-tw/news/226267</x:v>
      </x:c>
    </x:row>
    <x:row r="253">
      <x:c r="A253" s="29" t="n">
        <x:v>250</x:v>
      </x:c>
      <x:c r="B253" s="29" t="str">
        <x:v>E6</x:v>
      </x:c>
      <x:c r="C253" s="29" t="str">
        <x:v>发烧硬件</x:v>
      </x:c>
      <x:c r="D253" s="29" t="str">
        <x:v>E090</x:v>
      </x:c>
      <x:c r="E253" s="29" t="str">
        <x:v>amaran 艾蒙拉</x:v>
      </x:c>
      <x:c r="F253" s="30" t="str"/>
      <x:c r="G253" s="29" t="str">
        <x:v>影视灯光</x:v>
      </x:c>
      <x:c r="H253" s="29" t="n">
        <x:v>3</x:v>
      </x:c>
      <x:c r="I253" s="29" t="n">
        <x:v>5</x:v>
      </x:c>
      <x:c r="J253" s="29" t="n">
        <x:v>3</x:v>
      </x:c>
      <x:c r="K253" s="29" t="n">
        <x:v>2</x:v>
      </x:c>
      <x:c r="L253" s="31" t="n">
        <x:f>SUM(H253:K253)</x:f>
        <x:v>13</x:v>
      </x:c>
      <x:c r="M253" s="29" t="str">
        <x:f>IF(L253&gt;=16,"A-优先",IF(L253&gt;=12,"B-培育","C-观察"))</x:f>
        <x:v>B-培育</x:v>
      </x:c>
      <x:c r="N253" s="29" t="str">
        <x:v>电竞空间、首店首发、渠道总部、供应链与制造项目</x:v>
      </x:c>
      <x:c r="O253" s="29" t="str"/>
      <x:c r="P253" s="30" t="str"/>
      <x:c r="Q253" s="30" t="str"/>
      <x:c r="R253" s="30" t="str"/>
      <x:c r="S253" s="30" t="str"/>
      <x:c r="T253" s="30" t="str">
        <x:v>建议检索：amaran 艾蒙拉 官方 / 公众号 / 微博 / 小红书 / 视频号</x:v>
      </x:c>
      <x:c r="U253" s="30" t="str">
        <x:v>未联系</x:v>
      </x:c>
      <x:c r="V253" s="30" t="str"/>
      <x:c r="W253" s="29" t="str">
        <x:v>高</x:v>
      </x:c>
      <x:c r="X253" s="29" t="str">
        <x:v>https://www.vgover.com/zh-tw/news/226267</x:v>
      </x:c>
    </x:row>
    <x:row r="254">
      <x:c r="A254" s="29" t="n">
        <x:v>251</x:v>
      </x:c>
      <x:c r="B254" s="29" t="str">
        <x:v>E6</x:v>
      </x:c>
      <x:c r="C254" s="29" t="str">
        <x:v>发烧硬件</x:v>
      </x:c>
      <x:c r="D254" s="29" t="str">
        <x:v>E092</x:v>
      </x:c>
      <x:c r="E254" s="29" t="str">
        <x:v>扬仕</x:v>
      </x:c>
      <x:c r="F254" s="30" t="str"/>
      <x:c r="G254" s="29" t="str">
        <x:v>数码硬件</x:v>
      </x:c>
      <x:c r="H254" s="29" t="n">
        <x:v>4</x:v>
      </x:c>
      <x:c r="I254" s="29" t="n">
        <x:v>5</x:v>
      </x:c>
      <x:c r="J254" s="29" t="n">
        <x:v>4</x:v>
      </x:c>
      <x:c r="K254" s="29" t="n">
        <x:v>2</x:v>
      </x:c>
      <x:c r="L254" s="31" t="n">
        <x:f>SUM(H254:K254)</x:f>
        <x:v>15</x:v>
      </x:c>
      <x:c r="M254" s="29" t="str">
        <x:f>IF(L254&gt;=16,"A-优先",IF(L254&gt;=12,"B-培育","C-观察"))</x:f>
        <x:v>B-培育</x:v>
      </x:c>
      <x:c r="N254" s="29" t="str">
        <x:v>电竞空间、首店首发、渠道总部、供应链与制造项目</x:v>
      </x:c>
      <x:c r="O254" s="29" t="str"/>
      <x:c r="P254" s="30" t="str"/>
      <x:c r="Q254" s="30" t="str"/>
      <x:c r="R254" s="30" t="str"/>
      <x:c r="S254" s="30" t="str"/>
      <x:c r="T254" s="30" t="str">
        <x:v>建议检索：扬仕 官方 / 公众号 / 微博 / 小红书 / 视频号</x:v>
      </x:c>
      <x:c r="U254" s="30" t="str">
        <x:v>未联系</x:v>
      </x:c>
      <x:c r="V254" s="30" t="str"/>
      <x:c r="W254" s="29" t="str">
        <x:v>高</x:v>
      </x:c>
      <x:c r="X254" s="29" t="str">
        <x:v>https://www.vgover.com/zh-tw/news/226267</x:v>
      </x:c>
    </x:row>
    <x:row r="255">
      <x:c r="A255" s="29" t="n">
        <x:v>252</x:v>
      </x:c>
      <x:c r="B255" s="29" t="str">
        <x:v>E6</x:v>
      </x:c>
      <x:c r="C255" s="29" t="str">
        <x:v>发烧硬件</x:v>
      </x:c>
      <x:c r="D255" s="29" t="str">
        <x:v>E093</x:v>
      </x:c>
      <x:c r="E255" s="29" t="str">
        <x:v>英倍科技</x:v>
      </x:c>
      <x:c r="F255" s="30" t="str"/>
      <x:c r="G255" s="29" t="str">
        <x:v>数码硬件</x:v>
      </x:c>
      <x:c r="H255" s="29" t="n">
        <x:v>4</x:v>
      </x:c>
      <x:c r="I255" s="29" t="n">
        <x:v>5</x:v>
      </x:c>
      <x:c r="J255" s="29" t="n">
        <x:v>4</x:v>
      </x:c>
      <x:c r="K255" s="29" t="n">
        <x:v>2</x:v>
      </x:c>
      <x:c r="L255" s="31" t="n">
        <x:f>SUM(H255:K255)</x:f>
        <x:v>15</x:v>
      </x:c>
      <x:c r="M255" s="29" t="str">
        <x:f>IF(L255&gt;=16,"A-优先",IF(L255&gt;=12,"B-培育","C-观察"))</x:f>
        <x:v>B-培育</x:v>
      </x:c>
      <x:c r="N255" s="29" t="str">
        <x:v>电竞空间、首店首发、渠道总部、供应链与制造项目</x:v>
      </x:c>
      <x:c r="O255" s="29" t="str"/>
      <x:c r="P255" s="30" t="str"/>
      <x:c r="Q255" s="30" t="str"/>
      <x:c r="R255" s="30" t="str"/>
      <x:c r="S255" s="30" t="str"/>
      <x:c r="T255" s="30" t="str">
        <x:v>建议检索：英倍科技 官方 / 公众号 / 微博 / 小红书 / 视频号</x:v>
      </x:c>
      <x:c r="U255" s="30" t="str">
        <x:v>未联系</x:v>
      </x:c>
      <x:c r="V255" s="30" t="str"/>
      <x:c r="W255" s="29" t="str">
        <x:v>高</x:v>
      </x:c>
      <x:c r="X255" s="29" t="str">
        <x:v>https://www.vgover.com/zh-tw/news/226267</x:v>
      </x:c>
    </x:row>
    <x:row r="256">
      <x:c r="A256" s="29" t="n">
        <x:v>253</x:v>
      </x:c>
      <x:c r="B256" s="29" t="str">
        <x:v>E6</x:v>
      </x:c>
      <x:c r="C256" s="29" t="str">
        <x:v>发烧硬件</x:v>
      </x:c>
      <x:c r="D256" s="29" t="str">
        <x:v>E096</x:v>
      </x:c>
      <x:c r="E256" s="29" t="str">
        <x:v>HiBy 海贝音乐</x:v>
      </x:c>
      <x:c r="F256" s="30" t="str"/>
      <x:c r="G256" s="29" t="str">
        <x:v>音频</x:v>
      </x:c>
      <x:c r="H256" s="29" t="n">
        <x:v>3</x:v>
      </x:c>
      <x:c r="I256" s="29" t="n">
        <x:v>5</x:v>
      </x:c>
      <x:c r="J256" s="29" t="n">
        <x:v>3</x:v>
      </x:c>
      <x:c r="K256" s="29" t="n">
        <x:v>2</x:v>
      </x:c>
      <x:c r="L256" s="31" t="n">
        <x:f>SUM(H256:K256)</x:f>
        <x:v>13</x:v>
      </x:c>
      <x:c r="M256" s="29" t="str">
        <x:f>IF(L256&gt;=16,"A-优先",IF(L256&gt;=12,"B-培育","C-观察"))</x:f>
        <x:v>B-培育</x:v>
      </x:c>
      <x:c r="N256" s="29" t="str">
        <x:v>电竞空间、首店首发、渠道总部、供应链与制造项目</x:v>
      </x:c>
      <x:c r="O256" s="29" t="str"/>
      <x:c r="P256" s="30" t="str"/>
      <x:c r="Q256" s="30" t="str"/>
      <x:c r="R256" s="30" t="str"/>
      <x:c r="S256" s="30" t="str"/>
      <x:c r="T256" s="30" t="str">
        <x:v>建议检索：HiBy 海贝音乐 官方 / 公众号 / 微博 / 小红书 / 视频号</x:v>
      </x:c>
      <x:c r="U256" s="30" t="str">
        <x:v>未联系</x:v>
      </x:c>
      <x:c r="V256" s="30" t="str"/>
      <x:c r="W256" s="29" t="str">
        <x:v>高</x:v>
      </x:c>
      <x:c r="X256" s="29" t="str">
        <x:v>https://www.vgover.com/zh-tw/news/226267</x:v>
      </x:c>
    </x:row>
    <x:row r="257">
      <x:c r="A257" s="29" t="n">
        <x:v>254</x:v>
      </x:c>
      <x:c r="B257" s="29" t="str">
        <x:v>E6</x:v>
      </x:c>
      <x:c r="C257" s="29" t="str">
        <x:v>发烧硬件</x:v>
      </x:c>
      <x:c r="D257" s="29" t="str">
        <x:v>E190</x:v>
      </x:c>
      <x:c r="E257" s="29" t="str">
        <x:v>TANCHJIM 天使吉米</x:v>
      </x:c>
      <x:c r="F257" s="30" t="str"/>
      <x:c r="G257" s="29" t="str">
        <x:v>音频</x:v>
      </x:c>
      <x:c r="H257" s="29" t="n">
        <x:v>3</x:v>
      </x:c>
      <x:c r="I257" s="29" t="n">
        <x:v>5</x:v>
      </x:c>
      <x:c r="J257" s="29" t="n">
        <x:v>3</x:v>
      </x:c>
      <x:c r="K257" s="29" t="n">
        <x:v>2</x:v>
      </x:c>
      <x:c r="L257" s="31" t="n">
        <x:f>SUM(H257:K257)</x:f>
        <x:v>13</x:v>
      </x:c>
      <x:c r="M257" s="29" t="str">
        <x:f>IF(L257&gt;=16,"A-优先",IF(L257&gt;=12,"B-培育","C-观察"))</x:f>
        <x:v>B-培育</x:v>
      </x:c>
      <x:c r="N257" s="29" t="str">
        <x:v>电竞空间、首店首发、渠道总部、供应链与制造项目</x:v>
      </x:c>
      <x:c r="O257" s="29" t="str"/>
      <x:c r="P257" s="30" t="str"/>
      <x:c r="Q257" s="30" t="str"/>
      <x:c r="R257" s="30" t="str"/>
      <x:c r="S257" s="30" t="str"/>
      <x:c r="T257" s="30" t="str">
        <x:v>建议检索：TANCHJIM 天使吉米 官方 / 公众号 / 微博 / 小红书 / 视频号</x:v>
      </x:c>
      <x:c r="U257" s="30" t="str">
        <x:v>未联系</x:v>
      </x:c>
      <x:c r="V257" s="30" t="str"/>
      <x:c r="W257" s="29" t="str">
        <x:v>高</x:v>
      </x:c>
      <x:c r="X257" s="29" t="str">
        <x:v>https://www.vgover.com/zh-tw/news/226267</x:v>
      </x:c>
    </x:row>
    <x:row r="258">
      <x:c r="A258" s="29" t="n">
        <x:v>255</x:v>
      </x:c>
      <x:c r="B258" s="29" t="str">
        <x:v>E6</x:v>
      </x:c>
      <x:c r="C258" s="29" t="str">
        <x:v>发烧硬件</x:v>
      </x:c>
      <x:c r="D258" s="29" t="str">
        <x:v>E193</x:v>
      </x:c>
      <x:c r="E258" s="29" t="str">
        <x:v>KNA电竞</x:v>
      </x:c>
      <x:c r="F258" s="30" t="str"/>
      <x:c r="G258" s="29" t="str">
        <x:v>电竞硬件</x:v>
      </x:c>
      <x:c r="H258" s="29" t="n">
        <x:v>4</x:v>
      </x:c>
      <x:c r="I258" s="29" t="n">
        <x:v>5</x:v>
      </x:c>
      <x:c r="J258" s="29" t="n">
        <x:v>5</x:v>
      </x:c>
      <x:c r="K258" s="29" t="n">
        <x:v>2</x:v>
      </x:c>
      <x:c r="L258" s="31" t="n">
        <x:f>SUM(H258:K258)</x:f>
        <x:v>16</x:v>
      </x:c>
      <x:c r="M258" s="29" t="str">
        <x:f>IF(L258&gt;=16,"A-优先",IF(L258&gt;=12,"B-培育","C-观察"))</x:f>
        <x:v>A-优先</x:v>
      </x:c>
      <x:c r="N258" s="29" t="str">
        <x:v>电竞空间、首店首发、渠道总部、供应链与制造项目</x:v>
      </x:c>
      <x:c r="O258" s="29" t="str"/>
      <x:c r="P258" s="30" t="str"/>
      <x:c r="Q258" s="30" t="str"/>
      <x:c r="R258" s="30" t="str"/>
      <x:c r="S258" s="30" t="str"/>
      <x:c r="T258" s="30" t="str">
        <x:v>建议检索：KNA电竞 官方 / 公众号 / 微博 / 小红书 / 视频号</x:v>
      </x:c>
      <x:c r="U258" s="30" t="str">
        <x:v>未联系</x:v>
      </x:c>
      <x:c r="V258" s="30" t="str"/>
      <x:c r="W258" s="29" t="str">
        <x:v>高</x:v>
      </x:c>
      <x:c r="X258" s="29" t="str">
        <x:v>https://www.vgover.com/zh-tw/news/226267</x:v>
      </x:c>
    </x:row>
    <x:row r="259">
      <x:c r="A259" s="29" t="n">
        <x:v>256</x:v>
      </x:c>
      <x:c r="B259" s="29" t="str">
        <x:v>E6</x:v>
      </x:c>
      <x:c r="C259" s="29" t="str">
        <x:v>发烧硬件</x:v>
      </x:c>
      <x:c r="D259" s="29" t="str">
        <x:v>E196</x:v>
      </x:c>
      <x:c r="E259" s="29" t="str">
        <x:v>Simqot 兴戈</x:v>
      </x:c>
      <x:c r="F259" s="30" t="str"/>
      <x:c r="G259" s="29" t="str">
        <x:v>音频</x:v>
      </x:c>
      <x:c r="H259" s="29" t="n">
        <x:v>3</x:v>
      </x:c>
      <x:c r="I259" s="29" t="n">
        <x:v>5</x:v>
      </x:c>
      <x:c r="J259" s="29" t="n">
        <x:v>3</x:v>
      </x:c>
      <x:c r="K259" s="29" t="n">
        <x:v>2</x:v>
      </x:c>
      <x:c r="L259" s="31" t="n">
        <x:f>SUM(H259:K259)</x:f>
        <x:v>13</x:v>
      </x:c>
      <x:c r="M259" s="29" t="str">
        <x:f>IF(L259&gt;=16,"A-优先",IF(L259&gt;=12,"B-培育","C-观察"))</x:f>
        <x:v>B-培育</x:v>
      </x:c>
      <x:c r="N259" s="29" t="str">
        <x:v>电竞空间、首店首发、渠道总部、供应链与制造项目</x:v>
      </x:c>
      <x:c r="O259" s="29" t="str"/>
      <x:c r="P259" s="30" t="str"/>
      <x:c r="Q259" s="30" t="str"/>
      <x:c r="R259" s="30" t="str"/>
      <x:c r="S259" s="30" t="str"/>
      <x:c r="T259" s="30" t="str">
        <x:v>建议检索：Simqot 兴戈 官方 / 公众号 / 微博 / 小红书 / 视频号</x:v>
      </x:c>
      <x:c r="U259" s="30" t="str">
        <x:v>未联系</x:v>
      </x:c>
      <x:c r="V259" s="30" t="str"/>
      <x:c r="W259" s="29" t="str">
        <x:v>高</x:v>
      </x:c>
      <x:c r="X259" s="29" t="str">
        <x:v>https://www.vgover.com/zh-tw/news/226267</x:v>
      </x:c>
    </x:row>
    <x:row r="260">
      <x:c r="A260" s="29" t="n">
        <x:v>257</x:v>
      </x:c>
      <x:c r="B260" s="29" t="str">
        <x:v>E6</x:v>
      </x:c>
      <x:c r="C260" s="29" t="str">
        <x:v>发烧硬件</x:v>
      </x:c>
      <x:c r="D260" s="29" t="str">
        <x:v>E290</x:v>
      </x:c>
      <x:c r="E260" s="29" t="str">
        <x:v>TITAN HAPTICS 泰坦触觉</x:v>
      </x:c>
      <x:c r="F260" s="30" t="str"/>
      <x:c r="G260" s="29" t="str">
        <x:v>触觉技术</x:v>
      </x:c>
      <x:c r="H260" s="29" t="n">
        <x:v>3</x:v>
      </x:c>
      <x:c r="I260" s="29" t="n">
        <x:v>5</x:v>
      </x:c>
      <x:c r="J260" s="29" t="n">
        <x:v>3</x:v>
      </x:c>
      <x:c r="K260" s="29" t="n">
        <x:v>2</x:v>
      </x:c>
      <x:c r="L260" s="31" t="n">
        <x:f>SUM(H260:K260)</x:f>
        <x:v>13</x:v>
      </x:c>
      <x:c r="M260" s="29" t="str">
        <x:f>IF(L260&gt;=16,"A-优先",IF(L260&gt;=12,"B-培育","C-观察"))</x:f>
        <x:v>B-培育</x:v>
      </x:c>
      <x:c r="N260" s="29" t="str">
        <x:v>电竞空间、首店首发、渠道总部、供应链与制造项目</x:v>
      </x:c>
      <x:c r="O260" s="29" t="str"/>
      <x:c r="P260" s="30" t="str"/>
      <x:c r="Q260" s="30" t="str"/>
      <x:c r="R260" s="30" t="str"/>
      <x:c r="S260" s="30" t="str"/>
      <x:c r="T260" s="30" t="str">
        <x:v>建议检索：TITAN HAPTICS 泰坦触觉 官方 / 公众号 / 微博 / 小红书 / 视频号</x:v>
      </x:c>
      <x:c r="U260" s="30" t="str">
        <x:v>未联系</x:v>
      </x:c>
      <x:c r="V260" s="30" t="str"/>
      <x:c r="W260" s="29" t="str">
        <x:v>高</x:v>
      </x:c>
      <x:c r="X260" s="29" t="str">
        <x:v>https://www.vgover.com/zh-tw/news/226267</x:v>
      </x:c>
    </x:row>
    <x:row r="261">
      <x:c r="A261" s="29" t="n">
        <x:v>258</x:v>
      </x:c>
      <x:c r="B261" s="29" t="str">
        <x:v>E6</x:v>
      </x:c>
      <x:c r="C261" s="29" t="str">
        <x:v>发烧硬件</x:v>
      </x:c>
      <x:c r="D261" s="29" t="str">
        <x:v>E292</x:v>
      </x:c>
      <x:c r="E261" s="29" t="str">
        <x:v>飞利浦</x:v>
      </x:c>
      <x:c r="F261" s="30" t="str"/>
      <x:c r="G261" s="29" t="str">
        <x:v>消费电子</x:v>
      </x:c>
      <x:c r="H261" s="29" t="n">
        <x:v>5</x:v>
      </x:c>
      <x:c r="I261" s="29" t="n">
        <x:v>5</x:v>
      </x:c>
      <x:c r="J261" s="29" t="n">
        <x:v>3</x:v>
      </x:c>
      <x:c r="K261" s="29" t="n">
        <x:v>2</x:v>
      </x:c>
      <x:c r="L261" s="31" t="n">
        <x:f>SUM(H261:K261)</x:f>
        <x:v>15</x:v>
      </x:c>
      <x:c r="M261" s="29" t="str">
        <x:f>IF(L261&gt;=16,"A-优先",IF(L261&gt;=12,"B-培育","C-观察"))</x:f>
        <x:v>B-培育</x:v>
      </x:c>
      <x:c r="N261" s="29" t="str">
        <x:v>电竞空间、首店首发、渠道总部、供应链与制造项目</x:v>
      </x:c>
      <x:c r="O261" s="29" t="str"/>
      <x:c r="P261" s="30" t="str"/>
      <x:c r="Q261" s="30" t="str"/>
      <x:c r="R261" s="30" t="str"/>
      <x:c r="S261" s="30" t="str"/>
      <x:c r="T261" s="30" t="str">
        <x:v>建议检索：飞利浦 官方 / 公众号 / 微博 / 小红书 / 视频号</x:v>
      </x:c>
      <x:c r="U261" s="30" t="str">
        <x:v>未联系</x:v>
      </x:c>
      <x:c r="V261" s="30" t="str"/>
      <x:c r="W261" s="29" t="str">
        <x:v>高</x:v>
      </x:c>
      <x:c r="X261" s="29" t="str">
        <x:v>https://www.vgover.com/zh-tw/news/226267</x:v>
      </x:c>
    </x:row>
    <x:row r="262">
      <x:c r="A262" s="29" t="n">
        <x:v>259</x:v>
      </x:c>
      <x:c r="B262" s="29" t="str">
        <x:v>E6</x:v>
      </x:c>
      <x:c r="C262" s="29" t="str">
        <x:v>发烧硬件</x:v>
      </x:c>
      <x:c r="D262" s="29" t="str">
        <x:v>E293</x:v>
      </x:c>
      <x:c r="E262" s="29" t="str">
        <x:v>唐族 TANGZU</x:v>
      </x:c>
      <x:c r="F262" s="30" t="str"/>
      <x:c r="G262" s="29" t="str">
        <x:v>音频</x:v>
      </x:c>
      <x:c r="H262" s="29" t="n">
        <x:v>3</x:v>
      </x:c>
      <x:c r="I262" s="29" t="n">
        <x:v>5</x:v>
      </x:c>
      <x:c r="J262" s="29" t="n">
        <x:v>3</x:v>
      </x:c>
      <x:c r="K262" s="29" t="n">
        <x:v>2</x:v>
      </x:c>
      <x:c r="L262" s="31" t="n">
        <x:f>SUM(H262:K262)</x:f>
        <x:v>13</x:v>
      </x:c>
      <x:c r="M262" s="29" t="str">
        <x:f>IF(L262&gt;=16,"A-优先",IF(L262&gt;=12,"B-培育","C-观察"))</x:f>
        <x:v>B-培育</x:v>
      </x:c>
      <x:c r="N262" s="29" t="str">
        <x:v>电竞空间、首店首发、渠道总部、供应链与制造项目</x:v>
      </x:c>
      <x:c r="O262" s="29" t="str"/>
      <x:c r="P262" s="30" t="str"/>
      <x:c r="Q262" s="30" t="str"/>
      <x:c r="R262" s="30" t="str"/>
      <x:c r="S262" s="30" t="str"/>
      <x:c r="T262" s="30" t="str">
        <x:v>建议检索：唐族 TANGZU 官方 / 公众号 / 微博 / 小红书 / 视频号</x:v>
      </x:c>
      <x:c r="U262" s="30" t="str">
        <x:v>未联系</x:v>
      </x:c>
      <x:c r="V262" s="30" t="str"/>
      <x:c r="W262" s="29" t="str">
        <x:v>高</x:v>
      </x:c>
      <x:c r="X262" s="29" t="str">
        <x:v>https://www.vgover.com/zh-tw/news/226267</x:v>
      </x:c>
    </x:row>
    <x:row r="263">
      <x:c r="A263" s="29" t="n">
        <x:v>260</x:v>
      </x:c>
      <x:c r="B263" s="29" t="str">
        <x:v>E6</x:v>
      </x:c>
      <x:c r="C263" s="29" t="str">
        <x:v>发烧硬件</x:v>
      </x:c>
      <x:c r="D263" s="29" t="str">
        <x:v>E295</x:v>
      </x:c>
      <x:c r="E263" s="29" t="str">
        <x:v>HM Lab</x:v>
      </x:c>
      <x:c r="F263" s="30" t="str"/>
      <x:c r="G263" s="29" t="str">
        <x:v>音频</x:v>
      </x:c>
      <x:c r="H263" s="29" t="n">
        <x:v>3</x:v>
      </x:c>
      <x:c r="I263" s="29" t="n">
        <x:v>5</x:v>
      </x:c>
      <x:c r="J263" s="29" t="n">
        <x:v>3</x:v>
      </x:c>
      <x:c r="K263" s="29" t="n">
        <x:v>2</x:v>
      </x:c>
      <x:c r="L263" s="31" t="n">
        <x:f>SUM(H263:K263)</x:f>
        <x:v>13</x:v>
      </x:c>
      <x:c r="M263" s="29" t="str">
        <x:f>IF(L263&gt;=16,"A-优先",IF(L263&gt;=12,"B-培育","C-观察"))</x:f>
        <x:v>B-培育</x:v>
      </x:c>
      <x:c r="N263" s="29" t="str">
        <x:v>电竞空间、首店首发、渠道总部、供应链与制造项目</x:v>
      </x:c>
      <x:c r="O263" s="29" t="str"/>
      <x:c r="P263" s="30" t="str"/>
      <x:c r="Q263" s="30" t="str"/>
      <x:c r="R263" s="30" t="str"/>
      <x:c r="S263" s="30" t="str"/>
      <x:c r="T263" s="30" t="str">
        <x:v>建议检索：HM Lab 官方 / 公众号 / 微博 / 小红书 / 视频号</x:v>
      </x:c>
      <x:c r="U263" s="30" t="str">
        <x:v>未联系</x:v>
      </x:c>
      <x:c r="V263" s="30" t="str"/>
      <x:c r="W263" s="29" t="str">
        <x:v>高</x:v>
      </x:c>
      <x:c r="X263" s="29" t="str">
        <x:v>https://www.vgover.com/zh-tw/news/226267</x:v>
      </x:c>
    </x:row>
    <x:row r="264">
      <x:c r="A264" s="29" t="n">
        <x:v>261</x:v>
      </x:c>
      <x:c r="B264" s="29" t="str">
        <x:v>E6</x:v>
      </x:c>
      <x:c r="C264" s="29" t="str">
        <x:v>发烧硬件</x:v>
      </x:c>
      <x:c r="D264" s="29" t="str">
        <x:v>E297</x:v>
      </x:c>
      <x:c r="E264" s="29" t="str">
        <x:v>弗西音频 Fosi Audio</x:v>
      </x:c>
      <x:c r="F264" s="30" t="str"/>
      <x:c r="G264" s="29" t="str">
        <x:v>音频</x:v>
      </x:c>
      <x:c r="H264" s="29" t="n">
        <x:v>3</x:v>
      </x:c>
      <x:c r="I264" s="29" t="n">
        <x:v>5</x:v>
      </x:c>
      <x:c r="J264" s="29" t="n">
        <x:v>3</x:v>
      </x:c>
      <x:c r="K264" s="29" t="n">
        <x:v>2</x:v>
      </x:c>
      <x:c r="L264" s="31" t="n">
        <x:f>SUM(H264:K264)</x:f>
        <x:v>13</x:v>
      </x:c>
      <x:c r="M264" s="29" t="str">
        <x:f>IF(L264&gt;=16,"A-优先",IF(L264&gt;=12,"B-培育","C-观察"))</x:f>
        <x:v>B-培育</x:v>
      </x:c>
      <x:c r="N264" s="29" t="str">
        <x:v>电竞空间、首店首发、渠道总部、供应链与制造项目</x:v>
      </x:c>
      <x:c r="O264" s="29" t="str"/>
      <x:c r="P264" s="30" t="str"/>
      <x:c r="Q264" s="30" t="str"/>
      <x:c r="R264" s="30" t="str"/>
      <x:c r="S264" s="30" t="str"/>
      <x:c r="T264" s="30" t="str">
        <x:v>建议检索：弗西音频 Fosi Audio 官方 / 公众号 / 微博 / 小红书 / 视频号</x:v>
      </x:c>
      <x:c r="U264" s="30" t="str">
        <x:v>未联系</x:v>
      </x:c>
      <x:c r="V264" s="30" t="str"/>
      <x:c r="W264" s="29" t="str">
        <x:v>高</x:v>
      </x:c>
      <x:c r="X264" s="29" t="str">
        <x:v>https://www.vgover.com/zh-tw/news/226267</x:v>
      </x:c>
    </x:row>
    <x:row r="265">
      <x:c r="A265" s="29" t="n">
        <x:v>262</x:v>
      </x:c>
      <x:c r="B265" s="29" t="str">
        <x:v>E7</x:v>
      </x:c>
      <x:c r="C265" s="29" t="str">
        <x:v>发烧硬件</x:v>
      </x:c>
      <x:c r="D265" s="29" t="str">
        <x:v>S101</x:v>
      </x:c>
      <x:c r="E265" s="29" t="str">
        <x:v>中关村在线联合展台</x:v>
      </x:c>
      <x:c r="F265" s="30" t="str"/>
      <x:c r="G265" s="29" t="str">
        <x:v>科技媒体/品牌联合</x:v>
      </x:c>
      <x:c r="H265" s="29" t="n">
        <x:v>4</x:v>
      </x:c>
      <x:c r="I265" s="29" t="n">
        <x:v>5</x:v>
      </x:c>
      <x:c r="J265" s="29" t="n">
        <x:v>4</x:v>
      </x:c>
      <x:c r="K265" s="29" t="n">
        <x:v>2</x:v>
      </x:c>
      <x:c r="L265" s="31" t="n">
        <x:f>SUM(H265:K265)</x:f>
        <x:v>15</x:v>
      </x:c>
      <x:c r="M265" s="29" t="str">
        <x:f>IF(L265&gt;=16,"A-优先",IF(L265&gt;=12,"B-培育","C-观察"))</x:f>
        <x:v>B-培育</x:v>
      </x:c>
      <x:c r="N265" s="29" t="str">
        <x:v>电竞空间、首店首发、渠道总部、供应链与制造项目</x:v>
      </x:c>
      <x:c r="O265" s="29" t="str"/>
      <x:c r="P265" s="30" t="str"/>
      <x:c r="Q265" s="30" t="str"/>
      <x:c r="R265" s="30" t="str"/>
      <x:c r="S265" s="30" t="str"/>
      <x:c r="T265" s="30" t="str">
        <x:v>建议检索：中关村在线联合展台 官方 / 公众号 / 微博 / 小红书 / 视频号</x:v>
      </x:c>
      <x:c r="U265" s="30" t="str">
        <x:v>未联系</x:v>
      </x:c>
      <x:c r="V265" s="30" t="str"/>
      <x:c r="W265" s="29" t="str">
        <x:v>高</x:v>
      </x:c>
      <x:c r="X265" s="29" t="str">
        <x:v>https://www.vgover.com/zh-tw/news/226267</x:v>
      </x:c>
    </x:row>
    <x:row r="266">
      <x:c r="A266" s="29" t="n">
        <x:v>263</x:v>
      </x:c>
      <x:c r="B266" s="29" t="str">
        <x:v>E7</x:v>
      </x:c>
      <x:c r="C266" s="29" t="str">
        <x:v>发烧硬件</x:v>
      </x:c>
      <x:c r="D266" s="29" t="str">
        <x:v>S101</x:v>
      </x:c>
      <x:c r="E266" s="29" t="str">
        <x:v>AGON 爱攻</x:v>
      </x:c>
      <x:c r="F266" s="30" t="str"/>
      <x:c r="G266" s="29" t="str">
        <x:v>显示器</x:v>
      </x:c>
      <x:c r="H266" s="29" t="n">
        <x:v>4</x:v>
      </x:c>
      <x:c r="I266" s="29" t="n">
        <x:v>5</x:v>
      </x:c>
      <x:c r="J266" s="29" t="n">
        <x:v>3</x:v>
      </x:c>
      <x:c r="K266" s="29" t="n">
        <x:v>2</x:v>
      </x:c>
      <x:c r="L266" s="31" t="n">
        <x:f>SUM(H266:K266)</x:f>
        <x:v>14</x:v>
      </x:c>
      <x:c r="M266" s="29" t="str">
        <x:f>IF(L266&gt;=16,"A-优先",IF(L266&gt;=12,"B-培育","C-观察"))</x:f>
        <x:v>B-培育</x:v>
      </x:c>
      <x:c r="N266" s="29" t="str">
        <x:v>电竞空间、首店首发、渠道总部、供应链与制造项目</x:v>
      </x:c>
      <x:c r="O266" s="29" t="str"/>
      <x:c r="P266" s="30" t="str"/>
      <x:c r="Q266" s="30" t="str"/>
      <x:c r="R266" s="30" t="str"/>
      <x:c r="S266" s="30" t="str"/>
      <x:c r="T266" s="30" t="str">
        <x:v>建议检索：AGON 爱攻 官方 / 公众号 / 微博 / 小红书 / 视频号</x:v>
      </x:c>
      <x:c r="U266" s="30" t="str">
        <x:v>未联系</x:v>
      </x:c>
      <x:c r="V266" s="30" t="str"/>
      <x:c r="W266" s="29" t="str">
        <x:v>高</x:v>
      </x:c>
      <x:c r="X266" s="29" t="str">
        <x:v>https://www.vgover.com/zh-tw/news/226267</x:v>
      </x:c>
    </x:row>
    <x:row r="267">
      <x:c r="A267" s="29" t="n">
        <x:v>264</x:v>
      </x:c>
      <x:c r="B267" s="29" t="str">
        <x:v>E7</x:v>
      </x:c>
      <x:c r="C267" s="29" t="str">
        <x:v>发烧硬件</x:v>
      </x:c>
      <x:c r="D267" s="29" t="str">
        <x:v>S101</x:v>
      </x:c>
      <x:c r="E267" s="29" t="str">
        <x:v>Canon 佳能</x:v>
      </x:c>
      <x:c r="F267" s="30" t="str"/>
      <x:c r="G267" s="29" t="str">
        <x:v>影像</x:v>
      </x:c>
      <x:c r="H267" s="29" t="n">
        <x:v>4</x:v>
      </x:c>
      <x:c r="I267" s="29" t="n">
        <x:v>5</x:v>
      </x:c>
      <x:c r="J267" s="29" t="n">
        <x:v>5</x:v>
      </x:c>
      <x:c r="K267" s="29" t="n">
        <x:v>2</x:v>
      </x:c>
      <x:c r="L267" s="31" t="n">
        <x:f>SUM(H267:K267)</x:f>
        <x:v>16</x:v>
      </x:c>
      <x:c r="M267" s="29" t="str">
        <x:f>IF(L267&gt;=16,"A-优先",IF(L267&gt;=12,"B-培育","C-观察"))</x:f>
        <x:v>A-优先</x:v>
      </x:c>
      <x:c r="N267" s="29" t="str">
        <x:v>电竞空间、首店首发、渠道总部、供应链与制造项目</x:v>
      </x:c>
      <x:c r="O267" s="29" t="str"/>
      <x:c r="P267" s="30" t="str"/>
      <x:c r="Q267" s="30" t="str"/>
      <x:c r="R267" s="30" t="str"/>
      <x:c r="S267" s="30" t="str"/>
      <x:c r="T267" s="30" t="str">
        <x:v>建议检索：Canon 佳能 官方 / 公众号 / 微博 / 小红书 / 视频号</x:v>
      </x:c>
      <x:c r="U267" s="30" t="str">
        <x:v>未联系</x:v>
      </x:c>
      <x:c r="V267" s="30" t="str"/>
      <x:c r="W267" s="29" t="str">
        <x:v>高</x:v>
      </x:c>
      <x:c r="X267" s="29" t="str">
        <x:v>https://www.vgover.com/zh-tw/news/226267</x:v>
      </x:c>
    </x:row>
    <x:row r="268">
      <x:c r="A268" s="29" t="n">
        <x:v>265</x:v>
      </x:c>
      <x:c r="B268" s="29" t="str">
        <x:v>E7</x:v>
      </x:c>
      <x:c r="C268" s="29" t="str">
        <x:v>发烧硬件</x:v>
      </x:c>
      <x:c r="D268" s="29" t="str">
        <x:v>S101</x:v>
      </x:c>
      <x:c r="E268" s="29" t="str">
        <x:v>KTC</x:v>
      </x:c>
      <x:c r="F268" s="30" t="str"/>
      <x:c r="G268" s="29" t="str">
        <x:v>显示器</x:v>
      </x:c>
      <x:c r="H268" s="29" t="n">
        <x:v>4</x:v>
      </x:c>
      <x:c r="I268" s="29" t="n">
        <x:v>5</x:v>
      </x:c>
      <x:c r="J268" s="29" t="n">
        <x:v>3</x:v>
      </x:c>
      <x:c r="K268" s="29" t="n">
        <x:v>2</x:v>
      </x:c>
      <x:c r="L268" s="31" t="n">
        <x:f>SUM(H268:K268)</x:f>
        <x:v>14</x:v>
      </x:c>
      <x:c r="M268" s="29" t="str">
        <x:f>IF(L268&gt;=16,"A-优先",IF(L268&gt;=12,"B-培育","C-观察"))</x:f>
        <x:v>B-培育</x:v>
      </x:c>
      <x:c r="N268" s="29" t="str">
        <x:v>电竞空间、首店首发、渠道总部、供应链与制造项目</x:v>
      </x:c>
      <x:c r="O268" s="29" t="str"/>
      <x:c r="P268" s="30" t="str"/>
      <x:c r="Q268" s="30" t="str"/>
      <x:c r="R268" s="30" t="str"/>
      <x:c r="S268" s="30" t="str"/>
      <x:c r="T268" s="30" t="str">
        <x:v>建议检索：KTC 官方 / 公众号 / 微博 / 小红书 / 视频号</x:v>
      </x:c>
      <x:c r="U268" s="30" t="str">
        <x:v>未联系</x:v>
      </x:c>
      <x:c r="V268" s="30" t="str"/>
      <x:c r="W268" s="29" t="str">
        <x:v>高</x:v>
      </x:c>
      <x:c r="X268" s="29" t="str">
        <x:v>https://www.vgover.com/zh-tw/news/226267</x:v>
      </x:c>
    </x:row>
    <x:row r="269">
      <x:c r="A269" s="29" t="n">
        <x:v>266</x:v>
      </x:c>
      <x:c r="B269" s="29" t="str">
        <x:v>E7</x:v>
      </x:c>
      <x:c r="C269" s="29" t="str">
        <x:v>发烧硬件</x:v>
      </x:c>
      <x:c r="D269" s="29" t="str">
        <x:v>S101</x:v>
      </x:c>
      <x:c r="E269" s="29" t="str">
        <x:v>三星</x:v>
      </x:c>
      <x:c r="F269" s="30" t="str"/>
      <x:c r="G269" s="29" t="str">
        <x:v>消费电子</x:v>
      </x:c>
      <x:c r="H269" s="29" t="n">
        <x:v>5</x:v>
      </x:c>
      <x:c r="I269" s="29" t="n">
        <x:v>5</x:v>
      </x:c>
      <x:c r="J269" s="29" t="n">
        <x:v>3</x:v>
      </x:c>
      <x:c r="K269" s="29" t="n">
        <x:v>2</x:v>
      </x:c>
      <x:c r="L269" s="31" t="n">
        <x:f>SUM(H269:K269)</x:f>
        <x:v>15</x:v>
      </x:c>
      <x:c r="M269" s="29" t="str">
        <x:f>IF(L269&gt;=16,"A-优先",IF(L269&gt;=12,"B-培育","C-观察"))</x:f>
        <x:v>B-培育</x:v>
      </x:c>
      <x:c r="N269" s="29" t="str">
        <x:v>电竞空间、首店首发、渠道总部、供应链与制造项目</x:v>
      </x:c>
      <x:c r="O269" s="29" t="str"/>
      <x:c r="P269" s="30" t="str"/>
      <x:c r="Q269" s="30" t="str"/>
      <x:c r="R269" s="30" t="str"/>
      <x:c r="S269" s="30" t="str"/>
      <x:c r="T269" s="30" t="str">
        <x:v>建议检索：三星 官方 / 公众号 / 微博 / 小红书 / 视频号</x:v>
      </x:c>
      <x:c r="U269" s="30" t="str">
        <x:v>未联系</x:v>
      </x:c>
      <x:c r="V269" s="30" t="str"/>
      <x:c r="W269" s="29" t="str">
        <x:v>高</x:v>
      </x:c>
      <x:c r="X269" s="29" t="str">
        <x:v>https://www.vgover.com/zh-tw/news/226267</x:v>
      </x:c>
    </x:row>
    <x:row r="270">
      <x:c r="A270" s="29" t="n">
        <x:v>267</x:v>
      </x:c>
      <x:c r="B270" s="29" t="str">
        <x:v>E7</x:v>
      </x:c>
      <x:c r="C270" s="29" t="str">
        <x:v>发烧硬件</x:v>
      </x:c>
      <x:c r="D270" s="29" t="str">
        <x:v>S101</x:v>
      </x:c>
      <x:c r="E270" s="29" t="str">
        <x:v>联想</x:v>
      </x:c>
      <x:c r="F270" s="30" t="str"/>
      <x:c r="G270" s="29" t="str">
        <x:v>PC/消费电子</x:v>
      </x:c>
      <x:c r="H270" s="29" t="n">
        <x:v>5</x:v>
      </x:c>
      <x:c r="I270" s="29" t="n">
        <x:v>5</x:v>
      </x:c>
      <x:c r="J270" s="29" t="n">
        <x:v>3</x:v>
      </x:c>
      <x:c r="K270" s="29" t="n">
        <x:v>2</x:v>
      </x:c>
      <x:c r="L270" s="31" t="n">
        <x:f>SUM(H270:K270)</x:f>
        <x:v>15</x:v>
      </x:c>
      <x:c r="M270" s="29" t="str">
        <x:f>IF(L270&gt;=16,"A-优先",IF(L270&gt;=12,"B-培育","C-观察"))</x:f>
        <x:v>B-培育</x:v>
      </x:c>
      <x:c r="N270" s="29" t="str">
        <x:v>电竞空间、首店首发、渠道总部、供应链与制造项目</x:v>
      </x:c>
      <x:c r="O270" s="29" t="str"/>
      <x:c r="P270" s="30" t="str"/>
      <x:c r="Q270" s="30" t="str"/>
      <x:c r="R270" s="30" t="str"/>
      <x:c r="S270" s="30" t="str"/>
      <x:c r="T270" s="30" t="str">
        <x:v>建议检索：联想 官方 / 公众号 / 微博 / 小红书 / 视频号</x:v>
      </x:c>
      <x:c r="U270" s="30" t="str">
        <x:v>未联系</x:v>
      </x:c>
      <x:c r="V270" s="30" t="str"/>
      <x:c r="W270" s="29" t="str">
        <x:v>高</x:v>
      </x:c>
      <x:c r="X270" s="29" t="str">
        <x:v>https://www.vgover.com/zh-tw/news/226267</x:v>
      </x:c>
    </x:row>
    <x:row r="271">
      <x:c r="A271" s="29" t="n">
        <x:v>268</x:v>
      </x:c>
      <x:c r="B271" s="29" t="str">
        <x:v>E7</x:v>
      </x:c>
      <x:c r="C271" s="29" t="str">
        <x:v>发烧硬件</x:v>
      </x:c>
      <x:c r="D271" s="29" t="str">
        <x:v>S101</x:v>
      </x:c>
      <x:c r="E271" s="29" t="str">
        <x:v>长江存储</x:v>
      </x:c>
      <x:c r="F271" s="30" t="str"/>
      <x:c r="G271" s="29" t="str">
        <x:v>存储</x:v>
      </x:c>
      <x:c r="H271" s="29" t="n">
        <x:v>3</x:v>
      </x:c>
      <x:c r="I271" s="29" t="n">
        <x:v>5</x:v>
      </x:c>
      <x:c r="J271" s="29" t="n">
        <x:v>3</x:v>
      </x:c>
      <x:c r="K271" s="29" t="n">
        <x:v>2</x:v>
      </x:c>
      <x:c r="L271" s="31" t="n">
        <x:f>SUM(H271:K271)</x:f>
        <x:v>13</x:v>
      </x:c>
      <x:c r="M271" s="29" t="str">
        <x:f>IF(L271&gt;=16,"A-优先",IF(L271&gt;=12,"B-培育","C-观察"))</x:f>
        <x:v>B-培育</x:v>
      </x:c>
      <x:c r="N271" s="29" t="str">
        <x:v>电竞空间、首店首发、渠道总部、供应链与制造项目</x:v>
      </x:c>
      <x:c r="O271" s="29" t="str"/>
      <x:c r="P271" s="30" t="str"/>
      <x:c r="Q271" s="30" t="str"/>
      <x:c r="R271" s="30" t="str"/>
      <x:c r="S271" s="30" t="str"/>
      <x:c r="T271" s="30" t="str">
        <x:v>建议检索：长江存储 官方 / 公众号 / 微博 / 小红书 / 视频号</x:v>
      </x:c>
      <x:c r="U271" s="30" t="str">
        <x:v>未联系</x:v>
      </x:c>
      <x:c r="V271" s="30" t="str"/>
      <x:c r="W271" s="29" t="str">
        <x:v>高</x:v>
      </x:c>
      <x:c r="X271" s="29" t="str">
        <x:v>https://www.vgover.com/zh-tw/news/226267</x:v>
      </x:c>
    </x:row>
    <x:row r="272">
      <x:c r="A272" s="29" t="n">
        <x:v>269</x:v>
      </x:c>
      <x:c r="B272" s="29" t="str">
        <x:v>E7</x:v>
      </x:c>
      <x:c r="C272" s="29" t="str">
        <x:v>发烧硬件</x:v>
      </x:c>
      <x:c r="D272" s="29" t="str">
        <x:v>S101</x:v>
      </x:c>
      <x:c r="E272" s="29" t="str">
        <x:v>海康威视</x:v>
      </x:c>
      <x:c r="F272" s="30" t="str"/>
      <x:c r="G272" s="29" t="str">
        <x:v>科技硬件</x:v>
      </x:c>
      <x:c r="H272" s="29" t="n">
        <x:v>4</x:v>
      </x:c>
      <x:c r="I272" s="29" t="n">
        <x:v>5</x:v>
      </x:c>
      <x:c r="J272" s="29" t="n">
        <x:v>4</x:v>
      </x:c>
      <x:c r="K272" s="29" t="n">
        <x:v>2</x:v>
      </x:c>
      <x:c r="L272" s="31" t="n">
        <x:f>SUM(H272:K272)</x:f>
        <x:v>15</x:v>
      </x:c>
      <x:c r="M272" s="29" t="str">
        <x:f>IF(L272&gt;=16,"A-优先",IF(L272&gt;=12,"B-培育","C-观察"))</x:f>
        <x:v>B-培育</x:v>
      </x:c>
      <x:c r="N272" s="29" t="str">
        <x:v>电竞空间、首店首发、渠道总部、供应链与制造项目</x:v>
      </x:c>
      <x:c r="O272" s="29" t="str"/>
      <x:c r="P272" s="30" t="str"/>
      <x:c r="Q272" s="30" t="str"/>
      <x:c r="R272" s="30" t="str"/>
      <x:c r="S272" s="30" t="str"/>
      <x:c r="T272" s="30" t="str">
        <x:v>建议检索：海康威视 官方 / 公众号 / 微博 / 小红书 / 视频号</x:v>
      </x:c>
      <x:c r="U272" s="30" t="str">
        <x:v>未联系</x:v>
      </x:c>
      <x:c r="V272" s="30" t="str"/>
      <x:c r="W272" s="29" t="str">
        <x:v>高</x:v>
      </x:c>
      <x:c r="X272" s="29" t="str">
        <x:v>https://www.vgover.com/zh-tw/news/226267</x:v>
      </x:c>
    </x:row>
    <x:row r="273">
      <x:c r="A273" s="29" t="n">
        <x:v>270</x:v>
      </x:c>
      <x:c r="B273" s="29" t="str">
        <x:v>E7</x:v>
      </x:c>
      <x:c r="C273" s="29" t="str">
        <x:v>发烧硬件</x:v>
      </x:c>
      <x:c r="D273" s="29" t="str">
        <x:v>S101</x:v>
      </x:c>
      <x:c r="E273" s="29" t="str">
        <x:v>GeIL 金邦</x:v>
      </x:c>
      <x:c r="F273" s="30" t="str"/>
      <x:c r="G273" s="29" t="str">
        <x:v>存储</x:v>
      </x:c>
      <x:c r="H273" s="29" t="n">
        <x:v>3</x:v>
      </x:c>
      <x:c r="I273" s="29" t="n">
        <x:v>5</x:v>
      </x:c>
      <x:c r="J273" s="29" t="n">
        <x:v>3</x:v>
      </x:c>
      <x:c r="K273" s="29" t="n">
        <x:v>2</x:v>
      </x:c>
      <x:c r="L273" s="31" t="n">
        <x:f>SUM(H273:K273)</x:f>
        <x:v>13</x:v>
      </x:c>
      <x:c r="M273" s="29" t="str">
        <x:f>IF(L273&gt;=16,"A-优先",IF(L273&gt;=12,"B-培育","C-观察"))</x:f>
        <x:v>B-培育</x:v>
      </x:c>
      <x:c r="N273" s="29" t="str">
        <x:v>电竞空间、首店首发、渠道总部、供应链与制造项目</x:v>
      </x:c>
      <x:c r="O273" s="29" t="str"/>
      <x:c r="P273" s="30" t="str"/>
      <x:c r="Q273" s="30" t="str"/>
      <x:c r="R273" s="30" t="str"/>
      <x:c r="S273" s="30" t="str"/>
      <x:c r="T273" s="30" t="str">
        <x:v>建议检索：GeIL 金邦 官方 / 公众号 / 微博 / 小红书 / 视频号</x:v>
      </x:c>
      <x:c r="U273" s="30" t="str">
        <x:v>未联系</x:v>
      </x:c>
      <x:c r="V273" s="30" t="str"/>
      <x:c r="W273" s="29" t="str">
        <x:v>高</x:v>
      </x:c>
      <x:c r="X273" s="29" t="str">
        <x:v>https://www.vgover.com/zh-tw/news/226267</x:v>
      </x:c>
    </x:row>
    <x:row r="274">
      <x:c r="A274" s="29" t="n">
        <x:v>271</x:v>
      </x:c>
      <x:c r="B274" s="29" t="str">
        <x:v>E7</x:v>
      </x:c>
      <x:c r="C274" s="29" t="str">
        <x:v>发烧硬件</x:v>
      </x:c>
      <x:c r="D274" s="29" t="str">
        <x:v>S101</x:v>
      </x:c>
      <x:c r="E274" s="29" t="str">
        <x:v>Inno3D 映众</x:v>
      </x:c>
      <x:c r="F274" s="30" t="str"/>
      <x:c r="G274" s="29" t="str">
        <x:v>显卡</x:v>
      </x:c>
      <x:c r="H274" s="29" t="n">
        <x:v>3</x:v>
      </x:c>
      <x:c r="I274" s="29" t="n">
        <x:v>5</x:v>
      </x:c>
      <x:c r="J274" s="29" t="n">
        <x:v>3</x:v>
      </x:c>
      <x:c r="K274" s="29" t="n">
        <x:v>2</x:v>
      </x:c>
      <x:c r="L274" s="31" t="n">
        <x:f>SUM(H274:K274)</x:f>
        <x:v>13</x:v>
      </x:c>
      <x:c r="M274" s="29" t="str">
        <x:f>IF(L274&gt;=16,"A-优先",IF(L274&gt;=12,"B-培育","C-观察"))</x:f>
        <x:v>B-培育</x:v>
      </x:c>
      <x:c r="N274" s="29" t="str">
        <x:v>电竞空间、首店首发、渠道总部、供应链与制造项目</x:v>
      </x:c>
      <x:c r="O274" s="29" t="str"/>
      <x:c r="P274" s="30" t="str"/>
      <x:c r="Q274" s="30" t="str"/>
      <x:c r="R274" s="30" t="str"/>
      <x:c r="S274" s="30" t="str"/>
      <x:c r="T274" s="30" t="str">
        <x:v>建议检索：Inno3D 映众 官方 / 公众号 / 微博 / 小红书 / 视频号</x:v>
      </x:c>
      <x:c r="U274" s="30" t="str">
        <x:v>未联系</x:v>
      </x:c>
      <x:c r="V274" s="30" t="str"/>
      <x:c r="W274" s="29" t="str">
        <x:v>高</x:v>
      </x:c>
      <x:c r="X274" s="29" t="str">
        <x:v>https://www.vgover.com/zh-tw/news/226267</x:v>
      </x:c>
    </x:row>
    <x:row r="275">
      <x:c r="A275" s="29" t="n">
        <x:v>272</x:v>
      </x:c>
      <x:c r="B275" s="29" t="str">
        <x:v>E7</x:v>
      </x:c>
      <x:c r="C275" s="29" t="str">
        <x:v>发烧硬件</x:v>
      </x:c>
      <x:c r="D275" s="29" t="str">
        <x:v>S101</x:v>
      </x:c>
      <x:c r="E275" s="29" t="str">
        <x:v>HiVi 惠威</x:v>
      </x:c>
      <x:c r="F275" s="30" t="str"/>
      <x:c r="G275" s="29" t="str">
        <x:v>音频</x:v>
      </x:c>
      <x:c r="H275" s="29" t="n">
        <x:v>3</x:v>
      </x:c>
      <x:c r="I275" s="29" t="n">
        <x:v>5</x:v>
      </x:c>
      <x:c r="J275" s="29" t="n">
        <x:v>3</x:v>
      </x:c>
      <x:c r="K275" s="29" t="n">
        <x:v>2</x:v>
      </x:c>
      <x:c r="L275" s="31" t="n">
        <x:f>SUM(H275:K275)</x:f>
        <x:v>13</x:v>
      </x:c>
      <x:c r="M275" s="29" t="str">
        <x:f>IF(L275&gt;=16,"A-优先",IF(L275&gt;=12,"B-培育","C-观察"))</x:f>
        <x:v>B-培育</x:v>
      </x:c>
      <x:c r="N275" s="29" t="str">
        <x:v>电竞空间、首店首发、渠道总部、供应链与制造项目</x:v>
      </x:c>
      <x:c r="O275" s="29" t="str"/>
      <x:c r="P275" s="30" t="str"/>
      <x:c r="Q275" s="30" t="str"/>
      <x:c r="R275" s="30" t="str"/>
      <x:c r="S275" s="30" t="str"/>
      <x:c r="T275" s="30" t="str">
        <x:v>建议检索：HiVi 惠威 官方 / 公众号 / 微博 / 小红书 / 视频号</x:v>
      </x:c>
      <x:c r="U275" s="30" t="str">
        <x:v>未联系</x:v>
      </x:c>
      <x:c r="V275" s="30" t="str"/>
      <x:c r="W275" s="29" t="str">
        <x:v>高</x:v>
      </x:c>
      <x:c r="X275" s="29" t="str">
        <x:v>https://www.vgover.com/zh-tw/news/226267</x:v>
      </x:c>
    </x:row>
    <x:row r="276">
      <x:c r="A276" s="29" t="n">
        <x:v>273</x:v>
      </x:c>
      <x:c r="B276" s="29" t="str">
        <x:v>E7</x:v>
      </x:c>
      <x:c r="C276" s="29" t="str">
        <x:v>发烧硬件</x:v>
      </x:c>
      <x:c r="D276" s="29" t="str">
        <x:v>S101</x:v>
      </x:c>
      <x:c r="E276" s="29" t="str">
        <x:v>TAC</x:v>
      </x:c>
      <x:c r="F276" s="30" t="str"/>
      <x:c r="G276" s="29" t="str">
        <x:v>外设</x:v>
      </x:c>
      <x:c r="H276" s="29" t="n">
        <x:v>3</x:v>
      </x:c>
      <x:c r="I276" s="29" t="n">
        <x:v>5</x:v>
      </x:c>
      <x:c r="J276" s="29" t="n">
        <x:v>3</x:v>
      </x:c>
      <x:c r="K276" s="29" t="n">
        <x:v>2</x:v>
      </x:c>
      <x:c r="L276" s="31" t="n">
        <x:f>SUM(H276:K276)</x:f>
        <x:v>13</x:v>
      </x:c>
      <x:c r="M276" s="29" t="str">
        <x:f>IF(L276&gt;=16,"A-优先",IF(L276&gt;=12,"B-培育","C-观察"))</x:f>
        <x:v>B-培育</x:v>
      </x:c>
      <x:c r="N276" s="29" t="str">
        <x:v>电竞空间、首店首发、渠道总部、供应链与制造项目</x:v>
      </x:c>
      <x:c r="O276" s="29" t="str"/>
      <x:c r="P276" s="30" t="str"/>
      <x:c r="Q276" s="30" t="str"/>
      <x:c r="R276" s="30" t="str"/>
      <x:c r="S276" s="30" t="str"/>
      <x:c r="T276" s="30" t="str">
        <x:v>建议检索：TAC 官方 / 公众号 / 微博 / 小红书 / 视频号</x:v>
      </x:c>
      <x:c r="U276" s="30" t="str">
        <x:v>未联系</x:v>
      </x:c>
      <x:c r="V276" s="30" t="str"/>
      <x:c r="W276" s="29" t="str">
        <x:v>高</x:v>
      </x:c>
      <x:c r="X276" s="29" t="str">
        <x:v>https://www.vgover.com/zh-tw/news/226267</x:v>
      </x:c>
    </x:row>
    <x:row r="277">
      <x:c r="A277" s="29" t="n">
        <x:v>274</x:v>
      </x:c>
      <x:c r="B277" s="29" t="str">
        <x:v>E7</x:v>
      </x:c>
      <x:c r="C277" s="29" t="str">
        <x:v>发烧硬件</x:v>
      </x:c>
      <x:c r="D277" s="29" t="str">
        <x:v>S002</x:v>
      </x:c>
      <x:c r="E277" s="29" t="str">
        <x:v>载创 AGKEYS</x:v>
      </x:c>
      <x:c r="F277" s="30" t="str"/>
      <x:c r="G277" s="29" t="str">
        <x:v>游戏外设</x:v>
      </x:c>
      <x:c r="H277" s="29" t="n">
        <x:v>3</x:v>
      </x:c>
      <x:c r="I277" s="29" t="n">
        <x:v>5</x:v>
      </x:c>
      <x:c r="J277" s="29" t="n">
        <x:v>5</x:v>
      </x:c>
      <x:c r="K277" s="29" t="n">
        <x:v>2</x:v>
      </x:c>
      <x:c r="L277" s="31" t="n">
        <x:f>SUM(H277:K277)</x:f>
        <x:v>15</x:v>
      </x:c>
      <x:c r="M277" s="29" t="str">
        <x:f>IF(L277&gt;=16,"A-优先",IF(L277&gt;=12,"B-培育","C-观察"))</x:f>
        <x:v>B-培育</x:v>
      </x:c>
      <x:c r="N277" s="29" t="str">
        <x:v>电竞空间、首店首发、渠道总部、供应链与制造项目</x:v>
      </x:c>
      <x:c r="O277" s="29" t="str"/>
      <x:c r="P277" s="30" t="str"/>
      <x:c r="Q277" s="30" t="str"/>
      <x:c r="R277" s="30" t="str"/>
      <x:c r="S277" s="30" t="str"/>
      <x:c r="T277" s="30" t="str">
        <x:v>建议检索：载创 AGKEYS 官方 / 公众号 / 微博 / 小红书 / 视频号</x:v>
      </x:c>
      <x:c r="U277" s="30" t="str">
        <x:v>未联系</x:v>
      </x:c>
      <x:c r="V277" s="30" t="str"/>
      <x:c r="W277" s="29" t="str">
        <x:v>高</x:v>
      </x:c>
      <x:c r="X277" s="29" t="str">
        <x:v>https://www.vgover.com/zh-tw/news/226267</x:v>
      </x:c>
    </x:row>
    <x:row r="278">
      <x:c r="A278" s="29" t="n">
        <x:v>275</x:v>
      </x:c>
      <x:c r="B278" s="29" t="str">
        <x:v>E7</x:v>
      </x:c>
      <x:c r="C278" s="29" t="str">
        <x:v>发烧硬件</x:v>
      </x:c>
      <x:c r="D278" s="29" t="str">
        <x:v>S003</x:v>
      </x:c>
      <x:c r="E278" s="29" t="str">
        <x:v>WOOTING</x:v>
      </x:c>
      <x:c r="F278" s="30" t="str"/>
      <x:c r="G278" s="29" t="str">
        <x:v>游戏外设</x:v>
      </x:c>
      <x:c r="H278" s="29" t="n">
        <x:v>3</x:v>
      </x:c>
      <x:c r="I278" s="29" t="n">
        <x:v>5</x:v>
      </x:c>
      <x:c r="J278" s="29" t="n">
        <x:v>5</x:v>
      </x:c>
      <x:c r="K278" s="29" t="n">
        <x:v>2</x:v>
      </x:c>
      <x:c r="L278" s="31" t="n">
        <x:f>SUM(H278:K278)</x:f>
        <x:v>15</x:v>
      </x:c>
      <x:c r="M278" s="29" t="str">
        <x:f>IF(L278&gt;=16,"A-优先",IF(L278&gt;=12,"B-培育","C-观察"))</x:f>
        <x:v>B-培育</x:v>
      </x:c>
      <x:c r="N278" s="29" t="str">
        <x:v>电竞空间、首店首发、渠道总部、供应链与制造项目</x:v>
      </x:c>
      <x:c r="O278" s="29" t="str"/>
      <x:c r="P278" s="30" t="str"/>
      <x:c r="Q278" s="30" t="str"/>
      <x:c r="R278" s="30" t="str"/>
      <x:c r="S278" s="30" t="str"/>
      <x:c r="T278" s="30" t="str">
        <x:v>建议检索：WOOTING 官方 / 公众号 / 微博 / 小红书 / 视频号</x:v>
      </x:c>
      <x:c r="U278" s="30" t="str">
        <x:v>未联系</x:v>
      </x:c>
      <x:c r="V278" s="30" t="str"/>
      <x:c r="W278" s="29" t="str">
        <x:v>高</x:v>
      </x:c>
      <x:c r="X278" s="29" t="str">
        <x:v>https://www.vgover.com/zh-tw/news/226267</x:v>
      </x:c>
    </x:row>
    <x:row r="279">
      <x:c r="A279" s="29" t="n">
        <x:v>276</x:v>
      </x:c>
      <x:c r="B279" s="29" t="str">
        <x:v>E7</x:v>
      </x:c>
      <x:c r="C279" s="29" t="str">
        <x:v>发烧硬件</x:v>
      </x:c>
      <x:c r="D279" s="29" t="str">
        <x:v>S005</x:v>
      </x:c>
      <x:c r="E279" s="29" t="str">
        <x:v>六联智能 SIXUNITED</x:v>
      </x:c>
      <x:c r="F279" s="30" t="str"/>
      <x:c r="G279" s="29" t="str">
        <x:v>智能硬件</x:v>
      </x:c>
      <x:c r="H279" s="29" t="n">
        <x:v>4</x:v>
      </x:c>
      <x:c r="I279" s="29" t="n">
        <x:v>5</x:v>
      </x:c>
      <x:c r="J279" s="29" t="n">
        <x:v>4</x:v>
      </x:c>
      <x:c r="K279" s="29" t="n">
        <x:v>2</x:v>
      </x:c>
      <x:c r="L279" s="31" t="n">
        <x:f>SUM(H279:K279)</x:f>
        <x:v>15</x:v>
      </x:c>
      <x:c r="M279" s="29" t="str">
        <x:f>IF(L279&gt;=16,"A-优先",IF(L279&gt;=12,"B-培育","C-观察"))</x:f>
        <x:v>B-培育</x:v>
      </x:c>
      <x:c r="N279" s="29" t="str">
        <x:v>电竞空间、首店首发、渠道总部、供应链与制造项目</x:v>
      </x:c>
      <x:c r="O279" s="29" t="str"/>
      <x:c r="P279" s="30" t="str"/>
      <x:c r="Q279" s="30" t="str"/>
      <x:c r="R279" s="30" t="str"/>
      <x:c r="S279" s="30" t="str"/>
      <x:c r="T279" s="30" t="str">
        <x:v>建议检索：六联智能 SIXUNITED 官方 / 公众号 / 微博 / 小红书 / 视频号</x:v>
      </x:c>
      <x:c r="U279" s="30" t="str">
        <x:v>未联系</x:v>
      </x:c>
      <x:c r="V279" s="30" t="str"/>
      <x:c r="W279" s="29" t="str">
        <x:v>高</x:v>
      </x:c>
      <x:c r="X279" s="29" t="str">
        <x:v>https://www.vgover.com/zh-tw/news/226267</x:v>
      </x:c>
    </x:row>
    <x:row r="280">
      <x:c r="A280" s="29" t="n">
        <x:v>277</x:v>
      </x:c>
      <x:c r="B280" s="29" t="str">
        <x:v>E7</x:v>
      </x:c>
      <x:c r="C280" s="29" t="str">
        <x:v>发烧硬件</x:v>
      </x:c>
      <x:c r="D280" s="29" t="str">
        <x:v>S006</x:v>
      </x:c>
      <x:c r="E280" s="29" t="str">
        <x:v>AISTATION</x:v>
      </x:c>
      <x:c r="F280" s="30" t="str"/>
      <x:c r="G280" s="29" t="str">
        <x:v>AI体验</x:v>
      </x:c>
      <x:c r="H280" s="29" t="n">
        <x:v>3</x:v>
      </x:c>
      <x:c r="I280" s="29" t="n">
        <x:v>5</x:v>
      </x:c>
      <x:c r="J280" s="29" t="n">
        <x:v>3</x:v>
      </x:c>
      <x:c r="K280" s="29" t="n">
        <x:v>2</x:v>
      </x:c>
      <x:c r="L280" s="31" t="n">
        <x:f>SUM(H280:K280)</x:f>
        <x:v>13</x:v>
      </x:c>
      <x:c r="M280" s="29" t="str">
        <x:f>IF(L280&gt;=16,"A-优先",IF(L280&gt;=12,"B-培育","C-观察"))</x:f>
        <x:v>B-培育</x:v>
      </x:c>
      <x:c r="N280" s="29" t="str">
        <x:v>电竞空间、首店首发、渠道总部、供应链与制造项目</x:v>
      </x:c>
      <x:c r="O280" s="29" t="str"/>
      <x:c r="P280" s="30" t="str"/>
      <x:c r="Q280" s="30" t="str"/>
      <x:c r="R280" s="30" t="str"/>
      <x:c r="S280" s="30" t="str"/>
      <x:c r="T280" s="30" t="str">
        <x:v>建议检索：AISTATION 官方 / 公众号 / 微博 / 小红书 / 视频号</x:v>
      </x:c>
      <x:c r="U280" s="30" t="str">
        <x:v>未联系</x:v>
      </x:c>
      <x:c r="V280" s="30" t="str"/>
      <x:c r="W280" s="29" t="str">
        <x:v>高</x:v>
      </x:c>
      <x:c r="X280" s="29" t="str">
        <x:v>https://www.vgover.com/zh-tw/news/226267</x:v>
      </x:c>
    </x:row>
    <x:row r="281">
      <x:c r="A281" s="29" t="n">
        <x:v>278</x:v>
      </x:c>
      <x:c r="B281" s="29" t="str">
        <x:v>E7</x:v>
      </x:c>
      <x:c r="C281" s="29" t="str">
        <x:v>发烧硬件</x:v>
      </x:c>
      <x:c r="D281" s="29" t="str">
        <x:v>S201</x:v>
      </x:c>
      <x:c r="E281" s="29" t="str">
        <x:v>MCHOSE 迈从</x:v>
      </x:c>
      <x:c r="F281" s="30" t="str"/>
      <x:c r="G281" s="29" t="str">
        <x:v>游戏外设</x:v>
      </x:c>
      <x:c r="H281" s="29" t="n">
        <x:v>3</x:v>
      </x:c>
      <x:c r="I281" s="29" t="n">
        <x:v>5</x:v>
      </x:c>
      <x:c r="J281" s="29" t="n">
        <x:v>5</x:v>
      </x:c>
      <x:c r="K281" s="29" t="n">
        <x:v>2</x:v>
      </x:c>
      <x:c r="L281" s="31" t="n">
        <x:f>SUM(H281:K281)</x:f>
        <x:v>15</x:v>
      </x:c>
      <x:c r="M281" s="29" t="str">
        <x:f>IF(L281&gt;=16,"A-优先",IF(L281&gt;=12,"B-培育","C-观察"))</x:f>
        <x:v>B-培育</x:v>
      </x:c>
      <x:c r="N281" s="29" t="str">
        <x:v>电竞空间、首店首发、渠道总部、供应链与制造项目</x:v>
      </x:c>
      <x:c r="O281" s="29" t="str"/>
      <x:c r="P281" s="30" t="str"/>
      <x:c r="Q281" s="30" t="str"/>
      <x:c r="R281" s="30" t="str"/>
      <x:c r="S281" s="30" t="str"/>
      <x:c r="T281" s="30" t="str">
        <x:v>建议检索：MCHOSE 迈从 官方 / 公众号 / 微博 / 小红书 / 视频号</x:v>
      </x:c>
      <x:c r="U281" s="30" t="str">
        <x:v>未联系</x:v>
      </x:c>
      <x:c r="V281" s="30" t="str"/>
      <x:c r="W281" s="29" t="str">
        <x:v>高</x:v>
      </x:c>
      <x:c r="X281" s="29" t="str">
        <x:v>https://www.vgover.com/zh-tw/news/226267</x:v>
      </x:c>
    </x:row>
    <x:row r="282">
      <x:c r="A282" s="29" t="n">
        <x:v>279</x:v>
      </x:c>
      <x:c r="B282" s="29" t="str">
        <x:v>E7</x:v>
      </x:c>
      <x:c r="C282" s="29" t="str">
        <x:v>发烧硬件</x:v>
      </x:c>
      <x:c r="D282" s="29" t="str">
        <x:v>S202</x:v>
      </x:c>
      <x:c r="E282" s="29" t="str">
        <x:v>Airwheel</x:v>
      </x:c>
      <x:c r="F282" s="30" t="str"/>
      <x:c r="G282" s="29" t="str">
        <x:v>智能出行</x:v>
      </x:c>
      <x:c r="H282" s="29" t="n">
        <x:v>3</x:v>
      </x:c>
      <x:c r="I282" s="29" t="n">
        <x:v>5</x:v>
      </x:c>
      <x:c r="J282" s="29" t="n">
        <x:v>3</x:v>
      </x:c>
      <x:c r="K282" s="29" t="n">
        <x:v>2</x:v>
      </x:c>
      <x:c r="L282" s="31" t="n">
        <x:f>SUM(H282:K282)</x:f>
        <x:v>13</x:v>
      </x:c>
      <x:c r="M282" s="29" t="str">
        <x:f>IF(L282&gt;=16,"A-优先",IF(L282&gt;=12,"B-培育","C-观察"))</x:f>
        <x:v>B-培育</x:v>
      </x:c>
      <x:c r="N282" s="29" t="str">
        <x:v>电竞空间、首店首发、渠道总部、供应链与制造项目</x:v>
      </x:c>
      <x:c r="O282" s="29" t="str"/>
      <x:c r="P282" s="30" t="str"/>
      <x:c r="Q282" s="30" t="str"/>
      <x:c r="R282" s="30" t="str"/>
      <x:c r="S282" s="30" t="str"/>
      <x:c r="T282" s="30" t="str">
        <x:v>建议检索：Airwheel 官方 / 公众号 / 微博 / 小红书 / 视频号</x:v>
      </x:c>
      <x:c r="U282" s="30" t="str">
        <x:v>未联系</x:v>
      </x:c>
      <x:c r="V282" s="30" t="str"/>
      <x:c r="W282" s="29" t="str">
        <x:v>高</x:v>
      </x:c>
      <x:c r="X282" s="29" t="str">
        <x:v>https://www.vgover.com/zh-tw/news/226267</x:v>
      </x:c>
    </x:row>
    <x:row r="283">
      <x:c r="A283" s="29" t="n">
        <x:v>280</x:v>
      </x:c>
      <x:c r="B283" s="29" t="str">
        <x:v>E7</x:v>
      </x:c>
      <x:c r="C283" s="29" t="str">
        <x:v>发烧硬件</x:v>
      </x:c>
      <x:c r="D283" s="29" t="str">
        <x:v>S203</x:v>
      </x:c>
      <x:c r="E283" s="29" t="str">
        <x:v>八位堂 8BitDo</x:v>
      </x:c>
      <x:c r="F283" s="30" t="str"/>
      <x:c r="G283" s="29" t="str">
        <x:v>游戏外设</x:v>
      </x:c>
      <x:c r="H283" s="29" t="n">
        <x:v>3</x:v>
      </x:c>
      <x:c r="I283" s="29" t="n">
        <x:v>5</x:v>
      </x:c>
      <x:c r="J283" s="29" t="n">
        <x:v>5</x:v>
      </x:c>
      <x:c r="K283" s="29" t="n">
        <x:v>2</x:v>
      </x:c>
      <x:c r="L283" s="31" t="n">
        <x:f>SUM(H283:K283)</x:f>
        <x:v>15</x:v>
      </x:c>
      <x:c r="M283" s="29" t="str">
        <x:f>IF(L283&gt;=16,"A-优先",IF(L283&gt;=12,"B-培育","C-观察"))</x:f>
        <x:v>B-培育</x:v>
      </x:c>
      <x:c r="N283" s="29" t="str">
        <x:v>电竞空间、首店首发、渠道总部、供应链与制造项目</x:v>
      </x:c>
      <x:c r="O283" s="29" t="str"/>
      <x:c r="P283" s="30" t="str"/>
      <x:c r="Q283" s="30" t="str"/>
      <x:c r="R283" s="30" t="str"/>
      <x:c r="S283" s="30" t="str"/>
      <x:c r="T283" s="30" t="str">
        <x:v>建议检索：八位堂 8BitDo 官方 / 公众号 / 微博 / 小红书 / 视频号</x:v>
      </x:c>
      <x:c r="U283" s="30" t="str">
        <x:v>未联系</x:v>
      </x:c>
      <x:c r="V283" s="30" t="str"/>
      <x:c r="W283" s="29" t="str">
        <x:v>高</x:v>
      </x:c>
      <x:c r="X283" s="29" t="str">
        <x:v>https://www.vgover.com/zh-tw/news/226267</x:v>
      </x:c>
    </x:row>
    <x:row r="284">
      <x:c r="A284" s="29" t="n">
        <x:v>281</x:v>
      </x:c>
      <x:c r="B284" s="29" t="str">
        <x:v>E7</x:v>
      </x:c>
      <x:c r="C284" s="29" t="str">
        <x:v>发烧硬件</x:v>
      </x:c>
      <x:c r="D284" s="29" t="str">
        <x:v>S205</x:v>
      </x:c>
      <x:c r="E284" s="29" t="str">
        <x:v>Unionwell</x:v>
      </x:c>
      <x:c r="F284" s="30" t="str"/>
      <x:c r="G284" s="29" t="str">
        <x:v>微动/电子元件</x:v>
      </x:c>
      <x:c r="H284" s="29" t="n">
        <x:v>3</x:v>
      </x:c>
      <x:c r="I284" s="29" t="n">
        <x:v>5</x:v>
      </x:c>
      <x:c r="J284" s="29" t="n">
        <x:v>3</x:v>
      </x:c>
      <x:c r="K284" s="29" t="n">
        <x:v>2</x:v>
      </x:c>
      <x:c r="L284" s="31" t="n">
        <x:f>SUM(H284:K284)</x:f>
        <x:v>13</x:v>
      </x:c>
      <x:c r="M284" s="29" t="str">
        <x:f>IF(L284&gt;=16,"A-优先",IF(L284&gt;=12,"B-培育","C-观察"))</x:f>
        <x:v>B-培育</x:v>
      </x:c>
      <x:c r="N284" s="29" t="str">
        <x:v>电竞空间、首店首发、渠道总部、供应链与制造项目</x:v>
      </x:c>
      <x:c r="O284" s="29" t="str"/>
      <x:c r="P284" s="30" t="str"/>
      <x:c r="Q284" s="30" t="str"/>
      <x:c r="R284" s="30" t="str"/>
      <x:c r="S284" s="30" t="str"/>
      <x:c r="T284" s="30" t="str">
        <x:v>建议检索：Unionwell 官方 / 公众号 / 微博 / 小红书 / 视频号</x:v>
      </x:c>
      <x:c r="U284" s="30" t="str">
        <x:v>未联系</x:v>
      </x:c>
      <x:c r="V284" s="30" t="str"/>
      <x:c r="W284" s="29" t="str">
        <x:v>高</x:v>
      </x:c>
      <x:c r="X284" s="29" t="str">
        <x:v>https://www.vgover.com/zh-tw/news/226267</x:v>
      </x:c>
    </x:row>
    <x:row r="285">
      <x:c r="A285" s="29" t="n">
        <x:v>282</x:v>
      </x:c>
      <x:c r="B285" s="29" t="str">
        <x:v>E7</x:v>
      </x:c>
      <x:c r="C285" s="29" t="str">
        <x:v>发烧硬件</x:v>
      </x:c>
      <x:c r="D285" s="29" t="str">
        <x:v>S301</x:v>
      </x:c>
      <x:c r="E285" s="29" t="str">
        <x:v>ATK</x:v>
      </x:c>
      <x:c r="F285" s="30" t="str"/>
      <x:c r="G285" s="29" t="str">
        <x:v>游戏外设</x:v>
      </x:c>
      <x:c r="H285" s="29" t="n">
        <x:v>3</x:v>
      </x:c>
      <x:c r="I285" s="29" t="n">
        <x:v>5</x:v>
      </x:c>
      <x:c r="J285" s="29" t="n">
        <x:v>5</x:v>
      </x:c>
      <x:c r="K285" s="29" t="n">
        <x:v>2</x:v>
      </x:c>
      <x:c r="L285" s="31" t="n">
        <x:f>SUM(H285:K285)</x:f>
        <x:v>15</x:v>
      </x:c>
      <x:c r="M285" s="29" t="str">
        <x:f>IF(L285&gt;=16,"A-优先",IF(L285&gt;=12,"B-培育","C-观察"))</x:f>
        <x:v>B-培育</x:v>
      </x:c>
      <x:c r="N285" s="29" t="str">
        <x:v>电竞空间、首店首发、渠道总部、供应链与制造项目</x:v>
      </x:c>
      <x:c r="O285" s="29" t="str"/>
      <x:c r="P285" s="30" t="str"/>
      <x:c r="Q285" s="30" t="str"/>
      <x:c r="R285" s="30" t="str"/>
      <x:c r="S285" s="30" t="str"/>
      <x:c r="T285" s="30" t="str">
        <x:v>建议检索：ATK 官方 / 公众号 / 微博 / 小红书 / 视频号</x:v>
      </x:c>
      <x:c r="U285" s="30" t="str">
        <x:v>未联系</x:v>
      </x:c>
      <x:c r="V285" s="30" t="str"/>
      <x:c r="W285" s="29" t="str">
        <x:v>高</x:v>
      </x:c>
      <x:c r="X285" s="29" t="str">
        <x:v>https://www.vgover.com/zh-tw/news/226267</x:v>
      </x:c>
    </x:row>
    <x:row r="286">
      <x:c r="A286" s="29" t="n">
        <x:v>283</x:v>
      </x:c>
      <x:c r="B286" s="29" t="str">
        <x:v>E7</x:v>
      </x:c>
      <x:c r="C286" s="29" t="str">
        <x:v>发烧硬件</x:v>
      </x:c>
      <x:c r="D286" s="29" t="str">
        <x:v>S302</x:v>
      </x:c>
      <x:c r="E286" s="29" t="str">
        <x:v>Kailh 凯华</x:v>
      </x:c>
      <x:c r="F286" s="30" t="str"/>
      <x:c r="G286" s="29" t="str">
        <x:v>键轴/电子元件</x:v>
      </x:c>
      <x:c r="H286" s="29" t="n">
        <x:v>3</x:v>
      </x:c>
      <x:c r="I286" s="29" t="n">
        <x:v>5</x:v>
      </x:c>
      <x:c r="J286" s="29" t="n">
        <x:v>3</x:v>
      </x:c>
      <x:c r="K286" s="29" t="n">
        <x:v>2</x:v>
      </x:c>
      <x:c r="L286" s="31" t="n">
        <x:f>SUM(H286:K286)</x:f>
        <x:v>13</x:v>
      </x:c>
      <x:c r="M286" s="29" t="str">
        <x:f>IF(L286&gt;=16,"A-优先",IF(L286&gt;=12,"B-培育","C-观察"))</x:f>
        <x:v>B-培育</x:v>
      </x:c>
      <x:c r="N286" s="29" t="str">
        <x:v>电竞空间、首店首发、渠道总部、供应链与制造项目</x:v>
      </x:c>
      <x:c r="O286" s="29" t="str"/>
      <x:c r="P286" s="30" t="str"/>
      <x:c r="Q286" s="30" t="str"/>
      <x:c r="R286" s="30" t="str"/>
      <x:c r="S286" s="30" t="str"/>
      <x:c r="T286" s="30" t="str">
        <x:v>建议检索：Kailh 凯华 官方 / 公众号 / 微博 / 小红书 / 视频号</x:v>
      </x:c>
      <x:c r="U286" s="30" t="str">
        <x:v>未联系</x:v>
      </x:c>
      <x:c r="V286" s="30" t="str"/>
      <x:c r="W286" s="29" t="str">
        <x:v>高</x:v>
      </x:c>
      <x:c r="X286" s="29" t="str">
        <x:v>https://www.vgover.com/zh-tw/news/226267</x:v>
      </x:c>
    </x:row>
    <x:row r="287">
      <x:c r="A287" s="29" t="n">
        <x:v>284</x:v>
      </x:c>
      <x:c r="B287" s="29" t="str">
        <x:v>E7</x:v>
      </x:c>
      <x:c r="C287" s="29" t="str">
        <x:v>发烧硬件</x:v>
      </x:c>
      <x:c r="D287" s="29" t="str">
        <x:v>S303</x:v>
      </x:c>
      <x:c r="E287" s="29" t="str">
        <x:v>iLoubbee</x:v>
      </x:c>
      <x:c r="F287" s="30" t="str"/>
      <x:c r="G287" s="29" t="str">
        <x:v>游戏外设</x:v>
      </x:c>
      <x:c r="H287" s="29" t="n">
        <x:v>3</x:v>
      </x:c>
      <x:c r="I287" s="29" t="n">
        <x:v>5</x:v>
      </x:c>
      <x:c r="J287" s="29" t="n">
        <x:v>5</x:v>
      </x:c>
      <x:c r="K287" s="29" t="n">
        <x:v>2</x:v>
      </x:c>
      <x:c r="L287" s="31" t="n">
        <x:f>SUM(H287:K287)</x:f>
        <x:v>15</x:v>
      </x:c>
      <x:c r="M287" s="29" t="str">
        <x:f>IF(L287&gt;=16,"A-优先",IF(L287&gt;=12,"B-培育","C-观察"))</x:f>
        <x:v>B-培育</x:v>
      </x:c>
      <x:c r="N287" s="29" t="str">
        <x:v>电竞空间、首店首发、渠道总部、供应链与制造项目</x:v>
      </x:c>
      <x:c r="O287" s="29" t="str"/>
      <x:c r="P287" s="30" t="str"/>
      <x:c r="Q287" s="30" t="str"/>
      <x:c r="R287" s="30" t="str"/>
      <x:c r="S287" s="30" t="str"/>
      <x:c r="T287" s="30" t="str">
        <x:v>建议检索：iLoubbee 官方 / 公众号 / 微博 / 小红书 / 视频号</x:v>
      </x:c>
      <x:c r="U287" s="30" t="str">
        <x:v>未联系</x:v>
      </x:c>
      <x:c r="V287" s="30" t="str"/>
      <x:c r="W287" s="29" t="str">
        <x:v>高</x:v>
      </x:c>
      <x:c r="X287" s="29" t="str">
        <x:v>https://www.vgover.com/zh-tw/news/226267</x:v>
      </x:c>
    </x:row>
    <x:row r="288">
      <x:c r="A288" s="29" t="n">
        <x:v>285</x:v>
      </x:c>
      <x:c r="B288" s="29" t="str">
        <x:v>E7</x:v>
      </x:c>
      <x:c r="C288" s="29" t="str">
        <x:v>发烧硬件</x:v>
      </x:c>
      <x:c r="D288" s="29" t="str">
        <x:v>S303</x:v>
      </x:c>
      <x:c r="E288" s="29" t="str">
        <x:v>Kzzi 珂芝</x:v>
      </x:c>
      <x:c r="F288" s="30" t="str"/>
      <x:c r="G288" s="29" t="str">
        <x:v>游戏外设</x:v>
      </x:c>
      <x:c r="H288" s="29" t="n">
        <x:v>3</x:v>
      </x:c>
      <x:c r="I288" s="29" t="n">
        <x:v>5</x:v>
      </x:c>
      <x:c r="J288" s="29" t="n">
        <x:v>5</x:v>
      </x:c>
      <x:c r="K288" s="29" t="n">
        <x:v>2</x:v>
      </x:c>
      <x:c r="L288" s="31" t="n">
        <x:f>SUM(H288:K288)</x:f>
        <x:v>15</x:v>
      </x:c>
      <x:c r="M288" s="29" t="str">
        <x:f>IF(L288&gt;=16,"A-优先",IF(L288&gt;=12,"B-培育","C-观察"))</x:f>
        <x:v>B-培育</x:v>
      </x:c>
      <x:c r="N288" s="29" t="str">
        <x:v>电竞空间、首店首发、渠道总部、供应链与制造项目</x:v>
      </x:c>
      <x:c r="O288" s="29" t="str"/>
      <x:c r="P288" s="30" t="str"/>
      <x:c r="Q288" s="30" t="str"/>
      <x:c r="R288" s="30" t="str"/>
      <x:c r="S288" s="30" t="str"/>
      <x:c r="T288" s="30" t="str">
        <x:v>建议检索：Kzzi 珂芝 官方 / 公众号 / 微博 / 小红书 / 视频号</x:v>
      </x:c>
      <x:c r="U288" s="30" t="str">
        <x:v>未联系</x:v>
      </x:c>
      <x:c r="V288" s="30" t="str"/>
      <x:c r="W288" s="29" t="str">
        <x:v>高</x:v>
      </x:c>
      <x:c r="X288" s="29" t="str">
        <x:v>https://www.vgover.com/zh-tw/news/226267</x:v>
      </x:c>
    </x:row>
    <x:row r="289">
      <x:c r="A289" s="29" t="n">
        <x:v>286</x:v>
      </x:c>
      <x:c r="B289" s="29" t="str">
        <x:v>E7</x:v>
      </x:c>
      <x:c r="C289" s="29" t="str">
        <x:v>发烧硬件</x:v>
      </x:c>
      <x:c r="D289" s="29" t="str">
        <x:v>S303</x:v>
      </x:c>
      <x:c r="E289" s="29" t="str">
        <x:v>RK Royal Kludge</x:v>
      </x:c>
      <x:c r="F289" s="30" t="str"/>
      <x:c r="G289" s="29" t="str">
        <x:v>游戏外设</x:v>
      </x:c>
      <x:c r="H289" s="29" t="n">
        <x:v>3</x:v>
      </x:c>
      <x:c r="I289" s="29" t="n">
        <x:v>5</x:v>
      </x:c>
      <x:c r="J289" s="29" t="n">
        <x:v>5</x:v>
      </x:c>
      <x:c r="K289" s="29" t="n">
        <x:v>2</x:v>
      </x:c>
      <x:c r="L289" s="31" t="n">
        <x:f>SUM(H289:K289)</x:f>
        <x:v>15</x:v>
      </x:c>
      <x:c r="M289" s="29" t="str">
        <x:f>IF(L289&gt;=16,"A-优先",IF(L289&gt;=12,"B-培育","C-观察"))</x:f>
        <x:v>B-培育</x:v>
      </x:c>
      <x:c r="N289" s="29" t="str">
        <x:v>电竞空间、首店首发、渠道总部、供应链与制造项目</x:v>
      </x:c>
      <x:c r="O289" s="29" t="str"/>
      <x:c r="P289" s="30" t="str"/>
      <x:c r="Q289" s="30" t="str"/>
      <x:c r="R289" s="30" t="str"/>
      <x:c r="S289" s="30" t="str"/>
      <x:c r="T289" s="30" t="str">
        <x:v>建议检索：RK Royal Kludge 官方 / 公众号 / 微博 / 小红书 / 视频号</x:v>
      </x:c>
      <x:c r="U289" s="30" t="str">
        <x:v>未联系</x:v>
      </x:c>
      <x:c r="V289" s="30" t="str"/>
      <x:c r="W289" s="29" t="str">
        <x:v>高</x:v>
      </x:c>
      <x:c r="X289" s="29" t="str">
        <x:v>https://www.vgover.com/zh-tw/news/226267</x:v>
      </x:c>
    </x:row>
    <x:row r="290">
      <x:c r="A290" s="29" t="n">
        <x:v>287</x:v>
      </x:c>
      <x:c r="B290" s="29" t="str">
        <x:v>E7</x:v>
      </x:c>
      <x:c r="C290" s="29" t="str">
        <x:v>发烧硬件</x:v>
      </x:c>
      <x:c r="D290" s="29" t="str">
        <x:v>S305</x:v>
      </x:c>
      <x:c r="E290" s="29" t="str">
        <x:v>FGG联合展位</x:v>
      </x:c>
      <x:c r="F290" s="30" t="str"/>
      <x:c r="G290" s="29" t="str">
        <x:v>游戏外设</x:v>
      </x:c>
      <x:c r="H290" s="29" t="n">
        <x:v>3</x:v>
      </x:c>
      <x:c r="I290" s="29" t="n">
        <x:v>5</x:v>
      </x:c>
      <x:c r="J290" s="29" t="n">
        <x:v>5</x:v>
      </x:c>
      <x:c r="K290" s="29" t="n">
        <x:v>2</x:v>
      </x:c>
      <x:c r="L290" s="31" t="n">
        <x:f>SUM(H290:K290)</x:f>
        <x:v>15</x:v>
      </x:c>
      <x:c r="M290" s="29" t="str">
        <x:f>IF(L290&gt;=16,"A-优先",IF(L290&gt;=12,"B-培育","C-观察"))</x:f>
        <x:v>B-培育</x:v>
      </x:c>
      <x:c r="N290" s="29" t="str">
        <x:v>电竞空间、首店首发、渠道总部、供应链与制造项目</x:v>
      </x:c>
      <x:c r="O290" s="29" t="str"/>
      <x:c r="P290" s="30" t="str"/>
      <x:c r="Q290" s="30" t="str"/>
      <x:c r="R290" s="30" t="str"/>
      <x:c r="S290" s="30" t="str"/>
      <x:c r="T290" s="30" t="str">
        <x:v>建议检索：FGG联合展位 官方 / 公众号 / 微博 / 小红书 / 视频号</x:v>
      </x:c>
      <x:c r="U290" s="30" t="str">
        <x:v>未联系</x:v>
      </x:c>
      <x:c r="V290" s="30" t="str"/>
      <x:c r="W290" s="29" t="str">
        <x:v>高</x:v>
      </x:c>
      <x:c r="X290" s="29" t="str">
        <x:v>https://www.vgover.com/zh-tw/news/226267</x:v>
      </x:c>
    </x:row>
    <x:row r="291">
      <x:c r="A291" s="29" t="n">
        <x:v>288</x:v>
      </x:c>
      <x:c r="B291" s="29" t="str">
        <x:v>E7</x:v>
      </x:c>
      <x:c r="C291" s="29" t="str">
        <x:v>发烧硬件</x:v>
      </x:c>
      <x:c r="D291" s="29" t="str">
        <x:v>S501</x:v>
      </x:c>
      <x:c r="E291" s="29" t="str">
        <x:v>AULA 狼蛛</x:v>
      </x:c>
      <x:c r="F291" s="30" t="str"/>
      <x:c r="G291" s="29" t="str">
        <x:v>游戏外设</x:v>
      </x:c>
      <x:c r="H291" s="29" t="n">
        <x:v>3</x:v>
      </x:c>
      <x:c r="I291" s="29" t="n">
        <x:v>5</x:v>
      </x:c>
      <x:c r="J291" s="29" t="n">
        <x:v>5</x:v>
      </x:c>
      <x:c r="K291" s="29" t="n">
        <x:v>2</x:v>
      </x:c>
      <x:c r="L291" s="31" t="n">
        <x:f>SUM(H291:K291)</x:f>
        <x:v>15</x:v>
      </x:c>
      <x:c r="M291" s="29" t="str">
        <x:f>IF(L291&gt;=16,"A-优先",IF(L291&gt;=12,"B-培育","C-观察"))</x:f>
        <x:v>B-培育</x:v>
      </x:c>
      <x:c r="N291" s="29" t="str">
        <x:v>电竞空间、首店首发、渠道总部、供应链与制造项目</x:v>
      </x:c>
      <x:c r="O291" s="29" t="str"/>
      <x:c r="P291" s="30" t="str"/>
      <x:c r="Q291" s="30" t="str"/>
      <x:c r="R291" s="30" t="str"/>
      <x:c r="S291" s="30" t="str"/>
      <x:c r="T291" s="30" t="str">
        <x:v>建议检索：AULA 狼蛛 官方 / 公众号 / 微博 / 小红书 / 视频号</x:v>
      </x:c>
      <x:c r="U291" s="30" t="str">
        <x:v>未联系</x:v>
      </x:c>
      <x:c r="V291" s="30" t="str"/>
      <x:c r="W291" s="29" t="str">
        <x:v>高</x:v>
      </x:c>
      <x:c r="X291" s="29" t="str">
        <x:v>https://www.vgover.com/zh-tw/news/226267</x:v>
      </x:c>
    </x:row>
    <x:row r="292">
      <x:c r="A292" s="29" t="n">
        <x:v>289</x:v>
      </x:c>
      <x:c r="B292" s="29" t="str">
        <x:v>E7</x:v>
      </x:c>
      <x:c r="C292" s="29" t="str">
        <x:v>发烧硬件</x:v>
      </x:c>
      <x:c r="D292" s="29" t="str">
        <x:v>S502</x:v>
      </x:c>
      <x:c r="E292" s="29" t="str">
        <x:v>NUB PHV</x:v>
      </x:c>
      <x:c r="F292" s="30" t="str"/>
      <x:c r="G292" s="29" t="str">
        <x:v>游戏外设</x:v>
      </x:c>
      <x:c r="H292" s="29" t="n">
        <x:v>3</x:v>
      </x:c>
      <x:c r="I292" s="29" t="n">
        <x:v>5</x:v>
      </x:c>
      <x:c r="J292" s="29" t="n">
        <x:v>5</x:v>
      </x:c>
      <x:c r="K292" s="29" t="n">
        <x:v>2</x:v>
      </x:c>
      <x:c r="L292" s="31" t="n">
        <x:f>SUM(H292:K292)</x:f>
        <x:v>15</x:v>
      </x:c>
      <x:c r="M292" s="29" t="str">
        <x:f>IF(L292&gt;=16,"A-优先",IF(L292&gt;=12,"B-培育","C-观察"))</x:f>
        <x:v>B-培育</x:v>
      </x:c>
      <x:c r="N292" s="29" t="str">
        <x:v>电竞空间、首店首发、渠道总部、供应链与制造项目</x:v>
      </x:c>
      <x:c r="O292" s="29" t="str">
        <x:v>展位图缩写，待复核</x:v>
      </x:c>
      <x:c r="P292" s="30" t="str"/>
      <x:c r="Q292" s="30" t="str"/>
      <x:c r="R292" s="30" t="str"/>
      <x:c r="S292" s="30" t="str"/>
      <x:c r="T292" s="30" t="str">
        <x:v>建议检索：NUB PHV 官方 / 公众号 / 微博 / 小红书 / 视频号</x:v>
      </x:c>
      <x:c r="U292" s="30" t="str">
        <x:v>未联系</x:v>
      </x:c>
      <x:c r="V292" s="30" t="str"/>
      <x:c r="W292" s="29" t="str">
        <x:v>中</x:v>
      </x:c>
      <x:c r="X292" s="29" t="str">
        <x:v>https://www.vgover.com/zh-tw/news/226267</x:v>
      </x:c>
    </x:row>
    <x:row r="293">
      <x:c r="A293" s="29" t="n">
        <x:v>290</x:v>
      </x:c>
      <x:c r="B293" s="29" t="str">
        <x:v>E7</x:v>
      </x:c>
      <x:c r="C293" s="29" t="str">
        <x:v>发烧硬件</x:v>
      </x:c>
      <x:c r="D293" s="29" t="str">
        <x:v>S503</x:v>
      </x:c>
      <x:c r="E293" s="29" t="str">
        <x:v>LAMZU 兰族</x:v>
      </x:c>
      <x:c r="F293" s="30" t="str"/>
      <x:c r="G293" s="29" t="str">
        <x:v>游戏外设</x:v>
      </x:c>
      <x:c r="H293" s="29" t="n">
        <x:v>3</x:v>
      </x:c>
      <x:c r="I293" s="29" t="n">
        <x:v>5</x:v>
      </x:c>
      <x:c r="J293" s="29" t="n">
        <x:v>5</x:v>
      </x:c>
      <x:c r="K293" s="29" t="n">
        <x:v>2</x:v>
      </x:c>
      <x:c r="L293" s="31" t="n">
        <x:f>SUM(H293:K293)</x:f>
        <x:v>15</x:v>
      </x:c>
      <x:c r="M293" s="29" t="str">
        <x:f>IF(L293&gt;=16,"A-优先",IF(L293&gt;=12,"B-培育","C-观察"))</x:f>
        <x:v>B-培育</x:v>
      </x:c>
      <x:c r="N293" s="29" t="str">
        <x:v>电竞空间、首店首发、渠道总部、供应链与制造项目</x:v>
      </x:c>
      <x:c r="O293" s="29" t="str"/>
      <x:c r="P293" s="30" t="str"/>
      <x:c r="Q293" s="30" t="str"/>
      <x:c r="R293" s="30" t="str"/>
      <x:c r="S293" s="30" t="str"/>
      <x:c r="T293" s="30" t="str">
        <x:v>建议检索：LAMZU 兰族 官方 / 公众号 / 微博 / 小红书 / 视频号</x:v>
      </x:c>
      <x:c r="U293" s="30" t="str">
        <x:v>未联系</x:v>
      </x:c>
      <x:c r="V293" s="30" t="str"/>
      <x:c r="W293" s="29" t="str">
        <x:v>高</x:v>
      </x:c>
      <x:c r="X293" s="29" t="str">
        <x:v>https://www.vgover.com/zh-tw/news/226267</x:v>
      </x:c>
    </x:row>
    <x:row r="294">
      <x:c r="A294" s="29" t="n">
        <x:v>291</x:v>
      </x:c>
      <x:c r="B294" s="29" t="str">
        <x:v>E7</x:v>
      </x:c>
      <x:c r="C294" s="29" t="str">
        <x:v>发烧硬件</x:v>
      </x:c>
      <x:c r="D294" s="29" t="str">
        <x:v>S505</x:v>
      </x:c>
      <x:c r="E294" s="29" t="str">
        <x:v>Lucids Pods</x:v>
      </x:c>
      <x:c r="F294" s="30" t="str"/>
      <x:c r="G294" s="29" t="str">
        <x:v>游戏外设</x:v>
      </x:c>
      <x:c r="H294" s="29" t="n">
        <x:v>3</x:v>
      </x:c>
      <x:c r="I294" s="29" t="n">
        <x:v>5</x:v>
      </x:c>
      <x:c r="J294" s="29" t="n">
        <x:v>5</x:v>
      </x:c>
      <x:c r="K294" s="29" t="n">
        <x:v>2</x:v>
      </x:c>
      <x:c r="L294" s="31" t="n">
        <x:f>SUM(H294:K294)</x:f>
        <x:v>15</x:v>
      </x:c>
      <x:c r="M294" s="29" t="str">
        <x:f>IF(L294&gt;=16,"A-优先",IF(L294&gt;=12,"B-培育","C-观察"))</x:f>
        <x:v>B-培育</x:v>
      </x:c>
      <x:c r="N294" s="29" t="str">
        <x:v>电竞空间、首店首发、渠道总部、供应链与制造项目</x:v>
      </x:c>
      <x:c r="O294" s="29" t="str"/>
      <x:c r="P294" s="30" t="str"/>
      <x:c r="Q294" s="30" t="str"/>
      <x:c r="R294" s="30" t="str"/>
      <x:c r="S294" s="30" t="str"/>
      <x:c r="T294" s="30" t="str">
        <x:v>建议检索：Lucids Pods 官方 / 公众号 / 微博 / 小红书 / 视频号</x:v>
      </x:c>
      <x:c r="U294" s="30" t="str">
        <x:v>未联系</x:v>
      </x:c>
      <x:c r="V294" s="30" t="str"/>
      <x:c r="W294" s="29" t="str">
        <x:v>高</x:v>
      </x:c>
      <x:c r="X294" s="29" t="str">
        <x:v>https://www.vgover.com/zh-tw/news/226267</x:v>
      </x:c>
    </x:row>
    <x:row r="295">
      <x:c r="A295" s="29" t="n">
        <x:v>292</x:v>
      </x:c>
      <x:c r="B295" s="29" t="str">
        <x:v>E7</x:v>
      </x:c>
      <x:c r="C295" s="29" t="str">
        <x:v>发烧硬件</x:v>
      </x:c>
      <x:c r="D295" s="29" t="str">
        <x:v>S601</x:v>
      </x:c>
      <x:c r="E295" s="29" t="str">
        <x:v>Akko</x:v>
      </x:c>
      <x:c r="F295" s="30" t="str"/>
      <x:c r="G295" s="29" t="str">
        <x:v>游戏外设</x:v>
      </x:c>
      <x:c r="H295" s="29" t="n">
        <x:v>3</x:v>
      </x:c>
      <x:c r="I295" s="29" t="n">
        <x:v>5</x:v>
      </x:c>
      <x:c r="J295" s="29" t="n">
        <x:v>5</x:v>
      </x:c>
      <x:c r="K295" s="29" t="n">
        <x:v>4</x:v>
      </x:c>
      <x:c r="L295" s="31" t="n">
        <x:f>SUM(H295:K295)</x:f>
        <x:v>17</x:v>
      </x:c>
      <x:c r="M295" s="29" t="str">
        <x:f>IF(L295&gt;=16,"A-优先",IF(L295&gt;=12,"B-培育","C-观察"))</x:f>
        <x:v>A-优先</x:v>
      </x:c>
      <x:c r="N295" s="29" t="str">
        <x:v>电竞空间、首店首发、渠道总部、供应链与制造项目</x:v>
      </x:c>
      <x:c r="O295" s="29" t="str"/>
      <x:c r="P295" s="30" t="str"/>
      <x:c r="Q295" s="30" t="str"/>
      <x:c r="R295" s="30" t="str"/>
      <x:c r="S295" s="30" t="str">
        <x:v>https://www.akkogear.com/</x:v>
      </x:c>
      <x:c r="T295" s="30" t="str">
        <x:v>Akko 官方网站/认证公众号/微博（招商前复核具体商务入口）</x:v>
      </x:c>
      <x:c r="U295" s="30" t="str">
        <x:v>未联系</x:v>
      </x:c>
      <x:c r="V295" s="30" t="str"/>
      <x:c r="W295" s="29" t="str">
        <x:v>高</x:v>
      </x:c>
      <x:c r="X295" s="29" t="str">
        <x:v>https://www.vgover.com/zh-tw/news/226267</x:v>
      </x:c>
    </x:row>
    <x:row r="296">
      <x:c r="A296" s="29" t="n">
        <x:v>293</x:v>
      </x:c>
      <x:c r="B296" s="29" t="str">
        <x:v>E7</x:v>
      </x:c>
      <x:c r="C296" s="29" t="str">
        <x:v>发烧硬件</x:v>
      </x:c>
      <x:c r="D296" s="29" t="str">
        <x:v>S602</x:v>
      </x:c>
      <x:c r="E296" s="29" t="str">
        <x:v>前行者</x:v>
      </x:c>
      <x:c r="F296" s="30" t="str"/>
      <x:c r="G296" s="29" t="str">
        <x:v>游戏外设</x:v>
      </x:c>
      <x:c r="H296" s="29" t="n">
        <x:v>3</x:v>
      </x:c>
      <x:c r="I296" s="29" t="n">
        <x:v>5</x:v>
      </x:c>
      <x:c r="J296" s="29" t="n">
        <x:v>5</x:v>
      </x:c>
      <x:c r="K296" s="29" t="n">
        <x:v>2</x:v>
      </x:c>
      <x:c r="L296" s="31" t="n">
        <x:f>SUM(H296:K296)</x:f>
        <x:v>15</x:v>
      </x:c>
      <x:c r="M296" s="29" t="str">
        <x:f>IF(L296&gt;=16,"A-优先",IF(L296&gt;=12,"B-培育","C-观察"))</x:f>
        <x:v>B-培育</x:v>
      </x:c>
      <x:c r="N296" s="29" t="str">
        <x:v>电竞空间、首店首发、渠道总部、供应链与制造项目</x:v>
      </x:c>
      <x:c r="O296" s="29" t="str"/>
      <x:c r="P296" s="30" t="str"/>
      <x:c r="Q296" s="30" t="str"/>
      <x:c r="R296" s="30" t="str"/>
      <x:c r="S296" s="30" t="str"/>
      <x:c r="T296" s="30" t="str">
        <x:v>建议检索：前行者 官方 / 公众号 / 微博 / 小红书 / 视频号</x:v>
      </x:c>
      <x:c r="U296" s="30" t="str">
        <x:v>未联系</x:v>
      </x:c>
      <x:c r="V296" s="30" t="str"/>
      <x:c r="W296" s="29" t="str">
        <x:v>高</x:v>
      </x:c>
      <x:c r="X296" s="29" t="str">
        <x:v>https://www.vgover.com/zh-tw/news/226267</x:v>
      </x:c>
    </x:row>
    <x:row r="297">
      <x:c r="A297" s="29" t="n">
        <x:v>294</x:v>
      </x:c>
      <x:c r="B297" s="29" t="str">
        <x:v>E7</x:v>
      </x:c>
      <x:c r="C297" s="29" t="str">
        <x:v>发烧硬件</x:v>
      </x:c>
      <x:c r="D297" s="29" t="str">
        <x:v>S603-1</x:v>
      </x:c>
      <x:c r="E297" s="29" t="str">
        <x:v>BLACK SHARK 黑鲨</x:v>
      </x:c>
      <x:c r="F297" s="30" t="str"/>
      <x:c r="G297" s="29" t="str">
        <x:v>游戏外设/电竞</x:v>
      </x:c>
      <x:c r="H297" s="29" t="n">
        <x:v>3</x:v>
      </x:c>
      <x:c r="I297" s="29" t="n">
        <x:v>5</x:v>
      </x:c>
      <x:c r="J297" s="29" t="n">
        <x:v>5</x:v>
      </x:c>
      <x:c r="K297" s="29" t="n">
        <x:v>2</x:v>
      </x:c>
      <x:c r="L297" s="31" t="n">
        <x:f>SUM(H297:K297)</x:f>
        <x:v>15</x:v>
      </x:c>
      <x:c r="M297" s="29" t="str">
        <x:f>IF(L297&gt;=16,"A-优先",IF(L297&gt;=12,"B-培育","C-观察"))</x:f>
        <x:v>B-培育</x:v>
      </x:c>
      <x:c r="N297" s="29" t="str">
        <x:v>电竞空间、首店首发、渠道总部、供应链与制造项目</x:v>
      </x:c>
      <x:c r="O297" s="29" t="str"/>
      <x:c r="P297" s="30" t="str"/>
      <x:c r="Q297" s="30" t="str"/>
      <x:c r="R297" s="30" t="str"/>
      <x:c r="S297" s="30" t="str"/>
      <x:c r="T297" s="30" t="str">
        <x:v>建议检索：BLACK SHARK 黑鲨 官方 / 公众号 / 微博 / 小红书 / 视频号</x:v>
      </x:c>
      <x:c r="U297" s="30" t="str">
        <x:v>未联系</x:v>
      </x:c>
      <x:c r="V297" s="30" t="str"/>
      <x:c r="W297" s="29" t="str">
        <x:v>高</x:v>
      </x:c>
      <x:c r="X297" s="29" t="str">
        <x:v>https://www.vgover.com/zh-tw/news/226267</x:v>
      </x:c>
    </x:row>
    <x:row r="298">
      <x:c r="A298" s="29" t="n">
        <x:v>295</x:v>
      </x:c>
      <x:c r="B298" s="29" t="str">
        <x:v>E7</x:v>
      </x:c>
      <x:c r="C298" s="29" t="str">
        <x:v>发烧硬件</x:v>
      </x:c>
      <x:c r="D298" s="29" t="str">
        <x:v>S603-2</x:v>
      </x:c>
      <x:c r="E298" s="29" t="str">
        <x:v>墨将</x:v>
      </x:c>
      <x:c r="F298" s="30" t="str"/>
      <x:c r="G298" s="29" t="str">
        <x:v>游戏外设</x:v>
      </x:c>
      <x:c r="H298" s="29" t="n">
        <x:v>3</x:v>
      </x:c>
      <x:c r="I298" s="29" t="n">
        <x:v>5</x:v>
      </x:c>
      <x:c r="J298" s="29" t="n">
        <x:v>5</x:v>
      </x:c>
      <x:c r="K298" s="29" t="n">
        <x:v>2</x:v>
      </x:c>
      <x:c r="L298" s="31" t="n">
        <x:f>SUM(H298:K298)</x:f>
        <x:v>15</x:v>
      </x:c>
      <x:c r="M298" s="29" t="str">
        <x:f>IF(L298&gt;=16,"A-优先",IF(L298&gt;=12,"B-培育","C-观察"))</x:f>
        <x:v>B-培育</x:v>
      </x:c>
      <x:c r="N298" s="29" t="str">
        <x:v>电竞空间、首店首发、渠道总部、供应链与制造项目</x:v>
      </x:c>
      <x:c r="O298" s="29" t="str"/>
      <x:c r="P298" s="30" t="str"/>
      <x:c r="Q298" s="30" t="str"/>
      <x:c r="R298" s="30" t="str"/>
      <x:c r="S298" s="30" t="str"/>
      <x:c r="T298" s="30" t="str">
        <x:v>建议检索：墨将 官方 / 公众号 / 微博 / 小红书 / 视频号</x:v>
      </x:c>
      <x:c r="U298" s="30" t="str">
        <x:v>未联系</x:v>
      </x:c>
      <x:c r="V298" s="30" t="str"/>
      <x:c r="W298" s="29" t="str">
        <x:v>高</x:v>
      </x:c>
      <x:c r="X298" s="29" t="str">
        <x:v>https://www.vgover.com/zh-tw/news/226267</x:v>
      </x:c>
    </x:row>
    <x:row r="299">
      <x:c r="A299" s="29" t="n">
        <x:v>296</x:v>
      </x:c>
      <x:c r="B299" s="29" t="str">
        <x:v>E7</x:v>
      </x:c>
      <x:c r="C299" s="29" t="str">
        <x:v>发烧硬件</x:v>
      </x:c>
      <x:c r="D299" s="29" t="str">
        <x:v>S605</x:v>
      </x:c>
      <x:c r="E299" s="29" t="str">
        <x:v>KTC</x:v>
      </x:c>
      <x:c r="F299" s="30" t="str"/>
      <x:c r="G299" s="29" t="str">
        <x:v>显示器</x:v>
      </x:c>
      <x:c r="H299" s="29" t="n">
        <x:v>4</x:v>
      </x:c>
      <x:c r="I299" s="29" t="n">
        <x:v>5</x:v>
      </x:c>
      <x:c r="J299" s="29" t="n">
        <x:v>3</x:v>
      </x:c>
      <x:c r="K299" s="29" t="n">
        <x:v>2</x:v>
      </x:c>
      <x:c r="L299" s="31" t="n">
        <x:f>SUM(H299:K299)</x:f>
        <x:v>14</x:v>
      </x:c>
      <x:c r="M299" s="29" t="str">
        <x:f>IF(L299&gt;=16,"A-优先",IF(L299&gt;=12,"B-培育","C-观察"))</x:f>
        <x:v>B-培育</x:v>
      </x:c>
      <x:c r="N299" s="29" t="str">
        <x:v>电竞空间、首店首发、渠道总部、供应链与制造项目</x:v>
      </x:c>
      <x:c r="O299" s="29" t="str"/>
      <x:c r="P299" s="30" t="str"/>
      <x:c r="Q299" s="30" t="str"/>
      <x:c r="R299" s="30" t="str"/>
      <x:c r="S299" s="30" t="str"/>
      <x:c r="T299" s="30" t="str">
        <x:v>建议检索：KTC 官方 / 公众号 / 微博 / 小红书 / 视频号</x:v>
      </x:c>
      <x:c r="U299" s="30" t="str">
        <x:v>未联系</x:v>
      </x:c>
      <x:c r="V299" s="30" t="str"/>
      <x:c r="W299" s="29" t="str">
        <x:v>高</x:v>
      </x:c>
      <x:c r="X299" s="29" t="str">
        <x:v>https://www.vgover.com/zh-tw/news/226267</x:v>
      </x:c>
    </x:row>
    <x:row r="300">
      <x:c r="A300" s="29" t="n">
        <x:v>297</x:v>
      </x:c>
      <x:c r="B300" s="29" t="str">
        <x:v>E7</x:v>
      </x:c>
      <x:c r="C300" s="29" t="str">
        <x:v>发烧硬件</x:v>
      </x:c>
      <x:c r="D300" s="29" t="str">
        <x:v>S701-1</x:v>
      </x:c>
      <x:c r="E300" s="29" t="str">
        <x:v>TTC 正牌科电</x:v>
      </x:c>
      <x:c r="F300" s="30" t="str"/>
      <x:c r="G300" s="29" t="str">
        <x:v>键轴/电子元件</x:v>
      </x:c>
      <x:c r="H300" s="29" t="n">
        <x:v>3</x:v>
      </x:c>
      <x:c r="I300" s="29" t="n">
        <x:v>5</x:v>
      </x:c>
      <x:c r="J300" s="29" t="n">
        <x:v>3</x:v>
      </x:c>
      <x:c r="K300" s="29" t="n">
        <x:v>2</x:v>
      </x:c>
      <x:c r="L300" s="31" t="n">
        <x:f>SUM(H300:K300)</x:f>
        <x:v>13</x:v>
      </x:c>
      <x:c r="M300" s="29" t="str">
        <x:f>IF(L300&gt;=16,"A-优先",IF(L300&gt;=12,"B-培育","C-观察"))</x:f>
        <x:v>B-培育</x:v>
      </x:c>
      <x:c r="N300" s="29" t="str">
        <x:v>电竞空间、首店首发、渠道总部、供应链与制造项目</x:v>
      </x:c>
      <x:c r="O300" s="29" t="str"/>
      <x:c r="P300" s="30" t="str"/>
      <x:c r="Q300" s="30" t="str"/>
      <x:c r="R300" s="30" t="str"/>
      <x:c r="S300" s="30" t="str"/>
      <x:c r="T300" s="30" t="str">
        <x:v>建议检索：TTC 正牌科电 官方 / 公众号 / 微博 / 小红书 / 视频号</x:v>
      </x:c>
      <x:c r="U300" s="30" t="str">
        <x:v>未联系</x:v>
      </x:c>
      <x:c r="V300" s="30" t="str"/>
      <x:c r="W300" s="29" t="str">
        <x:v>高</x:v>
      </x:c>
      <x:c r="X300" s="29" t="str">
        <x:v>https://www.vgover.com/zh-tw/news/226267</x:v>
      </x:c>
    </x:row>
    <x:row r="301">
      <x:c r="A301" s="29" t="n">
        <x:v>298</x:v>
      </x:c>
      <x:c r="B301" s="29" t="str">
        <x:v>E7</x:v>
      </x:c>
      <x:c r="C301" s="29" t="str">
        <x:v>发烧硬件</x:v>
      </x:c>
      <x:c r="D301" s="29" t="str">
        <x:v>S701-2</x:v>
      </x:c>
      <x:c r="E301" s="29" t="str">
        <x:v>MelGeek 蜜氪</x:v>
      </x:c>
      <x:c r="F301" s="30" t="str"/>
      <x:c r="G301" s="29" t="str">
        <x:v>游戏外设</x:v>
      </x:c>
      <x:c r="H301" s="29" t="n">
        <x:v>3</x:v>
      </x:c>
      <x:c r="I301" s="29" t="n">
        <x:v>5</x:v>
      </x:c>
      <x:c r="J301" s="29" t="n">
        <x:v>5</x:v>
      </x:c>
      <x:c r="K301" s="29" t="n">
        <x:v>2</x:v>
      </x:c>
      <x:c r="L301" s="31" t="n">
        <x:f>SUM(H301:K301)</x:f>
        <x:v>15</x:v>
      </x:c>
      <x:c r="M301" s="29" t="str">
        <x:f>IF(L301&gt;=16,"A-优先",IF(L301&gt;=12,"B-培育","C-观察"))</x:f>
        <x:v>B-培育</x:v>
      </x:c>
      <x:c r="N301" s="29" t="str">
        <x:v>电竞空间、首店首发、渠道总部、供应链与制造项目</x:v>
      </x:c>
      <x:c r="O301" s="29" t="str"/>
      <x:c r="P301" s="30" t="str"/>
      <x:c r="Q301" s="30" t="str"/>
      <x:c r="R301" s="30" t="str"/>
      <x:c r="S301" s="30" t="str"/>
      <x:c r="T301" s="30" t="str">
        <x:v>建议检索：MelGeek 蜜氪 官方 / 公众号 / 微博 / 小红书 / 视频号</x:v>
      </x:c>
      <x:c r="U301" s="30" t="str">
        <x:v>未联系</x:v>
      </x:c>
      <x:c r="V301" s="30" t="str"/>
      <x:c r="W301" s="29" t="str">
        <x:v>高</x:v>
      </x:c>
      <x:c r="X301" s="29" t="str">
        <x:v>https://www.vgover.com/zh-tw/news/226267</x:v>
      </x:c>
    </x:row>
    <x:row r="302">
      <x:c r="A302" s="29" t="n">
        <x:v>299</x:v>
      </x:c>
      <x:c r="B302" s="29" t="str">
        <x:v>E7</x:v>
      </x:c>
      <x:c r="C302" s="29" t="str">
        <x:v>发烧硬件</x:v>
      </x:c>
      <x:c r="D302" s="29" t="str">
        <x:v>S702</x:v>
      </x:c>
      <x:c r="E302" s="29" t="str">
        <x:v>IQUNIX 铝厂</x:v>
      </x:c>
      <x:c r="F302" s="30" t="str"/>
      <x:c r="G302" s="29" t="str">
        <x:v>游戏外设</x:v>
      </x:c>
      <x:c r="H302" s="29" t="n">
        <x:v>3</x:v>
      </x:c>
      <x:c r="I302" s="29" t="n">
        <x:v>5</x:v>
      </x:c>
      <x:c r="J302" s="29" t="n">
        <x:v>5</x:v>
      </x:c>
      <x:c r="K302" s="29" t="n">
        <x:v>2</x:v>
      </x:c>
      <x:c r="L302" s="31" t="n">
        <x:f>SUM(H302:K302)</x:f>
        <x:v>15</x:v>
      </x:c>
      <x:c r="M302" s="29" t="str">
        <x:f>IF(L302&gt;=16,"A-优先",IF(L302&gt;=12,"B-培育","C-观察"))</x:f>
        <x:v>B-培育</x:v>
      </x:c>
      <x:c r="N302" s="29" t="str">
        <x:v>电竞空间、首店首发、渠道总部、供应链与制造项目</x:v>
      </x:c>
      <x:c r="O302" s="29" t="str"/>
      <x:c r="P302" s="30" t="str"/>
      <x:c r="Q302" s="30" t="str"/>
      <x:c r="R302" s="30" t="str"/>
      <x:c r="S302" s="30" t="str"/>
      <x:c r="T302" s="30" t="str">
        <x:v>建议检索：IQUNIX 铝厂 官方 / 公众号 / 微博 / 小红书 / 视频号</x:v>
      </x:c>
      <x:c r="U302" s="30" t="str">
        <x:v>未联系</x:v>
      </x:c>
      <x:c r="V302" s="30" t="str"/>
      <x:c r="W302" s="29" t="str">
        <x:v>高</x:v>
      </x:c>
      <x:c r="X302" s="29" t="str">
        <x:v>https://www.vgover.com/zh-tw/news/226267</x:v>
      </x:c>
    </x:row>
    <x:row r="303">
      <x:c r="A303" s="29" t="n">
        <x:v>300</x:v>
      </x:c>
      <x:c r="B303" s="29" t="str">
        <x:v>E7</x:v>
      </x:c>
      <x:c r="C303" s="29" t="str">
        <x:v>发烧硬件</x:v>
      </x:c>
      <x:c r="D303" s="29" t="str">
        <x:v>S705</x:v>
      </x:c>
      <x:c r="E303" s="29" t="str">
        <x:v>AWP Productions</x:v>
      </x:c>
      <x:c r="F303" s="30" t="str"/>
      <x:c r="G303" s="29" t="str">
        <x:v>游戏外设</x:v>
      </x:c>
      <x:c r="H303" s="29" t="n">
        <x:v>3</x:v>
      </x:c>
      <x:c r="I303" s="29" t="n">
        <x:v>5</x:v>
      </x:c>
      <x:c r="J303" s="29" t="n">
        <x:v>5</x:v>
      </x:c>
      <x:c r="K303" s="29" t="n">
        <x:v>2</x:v>
      </x:c>
      <x:c r="L303" s="31" t="n">
        <x:f>SUM(H303:K303)</x:f>
        <x:v>15</x:v>
      </x:c>
      <x:c r="M303" s="29" t="str">
        <x:f>IF(L303&gt;=16,"A-优先",IF(L303&gt;=12,"B-培育","C-观察"))</x:f>
        <x:v>B-培育</x:v>
      </x:c>
      <x:c r="N303" s="29" t="str">
        <x:v>电竞空间、首店首发、渠道总部、供应链与制造项目</x:v>
      </x:c>
      <x:c r="O303" s="29" t="str"/>
      <x:c r="P303" s="30" t="str"/>
      <x:c r="Q303" s="30" t="str"/>
      <x:c r="R303" s="30" t="str"/>
      <x:c r="S303" s="30" t="str"/>
      <x:c r="T303" s="30" t="str">
        <x:v>建议检索：AWP Productions 官方 / 公众号 / 微博 / 小红书 / 视频号</x:v>
      </x:c>
      <x:c r="U303" s="30" t="str">
        <x:v>未联系</x:v>
      </x:c>
      <x:c r="V303" s="30" t="str"/>
      <x:c r="W303" s="29" t="str">
        <x:v>高</x:v>
      </x:c>
      <x:c r="X303" s="29" t="str">
        <x:v>https://www.vgover.com/zh-tw/news/226267</x:v>
      </x:c>
    </x:row>
    <x:row r="304">
      <x:c r="A304" s="29" t="n">
        <x:v>301</x:v>
      </x:c>
      <x:c r="B304" s="29" t="str">
        <x:v>E7</x:v>
      </x:c>
      <x:c r="C304" s="29" t="str">
        <x:v>发烧硬件</x:v>
      </x:c>
      <x:c r="D304" s="29" t="str">
        <x:v>S706</x:v>
      </x:c>
      <x:c r="E304" s="29" t="str">
        <x:v>LunaFury</x:v>
      </x:c>
      <x:c r="F304" s="30" t="str"/>
      <x:c r="G304" s="29" t="str">
        <x:v>游戏外设</x:v>
      </x:c>
      <x:c r="H304" s="29" t="n">
        <x:v>3</x:v>
      </x:c>
      <x:c r="I304" s="29" t="n">
        <x:v>5</x:v>
      </x:c>
      <x:c r="J304" s="29" t="n">
        <x:v>5</x:v>
      </x:c>
      <x:c r="K304" s="29" t="n">
        <x:v>2</x:v>
      </x:c>
      <x:c r="L304" s="31" t="n">
        <x:f>SUM(H304:K304)</x:f>
        <x:v>15</x:v>
      </x:c>
      <x:c r="M304" s="29" t="str">
        <x:f>IF(L304&gt;=16,"A-优先",IF(L304&gt;=12,"B-培育","C-观察"))</x:f>
        <x:v>B-培育</x:v>
      </x:c>
      <x:c r="N304" s="29" t="str">
        <x:v>电竞空间、首店首发、渠道总部、供应链与制造项目</x:v>
      </x:c>
      <x:c r="O304" s="29" t="str"/>
      <x:c r="P304" s="30" t="str"/>
      <x:c r="Q304" s="30" t="str"/>
      <x:c r="R304" s="30" t="str"/>
      <x:c r="S304" s="30" t="str"/>
      <x:c r="T304" s="30" t="str">
        <x:v>建议检索：LunaFury 官方 / 公众号 / 微博 / 小红书 / 视频号</x:v>
      </x:c>
      <x:c r="U304" s="30" t="str">
        <x:v>未联系</x:v>
      </x:c>
      <x:c r="V304" s="30" t="str"/>
      <x:c r="W304" s="29" t="str">
        <x:v>高</x:v>
      </x:c>
      <x:c r="X304" s="29" t="str">
        <x:v>https://www.vgover.com/zh-tw/news/226267</x:v>
      </x:c>
    </x:row>
    <x:row r="305">
      <x:c r="A305" s="29" t="n">
        <x:v>302</x:v>
      </x:c>
      <x:c r="B305" s="29" t="str">
        <x:v>E7</x:v>
      </x:c>
      <x:c r="C305" s="29" t="str">
        <x:v>发烧硬件</x:v>
      </x:c>
      <x:c r="D305" s="29" t="str">
        <x:v>S707</x:v>
      </x:c>
      <x:c r="E305" s="29" t="str">
        <x:v>WALLHACK</x:v>
      </x:c>
      <x:c r="F305" s="30" t="str"/>
      <x:c r="G305" s="29" t="str">
        <x:v>电竞鼠标垫</x:v>
      </x:c>
      <x:c r="H305" s="29" t="n">
        <x:v>3</x:v>
      </x:c>
      <x:c r="I305" s="29" t="n">
        <x:v>5</x:v>
      </x:c>
      <x:c r="J305" s="29" t="n">
        <x:v>5</x:v>
      </x:c>
      <x:c r="K305" s="29" t="n">
        <x:v>2</x:v>
      </x:c>
      <x:c r="L305" s="31" t="n">
        <x:f>SUM(H305:K305)</x:f>
        <x:v>15</x:v>
      </x:c>
      <x:c r="M305" s="29" t="str">
        <x:f>IF(L305&gt;=16,"A-优先",IF(L305&gt;=12,"B-培育","C-观察"))</x:f>
        <x:v>B-培育</x:v>
      </x:c>
      <x:c r="N305" s="29" t="str">
        <x:v>电竞空间、首店首发、渠道总部、供应链与制造项目</x:v>
      </x:c>
      <x:c r="O305" s="29" t="str"/>
      <x:c r="P305" s="30" t="str"/>
      <x:c r="Q305" s="30" t="str"/>
      <x:c r="R305" s="30" t="str"/>
      <x:c r="S305" s="30" t="str"/>
      <x:c r="T305" s="30" t="str">
        <x:v>建议检索：WALLHACK 官方 / 公众号 / 微博 / 小红书 / 视频号</x:v>
      </x:c>
      <x:c r="U305" s="30" t="str">
        <x:v>未联系</x:v>
      </x:c>
      <x:c r="V305" s="30" t="str"/>
      <x:c r="W305" s="29" t="str">
        <x:v>高</x:v>
      </x:c>
      <x:c r="X305" s="29" t="str">
        <x:v>https://www.vgover.com/zh-tw/news/226267</x:v>
      </x:c>
    </x:row>
    <x:row r="306">
      <x:c r="A306" s="29" t="n">
        <x:v>303</x:v>
      </x:c>
      <x:c r="B306" s="29" t="str">
        <x:v>E7</x:v>
      </x:c>
      <x:c r="C306" s="29" t="str">
        <x:v>发烧硬件</x:v>
      </x:c>
      <x:c r="D306" s="29" t="str">
        <x:v>S708</x:v>
      </x:c>
      <x:c r="E306" s="29" t="str">
        <x:v>LiberNovo 清闲</x:v>
      </x:c>
      <x:c r="F306" s="30" t="str"/>
      <x:c r="G306" s="29" t="str">
        <x:v>智能座椅</x:v>
      </x:c>
      <x:c r="H306" s="29" t="n">
        <x:v>3</x:v>
      </x:c>
      <x:c r="I306" s="29" t="n">
        <x:v>5</x:v>
      </x:c>
      <x:c r="J306" s="29" t="n">
        <x:v>3</x:v>
      </x:c>
      <x:c r="K306" s="29" t="n">
        <x:v>2</x:v>
      </x:c>
      <x:c r="L306" s="31" t="n">
        <x:f>SUM(H306:K306)</x:f>
        <x:v>13</x:v>
      </x:c>
      <x:c r="M306" s="29" t="str">
        <x:f>IF(L306&gt;=16,"A-优先",IF(L306&gt;=12,"B-培育","C-观察"))</x:f>
        <x:v>B-培育</x:v>
      </x:c>
      <x:c r="N306" s="29" t="str">
        <x:v>电竞空间、首店首发、渠道总部、供应链与制造项目</x:v>
      </x:c>
      <x:c r="O306" s="29" t="str"/>
      <x:c r="P306" s="30" t="str"/>
      <x:c r="Q306" s="30" t="str"/>
      <x:c r="R306" s="30" t="str"/>
      <x:c r="S306" s="30" t="str"/>
      <x:c r="T306" s="30" t="str">
        <x:v>建议检索：LiberNovo 清闲 官方 / 公众号 / 微博 / 小红书 / 视频号</x:v>
      </x:c>
      <x:c r="U306" s="30" t="str">
        <x:v>未联系</x:v>
      </x:c>
      <x:c r="V306" s="30" t="str"/>
      <x:c r="W306" s="29" t="str">
        <x:v>高</x:v>
      </x:c>
      <x:c r="X306" s="29" t="str">
        <x:v>https://www.vgover.com/zh-tw/news/226267</x:v>
      </x:c>
    </x:row>
    <x:row r="307">
      <x:c r="A307" s="29" t="n">
        <x:v>304</x:v>
      </x:c>
      <x:c r="B307" s="29" t="str">
        <x:v>E7</x:v>
      </x:c>
      <x:c r="C307" s="29" t="str">
        <x:v>发烧硬件</x:v>
      </x:c>
      <x:c r="D307" s="29" t="str">
        <x:v>S801</x:v>
      </x:c>
      <x:c r="E307" s="29" t="str">
        <x:v>Morphling 变体精灵</x:v>
      </x:c>
      <x:c r="F307" s="30" t="str"/>
      <x:c r="G307" s="29" t="str">
        <x:v>电竞空间装备</x:v>
      </x:c>
      <x:c r="H307" s="29" t="n">
        <x:v>3</x:v>
      </x:c>
      <x:c r="I307" s="29" t="n">
        <x:v>5</x:v>
      </x:c>
      <x:c r="J307" s="29" t="n">
        <x:v>5</x:v>
      </x:c>
      <x:c r="K307" s="29" t="n">
        <x:v>2</x:v>
      </x:c>
      <x:c r="L307" s="31" t="n">
        <x:f>SUM(H307:K307)</x:f>
        <x:v>15</x:v>
      </x:c>
      <x:c r="M307" s="29" t="str">
        <x:f>IF(L307&gt;=16,"A-优先",IF(L307&gt;=12,"B-培育","C-观察"))</x:f>
        <x:v>B-培育</x:v>
      </x:c>
      <x:c r="N307" s="29" t="str">
        <x:v>电竞空间、首店首发、渠道总部、供应链与制造项目</x:v>
      </x:c>
      <x:c r="O307" s="29" t="str"/>
      <x:c r="P307" s="30" t="str"/>
      <x:c r="Q307" s="30" t="str"/>
      <x:c r="R307" s="30" t="str"/>
      <x:c r="S307" s="30" t="str"/>
      <x:c r="T307" s="30" t="str">
        <x:v>建议检索：Morphling 变体精灵 官方 / 公众号 / 微博 / 小红书 / 视频号</x:v>
      </x:c>
      <x:c r="U307" s="30" t="str">
        <x:v>未联系</x:v>
      </x:c>
      <x:c r="V307" s="30" t="str"/>
      <x:c r="W307" s="29" t="str">
        <x:v>高</x:v>
      </x:c>
      <x:c r="X307" s="29" t="str">
        <x:v>https://www.vgover.com/zh-tw/news/226267</x:v>
      </x:c>
    </x:row>
    <x:row r="308">
      <x:c r="A308" s="29" t="n">
        <x:v>305</x:v>
      </x:c>
      <x:c r="B308" s="29" t="str">
        <x:v>E7</x:v>
      </x:c>
      <x:c r="C308" s="29" t="str">
        <x:v>发烧硬件</x:v>
      </x:c>
      <x:c r="D308" s="29" t="str">
        <x:v>S802</x:v>
      </x:c>
      <x:c r="E308" s="29" t="str">
        <x:v>DAREU 达尔优</x:v>
      </x:c>
      <x:c r="F308" s="30" t="str"/>
      <x:c r="G308" s="29" t="str">
        <x:v>游戏外设</x:v>
      </x:c>
      <x:c r="H308" s="29" t="n">
        <x:v>3</x:v>
      </x:c>
      <x:c r="I308" s="29" t="n">
        <x:v>5</x:v>
      </x:c>
      <x:c r="J308" s="29" t="n">
        <x:v>5</x:v>
      </x:c>
      <x:c r="K308" s="29" t="n">
        <x:v>4</x:v>
      </x:c>
      <x:c r="L308" s="31" t="n">
        <x:f>SUM(H308:K308)</x:f>
        <x:v>17</x:v>
      </x:c>
      <x:c r="M308" s="29" t="str">
        <x:f>IF(L308&gt;=16,"A-优先",IF(L308&gt;=12,"B-培育","C-观察"))</x:f>
        <x:v>A-优先</x:v>
      </x:c>
      <x:c r="N308" s="29" t="str">
        <x:v>电竞空间、首店首发、渠道总部、供应链与制造项目</x:v>
      </x:c>
      <x:c r="O308" s="29" t="str"/>
      <x:c r="P308" s="30" t="str"/>
      <x:c r="Q308" s="30" t="str"/>
      <x:c r="R308" s="30" t="str"/>
      <x:c r="S308" s="30" t="str">
        <x:v>https://www.dareu.com/</x:v>
      </x:c>
      <x:c r="T308" s="30" t="str">
        <x:v>DAREU 达尔优 官方网站/认证公众号/微博（招商前复核具体商务入口）</x:v>
      </x:c>
      <x:c r="U308" s="30" t="str">
        <x:v>未联系</x:v>
      </x:c>
      <x:c r="V308" s="30" t="str"/>
      <x:c r="W308" s="29" t="str">
        <x:v>高</x:v>
      </x:c>
      <x:c r="X308" s="29" t="str">
        <x:v>https://www.vgover.com/zh-tw/news/226267</x:v>
      </x:c>
    </x:row>
    <x:row r="309">
      <x:c r="A309" s="29" t="n">
        <x:v>306</x:v>
      </x:c>
      <x:c r="B309" s="29" t="str">
        <x:v>E7</x:v>
      </x:c>
      <x:c r="C309" s="29" t="str">
        <x:v>发烧硬件</x:v>
      </x:c>
      <x:c r="D309" s="29" t="str">
        <x:v>S805</x:v>
      </x:c>
      <x:c r="E309" s="29" t="str">
        <x:v>NINJUTSO</x:v>
      </x:c>
      <x:c r="F309" s="30" t="str"/>
      <x:c r="G309" s="29" t="str">
        <x:v>游戏外设</x:v>
      </x:c>
      <x:c r="H309" s="29" t="n">
        <x:v>3</x:v>
      </x:c>
      <x:c r="I309" s="29" t="n">
        <x:v>5</x:v>
      </x:c>
      <x:c r="J309" s="29" t="n">
        <x:v>5</x:v>
      </x:c>
      <x:c r="K309" s="29" t="n">
        <x:v>2</x:v>
      </x:c>
      <x:c r="L309" s="31" t="n">
        <x:f>SUM(H309:K309)</x:f>
        <x:v>15</x:v>
      </x:c>
      <x:c r="M309" s="29" t="str">
        <x:f>IF(L309&gt;=16,"A-优先",IF(L309&gt;=12,"B-培育","C-观察"))</x:f>
        <x:v>B-培育</x:v>
      </x:c>
      <x:c r="N309" s="29" t="str">
        <x:v>电竞空间、首店首发、渠道总部、供应链与制造项目</x:v>
      </x:c>
      <x:c r="O309" s="29" t="str"/>
      <x:c r="P309" s="30" t="str"/>
      <x:c r="Q309" s="30" t="str"/>
      <x:c r="R309" s="30" t="str"/>
      <x:c r="S309" s="30" t="str"/>
      <x:c r="T309" s="30" t="str">
        <x:v>建议检索：NINJUTSO 官方 / 公众号 / 微博 / 小红书 / 视频号</x:v>
      </x:c>
      <x:c r="U309" s="30" t="str">
        <x:v>未联系</x:v>
      </x:c>
      <x:c r="V309" s="30" t="str"/>
      <x:c r="W309" s="29" t="str">
        <x:v>高</x:v>
      </x:c>
      <x:c r="X309" s="29" t="str">
        <x:v>https://www.vgover.com/zh-tw/news/226267</x:v>
      </x:c>
    </x:row>
    <x:row r="310">
      <x:c r="A310" s="29" t="n">
        <x:v>307</x:v>
      </x:c>
      <x:c r="B310" s="29" t="str">
        <x:v>E7</x:v>
      </x:c>
      <x:c r="C310" s="29" t="str">
        <x:v>发烧硬件</x:v>
      </x:c>
      <x:c r="D310" s="29" t="str">
        <x:v>S806</x:v>
      </x:c>
      <x:c r="E310" s="29" t="str">
        <x:v>WAIZOWL</x:v>
      </x:c>
      <x:c r="F310" s="30" t="str"/>
      <x:c r="G310" s="29" t="str">
        <x:v>游戏外设</x:v>
      </x:c>
      <x:c r="H310" s="29" t="n">
        <x:v>3</x:v>
      </x:c>
      <x:c r="I310" s="29" t="n">
        <x:v>5</x:v>
      </x:c>
      <x:c r="J310" s="29" t="n">
        <x:v>5</x:v>
      </x:c>
      <x:c r="K310" s="29" t="n">
        <x:v>2</x:v>
      </x:c>
      <x:c r="L310" s="31" t="n">
        <x:f>SUM(H310:K310)</x:f>
        <x:v>15</x:v>
      </x:c>
      <x:c r="M310" s="29" t="str">
        <x:f>IF(L310&gt;=16,"A-优先",IF(L310&gt;=12,"B-培育","C-观察"))</x:f>
        <x:v>B-培育</x:v>
      </x:c>
      <x:c r="N310" s="29" t="str">
        <x:v>电竞空间、首店首发、渠道总部、供应链与制造项目</x:v>
      </x:c>
      <x:c r="O310" s="29" t="str"/>
      <x:c r="P310" s="30" t="str"/>
      <x:c r="Q310" s="30" t="str"/>
      <x:c r="R310" s="30" t="str"/>
      <x:c r="S310" s="30" t="str"/>
      <x:c r="T310" s="30" t="str">
        <x:v>建议检索：WAIZOWL 官方 / 公众号 / 微博 / 小红书 / 视频号</x:v>
      </x:c>
      <x:c r="U310" s="30" t="str">
        <x:v>未联系</x:v>
      </x:c>
      <x:c r="V310" s="30" t="str"/>
      <x:c r="W310" s="29" t="str">
        <x:v>高</x:v>
      </x:c>
      <x:c r="X310" s="29" t="str">
        <x:v>https://www.vgover.com/zh-tw/news/226267</x:v>
      </x:c>
    </x:row>
    <x:row r="311">
      <x:c r="A311" s="29" t="n">
        <x:v>308</x:v>
      </x:c>
      <x:c r="B311" s="29" t="str">
        <x:v>E7</x:v>
      </x:c>
      <x:c r="C311" s="29" t="str">
        <x:v>发烧硬件</x:v>
      </x:c>
      <x:c r="D311" s="29" t="str">
        <x:v>S807</x:v>
      </x:c>
      <x:c r="E311" s="29" t="str">
        <x:v>松能EX</x:v>
      </x:c>
      <x:c r="F311" s="30" t="str"/>
      <x:c r="G311" s="29" t="str">
        <x:v>电竞家具</x:v>
      </x:c>
      <x:c r="H311" s="29" t="n">
        <x:v>3</x:v>
      </x:c>
      <x:c r="I311" s="29" t="n">
        <x:v>5</x:v>
      </x:c>
      <x:c r="J311" s="29" t="n">
        <x:v>5</x:v>
      </x:c>
      <x:c r="K311" s="29" t="n">
        <x:v>2</x:v>
      </x:c>
      <x:c r="L311" s="31" t="n">
        <x:f>SUM(H311:K311)</x:f>
        <x:v>15</x:v>
      </x:c>
      <x:c r="M311" s="29" t="str">
        <x:f>IF(L311&gt;=16,"A-优先",IF(L311&gt;=12,"B-培育","C-观察"))</x:f>
        <x:v>B-培育</x:v>
      </x:c>
      <x:c r="N311" s="29" t="str">
        <x:v>电竞空间、首店首发、渠道总部、供应链与制造项目</x:v>
      </x:c>
      <x:c r="O311" s="29" t="str"/>
      <x:c r="P311" s="30" t="str"/>
      <x:c r="Q311" s="30" t="str"/>
      <x:c r="R311" s="30" t="str"/>
      <x:c r="S311" s="30" t="str"/>
      <x:c r="T311" s="30" t="str">
        <x:v>建议检索：松能EX 官方 / 公众号 / 微博 / 小红书 / 视频号</x:v>
      </x:c>
      <x:c r="U311" s="30" t="str">
        <x:v>未联系</x:v>
      </x:c>
      <x:c r="V311" s="30" t="str"/>
      <x:c r="W311" s="29" t="str">
        <x:v>高</x:v>
      </x:c>
      <x:c r="X311" s="29" t="str">
        <x:v>https://www.vgover.com/zh-tw/news/226267</x:v>
      </x:c>
    </x:row>
    <x:row r="312">
      <x:c r="A312" s="29" t="n">
        <x:v>309</x:v>
      </x:c>
      <x:c r="B312" s="29" t="str">
        <x:v>E7</x:v>
      </x:c>
      <x:c r="C312" s="29" t="str">
        <x:v>发烧硬件</x:v>
      </x:c>
      <x:c r="D312" s="29" t="str">
        <x:v>S808</x:v>
      </x:c>
      <x:c r="E312" s="29" t="str">
        <x:v>万灵智记</x:v>
      </x:c>
      <x:c r="F312" s="30" t="str"/>
      <x:c r="G312" s="29" t="str">
        <x:v>智能硬件</x:v>
      </x:c>
      <x:c r="H312" s="29" t="n">
        <x:v>4</x:v>
      </x:c>
      <x:c r="I312" s="29" t="n">
        <x:v>5</x:v>
      </x:c>
      <x:c r="J312" s="29" t="n">
        <x:v>4</x:v>
      </x:c>
      <x:c r="K312" s="29" t="n">
        <x:v>2</x:v>
      </x:c>
      <x:c r="L312" s="31" t="n">
        <x:f>SUM(H312:K312)</x:f>
        <x:v>15</x:v>
      </x:c>
      <x:c r="M312" s="29" t="str">
        <x:f>IF(L312&gt;=16,"A-优先",IF(L312&gt;=12,"B-培育","C-观察"))</x:f>
        <x:v>B-培育</x:v>
      </x:c>
      <x:c r="N312" s="29" t="str">
        <x:v>电竞空间、首店首发、渠道总部、供应链与制造项目</x:v>
      </x:c>
      <x:c r="O312" s="29" t="str"/>
      <x:c r="P312" s="30" t="str"/>
      <x:c r="Q312" s="30" t="str"/>
      <x:c r="R312" s="30" t="str"/>
      <x:c r="S312" s="30" t="str"/>
      <x:c r="T312" s="30" t="str">
        <x:v>建议检索：万灵智记 官方 / 公众号 / 微博 / 小红书 / 视频号</x:v>
      </x:c>
      <x:c r="U312" s="30" t="str">
        <x:v>未联系</x:v>
      </x:c>
      <x:c r="V312" s="30" t="str"/>
      <x:c r="W312" s="29" t="str">
        <x:v>高</x:v>
      </x:c>
      <x:c r="X312" s="29" t="str">
        <x:v>https://www.vgover.com/zh-tw/news/226267</x:v>
      </x:c>
    </x:row>
    <x:row r="313">
      <x:c r="A313" s="29" t="n">
        <x:v>310</x:v>
      </x:c>
      <x:c r="B313" s="29" t="str">
        <x:v>E7</x:v>
      </x:c>
      <x:c r="C313" s="29" t="str">
        <x:v>发烧硬件</x:v>
      </x:c>
      <x:c r="D313" s="29" t="str">
        <x:v>S190</x:v>
      </x:c>
      <x:c r="E313" s="29" t="str">
        <x:v>铠雷 CAPERE</x:v>
      </x:c>
      <x:c r="F313" s="30" t="str"/>
      <x:c r="G313" s="29" t="str">
        <x:v>游戏外设</x:v>
      </x:c>
      <x:c r="H313" s="29" t="n">
        <x:v>3</x:v>
      </x:c>
      <x:c r="I313" s="29" t="n">
        <x:v>5</x:v>
      </x:c>
      <x:c r="J313" s="29" t="n">
        <x:v>5</x:v>
      </x:c>
      <x:c r="K313" s="29" t="n">
        <x:v>2</x:v>
      </x:c>
      <x:c r="L313" s="31" t="n">
        <x:f>SUM(H313:K313)</x:f>
        <x:v>15</x:v>
      </x:c>
      <x:c r="M313" s="29" t="str">
        <x:f>IF(L313&gt;=16,"A-优先",IF(L313&gt;=12,"B-培育","C-观察"))</x:f>
        <x:v>B-培育</x:v>
      </x:c>
      <x:c r="N313" s="29" t="str">
        <x:v>电竞空间、首店首发、渠道总部、供应链与制造项目</x:v>
      </x:c>
      <x:c r="O313" s="29" t="str"/>
      <x:c r="P313" s="30" t="str"/>
      <x:c r="Q313" s="30" t="str"/>
      <x:c r="R313" s="30" t="str"/>
      <x:c r="S313" s="30" t="str"/>
      <x:c r="T313" s="30" t="str">
        <x:v>建议检索：铠雷 CAPERE 官方 / 公众号 / 微博 / 小红书 / 视频号</x:v>
      </x:c>
      <x:c r="U313" s="30" t="str">
        <x:v>未联系</x:v>
      </x:c>
      <x:c r="V313" s="30" t="str"/>
      <x:c r="W313" s="29" t="str">
        <x:v>高</x:v>
      </x:c>
      <x:c r="X313" s="29" t="str">
        <x:v>https://www.vgover.com/zh-tw/news/226267</x:v>
      </x:c>
    </x:row>
    <x:row r="314">
      <x:c r="A314" s="29" t="n">
        <x:v>311</x:v>
      </x:c>
      <x:c r="B314" s="29" t="str">
        <x:v>E7</x:v>
      </x:c>
      <x:c r="C314" s="29" t="str">
        <x:v>发烧硬件</x:v>
      </x:c>
      <x:c r="D314" s="29" t="str">
        <x:v>S192</x:v>
      </x:c>
      <x:c r="E314" s="29" t="str">
        <x:v>LeleDesign</x:v>
      </x:c>
      <x:c r="F314" s="30" t="str"/>
      <x:c r="G314" s="29" t="str">
        <x:v>游戏外设</x:v>
      </x:c>
      <x:c r="H314" s="29" t="n">
        <x:v>3</x:v>
      </x:c>
      <x:c r="I314" s="29" t="n">
        <x:v>5</x:v>
      </x:c>
      <x:c r="J314" s="29" t="n">
        <x:v>5</x:v>
      </x:c>
      <x:c r="K314" s="29" t="n">
        <x:v>2</x:v>
      </x:c>
      <x:c r="L314" s="31" t="n">
        <x:f>SUM(H314:K314)</x:f>
        <x:v>15</x:v>
      </x:c>
      <x:c r="M314" s="29" t="str">
        <x:f>IF(L314&gt;=16,"A-优先",IF(L314&gt;=12,"B-培育","C-观察"))</x:f>
        <x:v>B-培育</x:v>
      </x:c>
      <x:c r="N314" s="29" t="str">
        <x:v>电竞空间、首店首发、渠道总部、供应链与制造项目</x:v>
      </x:c>
      <x:c r="O314" s="29" t="str"/>
      <x:c r="P314" s="30" t="str"/>
      <x:c r="Q314" s="30" t="str"/>
      <x:c r="R314" s="30" t="str"/>
      <x:c r="S314" s="30" t="str"/>
      <x:c r="T314" s="30" t="str">
        <x:v>建议检索：LeleDesign 官方 / 公众号 / 微博 / 小红书 / 视频号</x:v>
      </x:c>
      <x:c r="U314" s="30" t="str">
        <x:v>未联系</x:v>
      </x:c>
      <x:c r="V314" s="30" t="str"/>
      <x:c r="W314" s="29" t="str">
        <x:v>高</x:v>
      </x:c>
      <x:c r="X314" s="29" t="str">
        <x:v>https://www.vgover.com/zh-tw/news/226267</x:v>
      </x:c>
    </x:row>
    <x:row r="315">
      <x:c r="A315" s="29" t="n">
        <x:v>312</x:v>
      </x:c>
      <x:c r="B315" s="29" t="str">
        <x:v>E7</x:v>
      </x:c>
      <x:c r="C315" s="29" t="str">
        <x:v>发烧硬件</x:v>
      </x:c>
      <x:c r="D315" s="29" t="str">
        <x:v>S195</x:v>
      </x:c>
      <x:c r="E315" s="29" t="str">
        <x:v>Sandalwood 紫檀数据</x:v>
      </x:c>
      <x:c r="F315" s="30" t="str"/>
      <x:c r="G315" s="29" t="str">
        <x:v>存储/数据</x:v>
      </x:c>
      <x:c r="H315" s="29" t="n">
        <x:v>3</x:v>
      </x:c>
      <x:c r="I315" s="29" t="n">
        <x:v>5</x:v>
      </x:c>
      <x:c r="J315" s="29" t="n">
        <x:v>3</x:v>
      </x:c>
      <x:c r="K315" s="29" t="n">
        <x:v>2</x:v>
      </x:c>
      <x:c r="L315" s="31" t="n">
        <x:f>SUM(H315:K315)</x:f>
        <x:v>13</x:v>
      </x:c>
      <x:c r="M315" s="29" t="str">
        <x:f>IF(L315&gt;=16,"A-优先",IF(L315&gt;=12,"B-培育","C-观察"))</x:f>
        <x:v>B-培育</x:v>
      </x:c>
      <x:c r="N315" s="29" t="str">
        <x:v>电竞空间、首店首发、渠道总部、供应链与制造项目</x:v>
      </x:c>
      <x:c r="O315" s="29" t="str"/>
      <x:c r="P315" s="30" t="str"/>
      <x:c r="Q315" s="30" t="str"/>
      <x:c r="R315" s="30" t="str"/>
      <x:c r="S315" s="30" t="str"/>
      <x:c r="T315" s="30" t="str">
        <x:v>建议检索：Sandalwood 紫檀数据 官方 / 公众号 / 微博 / 小红书 / 视频号</x:v>
      </x:c>
      <x:c r="U315" s="30" t="str">
        <x:v>未联系</x:v>
      </x:c>
      <x:c r="V315" s="30" t="str"/>
      <x:c r="W315" s="29" t="str">
        <x:v>高</x:v>
      </x:c>
      <x:c r="X315" s="29" t="str">
        <x:v>https://www.vgover.com/zh-tw/news/226267</x:v>
      </x:c>
    </x:row>
    <x:row r="316">
      <x:c r="A316" s="29" t="n">
        <x:v>313</x:v>
      </x:c>
      <x:c r="B316" s="29" t="str">
        <x:v>E7</x:v>
      </x:c>
      <x:c r="C316" s="29" t="str">
        <x:v>发烧硬件</x:v>
      </x:c>
      <x:c r="D316" s="29" t="str">
        <x:v>S196</x:v>
      </x:c>
      <x:c r="E316" s="29" t="str">
        <x:v>KiiBOOM</x:v>
      </x:c>
      <x:c r="F316" s="30" t="str"/>
      <x:c r="G316" s="29" t="str">
        <x:v>游戏外设</x:v>
      </x:c>
      <x:c r="H316" s="29" t="n">
        <x:v>3</x:v>
      </x:c>
      <x:c r="I316" s="29" t="n">
        <x:v>5</x:v>
      </x:c>
      <x:c r="J316" s="29" t="n">
        <x:v>5</x:v>
      </x:c>
      <x:c r="K316" s="29" t="n">
        <x:v>2</x:v>
      </x:c>
      <x:c r="L316" s="31" t="n">
        <x:f>SUM(H316:K316)</x:f>
        <x:v>15</x:v>
      </x:c>
      <x:c r="M316" s="29" t="str">
        <x:f>IF(L316&gt;=16,"A-优先",IF(L316&gt;=12,"B-培育","C-观察"))</x:f>
        <x:v>B-培育</x:v>
      </x:c>
      <x:c r="N316" s="29" t="str">
        <x:v>电竞空间、首店首发、渠道总部、供应链与制造项目</x:v>
      </x:c>
      <x:c r="O316" s="29" t="str"/>
      <x:c r="P316" s="30" t="str"/>
      <x:c r="Q316" s="30" t="str"/>
      <x:c r="R316" s="30" t="str"/>
      <x:c r="S316" s="30" t="str"/>
      <x:c r="T316" s="30" t="str">
        <x:v>建议检索：KiiBOOM 官方 / 公众号 / 微博 / 小红书 / 视频号</x:v>
      </x:c>
      <x:c r="U316" s="30" t="str">
        <x:v>未联系</x:v>
      </x:c>
      <x:c r="V316" s="30" t="str"/>
      <x:c r="W316" s="29" t="str">
        <x:v>高</x:v>
      </x:c>
      <x:c r="X316" s="29" t="str">
        <x:v>https://www.vgover.com/zh-tw/news/226267</x:v>
      </x:c>
    </x:row>
    <x:row r="317">
      <x:c r="A317" s="29" t="n">
        <x:v>314</x:v>
      </x:c>
      <x:c r="B317" s="29" t="str">
        <x:v>E7</x:v>
      </x:c>
      <x:c r="C317" s="29" t="str">
        <x:v>发烧硬件</x:v>
      </x:c>
      <x:c r="D317" s="29" t="str">
        <x:v>S197</x:v>
      </x:c>
      <x:c r="E317" s="29" t="str">
        <x:v>Epomaker</x:v>
      </x:c>
      <x:c r="F317" s="30" t="str"/>
      <x:c r="G317" s="29" t="str">
        <x:v>游戏外设</x:v>
      </x:c>
      <x:c r="H317" s="29" t="n">
        <x:v>3</x:v>
      </x:c>
      <x:c r="I317" s="29" t="n">
        <x:v>5</x:v>
      </x:c>
      <x:c r="J317" s="29" t="n">
        <x:v>5</x:v>
      </x:c>
      <x:c r="K317" s="29" t="n">
        <x:v>2</x:v>
      </x:c>
      <x:c r="L317" s="31" t="n">
        <x:f>SUM(H317:K317)</x:f>
        <x:v>15</x:v>
      </x:c>
      <x:c r="M317" s="29" t="str">
        <x:f>IF(L317&gt;=16,"A-优先",IF(L317&gt;=12,"B-培育","C-观察"))</x:f>
        <x:v>B-培育</x:v>
      </x:c>
      <x:c r="N317" s="29" t="str">
        <x:v>电竞空间、首店首发、渠道总部、供应链与制造项目</x:v>
      </x:c>
      <x:c r="O317" s="29" t="str"/>
      <x:c r="P317" s="30" t="str"/>
      <x:c r="Q317" s="30" t="str"/>
      <x:c r="R317" s="30" t="str"/>
      <x:c r="S317" s="30" t="str"/>
      <x:c r="T317" s="30" t="str">
        <x:v>建议检索：Epomaker 官方 / 公众号 / 微博 / 小红书 / 视频号</x:v>
      </x:c>
      <x:c r="U317" s="30" t="str">
        <x:v>未联系</x:v>
      </x:c>
      <x:c r="V317" s="30" t="str"/>
      <x:c r="W317" s="29" t="str">
        <x:v>高</x:v>
      </x:c>
      <x:c r="X317" s="29" t="str">
        <x:v>https://www.vgover.com/zh-tw/news/226267</x:v>
      </x:c>
    </x:row>
    <x:row r="318">
      <x:c r="A318" s="29" t="n">
        <x:v>315</x:v>
      </x:c>
      <x:c r="B318" s="29" t="str">
        <x:v>E7</x:v>
      </x:c>
      <x:c r="C318" s="29" t="str">
        <x:v>发烧硬件</x:v>
      </x:c>
      <x:c r="D318" s="29" t="str">
        <x:v>S290</x:v>
      </x:c>
      <x:c r="E318" s="29" t="str">
        <x:v>X-Raypad</x:v>
      </x:c>
      <x:c r="F318" s="30" t="str"/>
      <x:c r="G318" s="29" t="str">
        <x:v>鼠标垫</x:v>
      </x:c>
      <x:c r="H318" s="29" t="n">
        <x:v>3</x:v>
      </x:c>
      <x:c r="I318" s="29" t="n">
        <x:v>5</x:v>
      </x:c>
      <x:c r="J318" s="29" t="n">
        <x:v>3</x:v>
      </x:c>
      <x:c r="K318" s="29" t="n">
        <x:v>2</x:v>
      </x:c>
      <x:c r="L318" s="31" t="n">
        <x:f>SUM(H318:K318)</x:f>
        <x:v>13</x:v>
      </x:c>
      <x:c r="M318" s="29" t="str">
        <x:f>IF(L318&gt;=16,"A-优先",IF(L318&gt;=12,"B-培育","C-观察"))</x:f>
        <x:v>B-培育</x:v>
      </x:c>
      <x:c r="N318" s="29" t="str">
        <x:v>电竞空间、首店首发、渠道总部、供应链与制造项目</x:v>
      </x:c>
      <x:c r="O318" s="29" t="str"/>
      <x:c r="P318" s="30" t="str"/>
      <x:c r="Q318" s="30" t="str"/>
      <x:c r="R318" s="30" t="str"/>
      <x:c r="S318" s="30" t="str"/>
      <x:c r="T318" s="30" t="str">
        <x:v>建议检索：X-Raypad 官方 / 公众号 / 微博 / 小红书 / 视频号</x:v>
      </x:c>
      <x:c r="U318" s="30" t="str">
        <x:v>未联系</x:v>
      </x:c>
      <x:c r="V318" s="30" t="str"/>
      <x:c r="W318" s="29" t="str">
        <x:v>高</x:v>
      </x:c>
      <x:c r="X318" s="29" t="str">
        <x:v>https://www.vgover.com/zh-tw/news/226267</x:v>
      </x:c>
    </x:row>
    <x:row r="319">
      <x:c r="A319" s="29" t="n">
        <x:v>316</x:v>
      </x:c>
      <x:c r="B319" s="29" t="str">
        <x:v>E7</x:v>
      </x:c>
      <x:c r="C319" s="29" t="str">
        <x:v>发烧硬件</x:v>
      </x:c>
      <x:c r="D319" s="29" t="str">
        <x:v>S293</x:v>
      </x:c>
      <x:c r="E319" s="29" t="str">
        <x:v>GENKI</x:v>
      </x:c>
      <x:c r="F319" s="30" t="str"/>
      <x:c r="G319" s="29" t="str">
        <x:v>游戏配件</x:v>
      </x:c>
      <x:c r="H319" s="29" t="n">
        <x:v>3</x:v>
      </x:c>
      <x:c r="I319" s="29" t="n">
        <x:v>5</x:v>
      </x:c>
      <x:c r="J319" s="29" t="n">
        <x:v>5</x:v>
      </x:c>
      <x:c r="K319" s="29" t="n">
        <x:v>2</x:v>
      </x:c>
      <x:c r="L319" s="31" t="n">
        <x:f>SUM(H319:K319)</x:f>
        <x:v>15</x:v>
      </x:c>
      <x:c r="M319" s="29" t="str">
        <x:f>IF(L319&gt;=16,"A-优先",IF(L319&gt;=12,"B-培育","C-观察"))</x:f>
        <x:v>B-培育</x:v>
      </x:c>
      <x:c r="N319" s="29" t="str">
        <x:v>电竞空间、首店首发、渠道总部、供应链与制造项目</x:v>
      </x:c>
      <x:c r="O319" s="29" t="str"/>
      <x:c r="P319" s="30" t="str"/>
      <x:c r="Q319" s="30" t="str"/>
      <x:c r="R319" s="30" t="str"/>
      <x:c r="S319" s="30" t="str"/>
      <x:c r="T319" s="30" t="str">
        <x:v>建议检索：GENKI 官方 / 公众号 / 微博 / 小红书 / 视频号</x:v>
      </x:c>
      <x:c r="U319" s="30" t="str">
        <x:v>未联系</x:v>
      </x:c>
      <x:c r="V319" s="30" t="str"/>
      <x:c r="W319" s="29" t="str">
        <x:v>高</x:v>
      </x:c>
      <x:c r="X319" s="29" t="str">
        <x:v>https://www.vgover.com/zh-tw/news/226267</x:v>
      </x:c>
    </x:row>
    <x:row r="320">
      <x:c r="A320" s="29" t="n">
        <x:v>317</x:v>
      </x:c>
      <x:c r="B320" s="29" t="str">
        <x:v>E7</x:v>
      </x:c>
      <x:c r="C320" s="29" t="str">
        <x:v>发烧硬件</x:v>
      </x:c>
      <x:c r="D320" s="29" t="str">
        <x:v>S296</x:v>
      </x:c>
      <x:c r="E320" s="29" t="str">
        <x:v>TALONGAMES 爬玛</x:v>
      </x:c>
      <x:c r="F320" s="30" t="str"/>
      <x:c r="G320" s="29" t="str">
        <x:v>游戏外设</x:v>
      </x:c>
      <x:c r="H320" s="29" t="n">
        <x:v>3</x:v>
      </x:c>
      <x:c r="I320" s="29" t="n">
        <x:v>5</x:v>
      </x:c>
      <x:c r="J320" s="29" t="n">
        <x:v>5</x:v>
      </x:c>
      <x:c r="K320" s="29" t="n">
        <x:v>2</x:v>
      </x:c>
      <x:c r="L320" s="31" t="n">
        <x:f>SUM(H320:K320)</x:f>
        <x:v>15</x:v>
      </x:c>
      <x:c r="M320" s="29" t="str">
        <x:f>IF(L320&gt;=16,"A-优先",IF(L320&gt;=12,"B-培育","C-观察"))</x:f>
        <x:v>B-培育</x:v>
      </x:c>
      <x:c r="N320" s="29" t="str">
        <x:v>电竞空间、首店首发、渠道总部、供应链与制造项目</x:v>
      </x:c>
      <x:c r="O320" s="29" t="str"/>
      <x:c r="P320" s="30" t="str"/>
      <x:c r="Q320" s="30" t="str"/>
      <x:c r="R320" s="30" t="str"/>
      <x:c r="S320" s="30" t="str"/>
      <x:c r="T320" s="30" t="str">
        <x:v>建议检索：TALONGAMES 爬玛 官方 / 公众号 / 微博 / 小红书 / 视频号</x:v>
      </x:c>
      <x:c r="U320" s="30" t="str">
        <x:v>未联系</x:v>
      </x:c>
      <x:c r="V320" s="30" t="str"/>
      <x:c r="W320" s="29" t="str">
        <x:v>高</x:v>
      </x:c>
      <x:c r="X320" s="29" t="str">
        <x:v>https://www.vgover.com/zh-tw/news/226267</x:v>
      </x:c>
    </x:row>
    <x:row r="321">
      <x:c r="A321" s="29" t="n">
        <x:v>318</x:v>
      </x:c>
      <x:c r="B321" s="29" t="str">
        <x:v>E7</x:v>
      </x:c>
      <x:c r="C321" s="29" t="str">
        <x:v>发烧硬件</x:v>
      </x:c>
      <x:c r="D321" s="29" t="str">
        <x:v>S390</x:v>
      </x:c>
      <x:c r="E321" s="29" t="str">
        <x:v>ZENIKO</x:v>
      </x:c>
      <x:c r="F321" s="30" t="str"/>
      <x:c r="G321" s="29" t="str">
        <x:v>影像/灯光</x:v>
      </x:c>
      <x:c r="H321" s="29" t="n">
        <x:v>4</x:v>
      </x:c>
      <x:c r="I321" s="29" t="n">
        <x:v>5</x:v>
      </x:c>
      <x:c r="J321" s="29" t="n">
        <x:v>5</x:v>
      </x:c>
      <x:c r="K321" s="29" t="n">
        <x:v>2</x:v>
      </x:c>
      <x:c r="L321" s="31" t="n">
        <x:f>SUM(H321:K321)</x:f>
        <x:v>16</x:v>
      </x:c>
      <x:c r="M321" s="29" t="str">
        <x:f>IF(L321&gt;=16,"A-优先",IF(L321&gt;=12,"B-培育","C-观察"))</x:f>
        <x:v>A-优先</x:v>
      </x:c>
      <x:c r="N321" s="29" t="str">
        <x:v>电竞空间、首店首发、渠道总部、供应链与制造项目</x:v>
      </x:c>
      <x:c r="O321" s="29" t="str"/>
      <x:c r="P321" s="30" t="str"/>
      <x:c r="Q321" s="30" t="str"/>
      <x:c r="R321" s="30" t="str"/>
      <x:c r="S321" s="30" t="str"/>
      <x:c r="T321" s="30" t="str">
        <x:v>建议检索：ZENIKO 官方 / 公众号 / 微博 / 小红书 / 视频号</x:v>
      </x:c>
      <x:c r="U321" s="30" t="str">
        <x:v>未联系</x:v>
      </x:c>
      <x:c r="V321" s="30" t="str"/>
      <x:c r="W321" s="29" t="str">
        <x:v>高</x:v>
      </x:c>
      <x:c r="X321" s="29" t="str">
        <x:v>https://www.vgover.com/zh-tw/news/226267</x:v>
      </x:c>
    </x:row>
    <x:row r="322">
      <x:c r="A322" s="29" t="n">
        <x:v>319</x:v>
      </x:c>
      <x:c r="B322" s="29" t="str">
        <x:v>E7</x:v>
      </x:c>
      <x:c r="C322" s="29" t="str">
        <x:v>发烧硬件</x:v>
      </x:c>
      <x:c r="D322" s="29" t="str">
        <x:v>S392</x:v>
      </x:c>
      <x:c r="E322" s="29" t="str">
        <x:v>GPD</x:v>
      </x:c>
      <x:c r="F322" s="30" t="str"/>
      <x:c r="G322" s="29" t="str">
        <x:v>掌机/PC</x:v>
      </x:c>
      <x:c r="H322" s="29" t="n">
        <x:v>3</x:v>
      </x:c>
      <x:c r="I322" s="29" t="n">
        <x:v>5</x:v>
      </x:c>
      <x:c r="J322" s="29" t="n">
        <x:v>3</x:v>
      </x:c>
      <x:c r="K322" s="29" t="n">
        <x:v>4</x:v>
      </x:c>
      <x:c r="L322" s="31" t="n">
        <x:f>SUM(H322:K322)</x:f>
        <x:v>15</x:v>
      </x:c>
      <x:c r="M322" s="29" t="str">
        <x:f>IF(L322&gt;=16,"A-优先",IF(L322&gt;=12,"B-培育","C-观察"))</x:f>
        <x:v>B-培育</x:v>
      </x:c>
      <x:c r="N322" s="29" t="str">
        <x:v>电竞空间、首店首发、渠道总部、供应链与制造项目</x:v>
      </x:c>
      <x:c r="O322" s="29" t="str"/>
      <x:c r="P322" s="30" t="str"/>
      <x:c r="Q322" s="30" t="str"/>
      <x:c r="R322" s="30" t="str"/>
      <x:c r="S322" s="30" t="str">
        <x:v>https://www.gpd.hk/</x:v>
      </x:c>
      <x:c r="T322" s="30" t="str">
        <x:v>GPD 官方网站/认证公众号/微博（招商前复核具体商务入口）</x:v>
      </x:c>
      <x:c r="U322" s="30" t="str">
        <x:v>未联系</x:v>
      </x:c>
      <x:c r="V322" s="30" t="str"/>
      <x:c r="W322" s="29" t="str">
        <x:v>高</x:v>
      </x:c>
      <x:c r="X322" s="29" t="str">
        <x:v>https://www.vgover.com/zh-tw/news/226267</x:v>
      </x:c>
    </x:row>
    <x:row r="323">
      <x:c r="A323" s="29" t="n">
        <x:v>320</x:v>
      </x:c>
      <x:c r="B323" s="29" t="str">
        <x:v>E7</x:v>
      </x:c>
      <x:c r="C323" s="29" t="str">
        <x:v>发烧硬件</x:v>
      </x:c>
      <x:c r="D323" s="29" t="str">
        <x:v>S396</x:v>
      </x:c>
      <x:c r="E323" s="29" t="str">
        <x:v>奇梦岛</x:v>
      </x:c>
      <x:c r="F323" s="30" t="str"/>
      <x:c r="G323" s="29" t="str">
        <x:v>游戏外设</x:v>
      </x:c>
      <x:c r="H323" s="29" t="n">
        <x:v>3</x:v>
      </x:c>
      <x:c r="I323" s="29" t="n">
        <x:v>5</x:v>
      </x:c>
      <x:c r="J323" s="29" t="n">
        <x:v>5</x:v>
      </x:c>
      <x:c r="K323" s="29" t="n">
        <x:v>2</x:v>
      </x:c>
      <x:c r="L323" s="31" t="n">
        <x:f>SUM(H323:K323)</x:f>
        <x:v>15</x:v>
      </x:c>
      <x:c r="M323" s="29" t="str">
        <x:f>IF(L323&gt;=16,"A-优先",IF(L323&gt;=12,"B-培育","C-观察"))</x:f>
        <x:v>B-培育</x:v>
      </x:c>
      <x:c r="N323" s="29" t="str">
        <x:v>电竞空间、首店首发、渠道总部、供应链与制造项目</x:v>
      </x:c>
      <x:c r="O323" s="29" t="str"/>
      <x:c r="P323" s="30" t="str"/>
      <x:c r="Q323" s="30" t="str"/>
      <x:c r="R323" s="30" t="str"/>
      <x:c r="S323" s="30" t="str"/>
      <x:c r="T323" s="30" t="str">
        <x:v>建议检索：奇梦岛 官方 / 公众号 / 微博 / 小红书 / 视频号</x:v>
      </x:c>
      <x:c r="U323" s="30" t="str">
        <x:v>未联系</x:v>
      </x:c>
      <x:c r="V323" s="30" t="str"/>
      <x:c r="W323" s="29" t="str">
        <x:v>高</x:v>
      </x:c>
      <x:c r="X323" s="29" t="str">
        <x:v>https://www.vgover.com/zh-tw/news/226267</x:v>
      </x:c>
    </x:row>
    <x:row r="324">
      <x:c r="A324" s="29" t="n">
        <x:v>321</x:v>
      </x:c>
      <x:c r="B324" s="29" t="str">
        <x:v>E7</x:v>
      </x:c>
      <x:c r="C324" s="29" t="str">
        <x:v>发烧硬件</x:v>
      </x:c>
      <x:c r="D324" s="29" t="str">
        <x:v>S397</x:v>
      </x:c>
      <x:c r="E324" s="29" t="str">
        <x:v>芯景铄</x:v>
      </x:c>
      <x:c r="F324" s="30" t="str"/>
      <x:c r="G324" s="29" t="str">
        <x:v>电子元件</x:v>
      </x:c>
      <x:c r="H324" s="29" t="n">
        <x:v>3</x:v>
      </x:c>
      <x:c r="I324" s="29" t="n">
        <x:v>5</x:v>
      </x:c>
      <x:c r="J324" s="29" t="n">
        <x:v>3</x:v>
      </x:c>
      <x:c r="K324" s="29" t="n">
        <x:v>2</x:v>
      </x:c>
      <x:c r="L324" s="31" t="n">
        <x:f>SUM(H324:K324)</x:f>
        <x:v>13</x:v>
      </x:c>
      <x:c r="M324" s="29" t="str">
        <x:f>IF(L324&gt;=16,"A-优先",IF(L324&gt;=12,"B-培育","C-观察"))</x:f>
        <x:v>B-培育</x:v>
      </x:c>
      <x:c r="N324" s="29" t="str">
        <x:v>电竞空间、首店首发、渠道总部、供应链与制造项目</x:v>
      </x:c>
      <x:c r="O324" s="29" t="str"/>
      <x:c r="P324" s="30" t="str"/>
      <x:c r="Q324" s="30" t="str"/>
      <x:c r="R324" s="30" t="str"/>
      <x:c r="S324" s="30" t="str"/>
      <x:c r="T324" s="30" t="str">
        <x:v>建议检索：芯景铄 官方 / 公众号 / 微博 / 小红书 / 视频号</x:v>
      </x:c>
      <x:c r="U324" s="30" t="str">
        <x:v>未联系</x:v>
      </x:c>
      <x:c r="V324" s="30" t="str"/>
      <x:c r="W324" s="29" t="str">
        <x:v>高</x:v>
      </x:c>
      <x:c r="X324" s="29" t="str">
        <x:v>https://www.vgover.com/zh-tw/news/226267</x:v>
      </x:c>
    </x:row>
    <x:row r="325">
      <x:c r="A325" s="29" t="n">
        <x:v>322</x:v>
      </x:c>
      <x:c r="B325" s="29" t="str">
        <x:v>E7</x:v>
      </x:c>
      <x:c r="C325" s="29" t="str">
        <x:v>发烧硬件</x:v>
      </x:c>
      <x:c r="D325" s="29" t="str">
        <x:v>S590</x:v>
      </x:c>
      <x:c r="E325" s="29" t="str">
        <x:v>FEKER</x:v>
      </x:c>
      <x:c r="F325" s="30" t="str"/>
      <x:c r="G325" s="29" t="str">
        <x:v>游戏外设</x:v>
      </x:c>
      <x:c r="H325" s="29" t="n">
        <x:v>3</x:v>
      </x:c>
      <x:c r="I325" s="29" t="n">
        <x:v>5</x:v>
      </x:c>
      <x:c r="J325" s="29" t="n">
        <x:v>5</x:v>
      </x:c>
      <x:c r="K325" s="29" t="n">
        <x:v>2</x:v>
      </x:c>
      <x:c r="L325" s="31" t="n">
        <x:f>SUM(H325:K325)</x:f>
        <x:v>15</x:v>
      </x:c>
      <x:c r="M325" s="29" t="str">
        <x:f>IF(L325&gt;=16,"A-优先",IF(L325&gt;=12,"B-培育","C-观察"))</x:f>
        <x:v>B-培育</x:v>
      </x:c>
      <x:c r="N325" s="29" t="str">
        <x:v>电竞空间、首店首发、渠道总部、供应链与制造项目</x:v>
      </x:c>
      <x:c r="O325" s="29" t="str"/>
      <x:c r="P325" s="30" t="str"/>
      <x:c r="Q325" s="30" t="str"/>
      <x:c r="R325" s="30" t="str"/>
      <x:c r="S325" s="30" t="str"/>
      <x:c r="T325" s="30" t="str">
        <x:v>建议检索：FEKER 官方 / 公众号 / 微博 / 小红书 / 视频号</x:v>
      </x:c>
      <x:c r="U325" s="30" t="str">
        <x:v>未联系</x:v>
      </x:c>
      <x:c r="V325" s="30" t="str"/>
      <x:c r="W325" s="29" t="str">
        <x:v>高</x:v>
      </x:c>
      <x:c r="X325" s="29" t="str">
        <x:v>https://www.vgover.com/zh-tw/news/226267</x:v>
      </x:c>
    </x:row>
    <x:row r="326">
      <x:c r="A326" s="29" t="n">
        <x:v>323</x:v>
      </x:c>
      <x:c r="B326" s="29" t="str">
        <x:v>E7</x:v>
      </x:c>
      <x:c r="C326" s="29" t="str">
        <x:v>发烧硬件</x:v>
      </x:c>
      <x:c r="D326" s="29" t="str">
        <x:v>S592</x:v>
      </x:c>
      <x:c r="E326" s="29" t="str">
        <x:v>Sohaku</x:v>
      </x:c>
      <x:c r="F326" s="30" t="str"/>
      <x:c r="G326" s="29" t="str">
        <x:v>游戏外设</x:v>
      </x:c>
      <x:c r="H326" s="29" t="n">
        <x:v>3</x:v>
      </x:c>
      <x:c r="I326" s="29" t="n">
        <x:v>5</x:v>
      </x:c>
      <x:c r="J326" s="29" t="n">
        <x:v>5</x:v>
      </x:c>
      <x:c r="K326" s="29" t="n">
        <x:v>2</x:v>
      </x:c>
      <x:c r="L326" s="31" t="n">
        <x:f>SUM(H326:K326)</x:f>
        <x:v>15</x:v>
      </x:c>
      <x:c r="M326" s="29" t="str">
        <x:f>IF(L326&gt;=16,"A-优先",IF(L326&gt;=12,"B-培育","C-观察"))</x:f>
        <x:v>B-培育</x:v>
      </x:c>
      <x:c r="N326" s="29" t="str">
        <x:v>电竞空间、首店首发、渠道总部、供应链与制造项目</x:v>
      </x:c>
      <x:c r="O326" s="29" t="str"/>
      <x:c r="P326" s="30" t="str"/>
      <x:c r="Q326" s="30" t="str"/>
      <x:c r="R326" s="30" t="str"/>
      <x:c r="S326" s="30" t="str"/>
      <x:c r="T326" s="30" t="str">
        <x:v>建议检索：Sohaku 官方 / 公众号 / 微博 / 小红书 / 视频号</x:v>
      </x:c>
      <x:c r="U326" s="30" t="str">
        <x:v>未联系</x:v>
      </x:c>
      <x:c r="V326" s="30" t="str"/>
      <x:c r="W326" s="29" t="str">
        <x:v>高</x:v>
      </x:c>
      <x:c r="X326" s="29" t="str">
        <x:v>https://www.vgover.com/zh-tw/news/226267</x:v>
      </x:c>
    </x:row>
    <x:row r="327">
      <x:c r="A327" s="29" t="n">
        <x:v>324</x:v>
      </x:c>
      <x:c r="B327" s="29" t="str">
        <x:v>E7</x:v>
      </x:c>
      <x:c r="C327" s="29" t="str">
        <x:v>发烧硬件</x:v>
      </x:c>
      <x:c r="D327" s="29" t="str">
        <x:v>S593</x:v>
      </x:c>
      <x:c r="E327" s="29" t="str">
        <x:v>金源声</x:v>
      </x:c>
      <x:c r="F327" s="30" t="str"/>
      <x:c r="G327" s="29" t="str">
        <x:v>音频</x:v>
      </x:c>
      <x:c r="H327" s="29" t="n">
        <x:v>3</x:v>
      </x:c>
      <x:c r="I327" s="29" t="n">
        <x:v>5</x:v>
      </x:c>
      <x:c r="J327" s="29" t="n">
        <x:v>3</x:v>
      </x:c>
      <x:c r="K327" s="29" t="n">
        <x:v>2</x:v>
      </x:c>
      <x:c r="L327" s="31" t="n">
        <x:f>SUM(H327:K327)</x:f>
        <x:v>13</x:v>
      </x:c>
      <x:c r="M327" s="29" t="str">
        <x:f>IF(L327&gt;=16,"A-优先",IF(L327&gt;=12,"B-培育","C-观察"))</x:f>
        <x:v>B-培育</x:v>
      </x:c>
      <x:c r="N327" s="29" t="str">
        <x:v>电竞空间、首店首发、渠道总部、供应链与制造项目</x:v>
      </x:c>
      <x:c r="O327" s="29" t="str"/>
      <x:c r="P327" s="30" t="str"/>
      <x:c r="Q327" s="30" t="str"/>
      <x:c r="R327" s="30" t="str"/>
      <x:c r="S327" s="30" t="str"/>
      <x:c r="T327" s="30" t="str">
        <x:v>建议检索：金源声 官方 / 公众号 / 微博 / 小红书 / 视频号</x:v>
      </x:c>
      <x:c r="U327" s="30" t="str">
        <x:v>未联系</x:v>
      </x:c>
      <x:c r="V327" s="30" t="str"/>
      <x:c r="W327" s="29" t="str">
        <x:v>高</x:v>
      </x:c>
      <x:c r="X327" s="29" t="str">
        <x:v>https://www.vgover.com/zh-tw/news/226267</x:v>
      </x:c>
    </x:row>
    <x:row r="328">
      <x:c r="A328" s="29" t="n">
        <x:v>325</x:v>
      </x:c>
      <x:c r="B328" s="29" t="str">
        <x:v>E7</x:v>
      </x:c>
      <x:c r="C328" s="29" t="str">
        <x:v>发烧硬件</x:v>
      </x:c>
      <x:c r="D328" s="29" t="str">
        <x:v>S596</x:v>
      </x:c>
      <x:c r="E328" s="29" t="str">
        <x:v>Device Armour 外设军械库</x:v>
      </x:c>
      <x:c r="F328" s="30" t="str"/>
      <x:c r="G328" s="29" t="str">
        <x:v>游戏外设</x:v>
      </x:c>
      <x:c r="H328" s="29" t="n">
        <x:v>3</x:v>
      </x:c>
      <x:c r="I328" s="29" t="n">
        <x:v>5</x:v>
      </x:c>
      <x:c r="J328" s="29" t="n">
        <x:v>5</x:v>
      </x:c>
      <x:c r="K328" s="29" t="n">
        <x:v>2</x:v>
      </x:c>
      <x:c r="L328" s="31" t="n">
        <x:f>SUM(H328:K328)</x:f>
        <x:v>15</x:v>
      </x:c>
      <x:c r="M328" s="29" t="str">
        <x:f>IF(L328&gt;=16,"A-优先",IF(L328&gt;=12,"B-培育","C-观察"))</x:f>
        <x:v>B-培育</x:v>
      </x:c>
      <x:c r="N328" s="29" t="str">
        <x:v>电竞空间、首店首发、渠道总部、供应链与制造项目</x:v>
      </x:c>
      <x:c r="O328" s="29" t="str"/>
      <x:c r="P328" s="30" t="str"/>
      <x:c r="Q328" s="30" t="str"/>
      <x:c r="R328" s="30" t="str"/>
      <x:c r="S328" s="30" t="str"/>
      <x:c r="T328" s="30" t="str">
        <x:v>建议检索：Device Armour 外设军械库 官方 / 公众号 / 微博 / 小红书 / 视频号</x:v>
      </x:c>
      <x:c r="U328" s="30" t="str">
        <x:v>未联系</x:v>
      </x:c>
      <x:c r="V328" s="30" t="str"/>
      <x:c r="W328" s="29" t="str">
        <x:v>高</x:v>
      </x:c>
      <x:c r="X328" s="29" t="str">
        <x:v>https://www.vgover.com/zh-tw/news/226267</x:v>
      </x:c>
    </x:row>
    <x:row r="329">
      <x:c r="A329" s="29" t="n">
        <x:v>326</x:v>
      </x:c>
      <x:c r="B329" s="29" t="str">
        <x:v>E7</x:v>
      </x:c>
      <x:c r="C329" s="29" t="str">
        <x:v>发烧硬件</x:v>
      </x:c>
      <x:c r="D329" s="29" t="str">
        <x:v>S690</x:v>
      </x:c>
      <x:c r="E329" s="29" t="str">
        <x:v>捷锐米 Geramix</x:v>
      </x:c>
      <x:c r="F329" s="30" t="str"/>
      <x:c r="G329" s="29" t="str">
        <x:v>游戏外设</x:v>
      </x:c>
      <x:c r="H329" s="29" t="n">
        <x:v>3</x:v>
      </x:c>
      <x:c r="I329" s="29" t="n">
        <x:v>5</x:v>
      </x:c>
      <x:c r="J329" s="29" t="n">
        <x:v>5</x:v>
      </x:c>
      <x:c r="K329" s="29" t="n">
        <x:v>2</x:v>
      </x:c>
      <x:c r="L329" s="31" t="n">
        <x:f>SUM(H329:K329)</x:f>
        <x:v>15</x:v>
      </x:c>
      <x:c r="M329" s="29" t="str">
        <x:f>IF(L329&gt;=16,"A-优先",IF(L329&gt;=12,"B-培育","C-观察"))</x:f>
        <x:v>B-培育</x:v>
      </x:c>
      <x:c r="N329" s="29" t="str">
        <x:v>电竞空间、首店首发、渠道总部、供应链与制造项目</x:v>
      </x:c>
      <x:c r="O329" s="29" t="str"/>
      <x:c r="P329" s="30" t="str"/>
      <x:c r="Q329" s="30" t="str"/>
      <x:c r="R329" s="30" t="str"/>
      <x:c r="S329" s="30" t="str"/>
      <x:c r="T329" s="30" t="str">
        <x:v>建议检索：捷锐米 Geramix 官方 / 公众号 / 微博 / 小红书 / 视频号</x:v>
      </x:c>
      <x:c r="U329" s="30" t="str">
        <x:v>未联系</x:v>
      </x:c>
      <x:c r="V329" s="30" t="str"/>
      <x:c r="W329" s="29" t="str">
        <x:v>高</x:v>
      </x:c>
      <x:c r="X329" s="29" t="str">
        <x:v>https://www.vgover.com/zh-tw/news/226267</x:v>
      </x:c>
    </x:row>
    <x:row r="330">
      <x:c r="A330" s="29" t="n">
        <x:v>327</x:v>
      </x:c>
      <x:c r="B330" s="29" t="str">
        <x:v>E7</x:v>
      </x:c>
      <x:c r="C330" s="29" t="str">
        <x:v>发烧硬件</x:v>
      </x:c>
      <x:c r="D330" s="29" t="str">
        <x:v>S692</x:v>
      </x:c>
      <x:c r="E330" s="29" t="str">
        <x:v>云联科 YUNLINKING</x:v>
      </x:c>
      <x:c r="F330" s="30" t="str"/>
      <x:c r="G330" s="29" t="str">
        <x:v>科技硬件</x:v>
      </x:c>
      <x:c r="H330" s="29" t="n">
        <x:v>4</x:v>
      </x:c>
      <x:c r="I330" s="29" t="n">
        <x:v>5</x:v>
      </x:c>
      <x:c r="J330" s="29" t="n">
        <x:v>4</x:v>
      </x:c>
      <x:c r="K330" s="29" t="n">
        <x:v>2</x:v>
      </x:c>
      <x:c r="L330" s="31" t="n">
        <x:f>SUM(H330:K330)</x:f>
        <x:v>15</x:v>
      </x:c>
      <x:c r="M330" s="29" t="str">
        <x:f>IF(L330&gt;=16,"A-优先",IF(L330&gt;=12,"B-培育","C-观察"))</x:f>
        <x:v>B-培育</x:v>
      </x:c>
      <x:c r="N330" s="29" t="str">
        <x:v>电竞空间、首店首发、渠道总部、供应链与制造项目</x:v>
      </x:c>
      <x:c r="O330" s="29" t="str"/>
      <x:c r="P330" s="30" t="str"/>
      <x:c r="Q330" s="30" t="str"/>
      <x:c r="R330" s="30" t="str"/>
      <x:c r="S330" s="30" t="str"/>
      <x:c r="T330" s="30" t="str">
        <x:v>建议检索：云联科 YUNLINKING 官方 / 公众号 / 微博 / 小红书 / 视频号</x:v>
      </x:c>
      <x:c r="U330" s="30" t="str">
        <x:v>未联系</x:v>
      </x:c>
      <x:c r="V330" s="30" t="str"/>
      <x:c r="W330" s="29" t="str">
        <x:v>高</x:v>
      </x:c>
      <x:c r="X330" s="29" t="str">
        <x:v>https://www.vgover.com/zh-tw/news/226267</x:v>
      </x:c>
    </x:row>
    <x:row r="331">
      <x:c r="A331" s="29" t="n">
        <x:v>328</x:v>
      </x:c>
      <x:c r="B331" s="29" t="str">
        <x:v>E7</x:v>
      </x:c>
      <x:c r="C331" s="29" t="str">
        <x:v>发烧硬件</x:v>
      </x:c>
      <x:c r="D331" s="29" t="str">
        <x:v>S695</x:v>
      </x:c>
      <x:c r="E331" s="29" t="str">
        <x:v>Cmedia 骅讯电子</x:v>
      </x:c>
      <x:c r="F331" s="30" t="str"/>
      <x:c r="G331" s="29" t="str">
        <x:v>音频芯片</x:v>
      </x:c>
      <x:c r="H331" s="29" t="n">
        <x:v>3</x:v>
      </x:c>
      <x:c r="I331" s="29" t="n">
        <x:v>5</x:v>
      </x:c>
      <x:c r="J331" s="29" t="n">
        <x:v>3</x:v>
      </x:c>
      <x:c r="K331" s="29" t="n">
        <x:v>2</x:v>
      </x:c>
      <x:c r="L331" s="31" t="n">
        <x:f>SUM(H331:K331)</x:f>
        <x:v>13</x:v>
      </x:c>
      <x:c r="M331" s="29" t="str">
        <x:f>IF(L331&gt;=16,"A-优先",IF(L331&gt;=12,"B-培育","C-观察"))</x:f>
        <x:v>B-培育</x:v>
      </x:c>
      <x:c r="N331" s="29" t="str">
        <x:v>电竞空间、首店首发、渠道总部、供应链与制造项目</x:v>
      </x:c>
      <x:c r="O331" s="29" t="str"/>
      <x:c r="P331" s="30" t="str"/>
      <x:c r="Q331" s="30" t="str"/>
      <x:c r="R331" s="30" t="str"/>
      <x:c r="S331" s="30" t="str"/>
      <x:c r="T331" s="30" t="str">
        <x:v>建议检索：Cmedia 骅讯电子 官方 / 公众号 / 微博 / 小红书 / 视频号</x:v>
      </x:c>
      <x:c r="U331" s="30" t="str">
        <x:v>未联系</x:v>
      </x:c>
      <x:c r="V331" s="30" t="str"/>
      <x:c r="W331" s="29" t="str">
        <x:v>高</x:v>
      </x:c>
      <x:c r="X331" s="29" t="str">
        <x:v>https://www.vgover.com/zh-tw/news/226267</x:v>
      </x:c>
    </x:row>
    <x:row r="332">
      <x:c r="A332" s="29" t="n">
        <x:v>329</x:v>
      </x:c>
      <x:c r="B332" s="29" t="str">
        <x:v>E7</x:v>
      </x:c>
      <x:c r="C332" s="29" t="str">
        <x:v>发烧硬件</x:v>
      </x:c>
      <x:c r="D332" s="29" t="str">
        <x:v>S697</x:v>
      </x:c>
      <x:c r="E332" s="29" t="str">
        <x:v>花火 Esports</x:v>
      </x:c>
      <x:c r="F332" s="30" t="str"/>
      <x:c r="G332" s="29" t="str">
        <x:v>电竞外设</x:v>
      </x:c>
      <x:c r="H332" s="29" t="n">
        <x:v>3</x:v>
      </x:c>
      <x:c r="I332" s="29" t="n">
        <x:v>5</x:v>
      </x:c>
      <x:c r="J332" s="29" t="n">
        <x:v>5</x:v>
      </x:c>
      <x:c r="K332" s="29" t="n">
        <x:v>2</x:v>
      </x:c>
      <x:c r="L332" s="31" t="n">
        <x:f>SUM(H332:K332)</x:f>
        <x:v>15</x:v>
      </x:c>
      <x:c r="M332" s="29" t="str">
        <x:f>IF(L332&gt;=16,"A-优先",IF(L332&gt;=12,"B-培育","C-观察"))</x:f>
        <x:v>B-培育</x:v>
      </x:c>
      <x:c r="N332" s="29" t="str">
        <x:v>电竞空间、首店首发、渠道总部、供应链与制造项目</x:v>
      </x:c>
      <x:c r="O332" s="29" t="str"/>
      <x:c r="P332" s="30" t="str"/>
      <x:c r="Q332" s="30" t="str"/>
      <x:c r="R332" s="30" t="str"/>
      <x:c r="S332" s="30" t="str"/>
      <x:c r="T332" s="30" t="str">
        <x:v>建议检索：花火 Esports 官方 / 公众号 / 微博 / 小红书 / 视频号</x:v>
      </x:c>
      <x:c r="U332" s="30" t="str">
        <x:v>未联系</x:v>
      </x:c>
      <x:c r="V332" s="30" t="str"/>
      <x:c r="W332" s="29" t="str">
        <x:v>高</x:v>
      </x:c>
      <x:c r="X332" s="29" t="str">
        <x:v>https://www.vgover.com/zh-tw/news/226267</x:v>
      </x:c>
    </x:row>
    <x:row r="333">
      <x:c r="A333" s="29" t="n">
        <x:v>330</x:v>
      </x:c>
      <x:c r="B333" s="29" t="str">
        <x:v>E7</x:v>
      </x:c>
      <x:c r="C333" s="29" t="str">
        <x:v>发烧硬件</x:v>
      </x:c>
      <x:c r="D333" s="29" t="str">
        <x:v>S890</x:v>
      </x:c>
      <x:c r="E333" s="29" t="str">
        <x:v>WONDERFITTER</x:v>
      </x:c>
      <x:c r="F333" s="30" t="str"/>
      <x:c r="G333" s="29" t="str">
        <x:v>智能健身</x:v>
      </x:c>
      <x:c r="H333" s="29" t="n">
        <x:v>3</x:v>
      </x:c>
      <x:c r="I333" s="29" t="n">
        <x:v>5</x:v>
      </x:c>
      <x:c r="J333" s="29" t="n">
        <x:v>3</x:v>
      </x:c>
      <x:c r="K333" s="29" t="n">
        <x:v>2</x:v>
      </x:c>
      <x:c r="L333" s="31" t="n">
        <x:f>SUM(H333:K333)</x:f>
        <x:v>13</x:v>
      </x:c>
      <x:c r="M333" s="29" t="str">
        <x:f>IF(L333&gt;=16,"A-优先",IF(L333&gt;=12,"B-培育","C-观察"))</x:f>
        <x:v>B-培育</x:v>
      </x:c>
      <x:c r="N333" s="29" t="str">
        <x:v>电竞空间、首店首发、渠道总部、供应链与制造项目</x:v>
      </x:c>
      <x:c r="O333" s="29" t="str"/>
      <x:c r="P333" s="30" t="str"/>
      <x:c r="Q333" s="30" t="str"/>
      <x:c r="R333" s="30" t="str"/>
      <x:c r="S333" s="30" t="str"/>
      <x:c r="T333" s="30" t="str">
        <x:v>建议检索：WONDERFITTER 官方 / 公众号 / 微博 / 小红书 / 视频号</x:v>
      </x:c>
      <x:c r="U333" s="30" t="str">
        <x:v>未联系</x:v>
      </x:c>
      <x:c r="V333" s="30" t="str"/>
      <x:c r="W333" s="29" t="str">
        <x:v>高</x:v>
      </x:c>
      <x:c r="X333" s="29" t="str">
        <x:v>https://www.vgover.com/zh-tw/news/226267</x:v>
      </x:c>
    </x:row>
    <x:row r="334">
      <x:c r="A334" s="29" t="n">
        <x:v>331</x:v>
      </x:c>
      <x:c r="B334" s="29" t="str">
        <x:v>E7</x:v>
      </x:c>
      <x:c r="C334" s="29" t="str">
        <x:v>发烧硬件</x:v>
      </x:c>
      <x:c r="D334" s="29" t="str">
        <x:v>S892</x:v>
      </x:c>
      <x:c r="E334" s="29" t="str">
        <x:v>丹麦达尼 丹麦阿歌</x:v>
      </x:c>
      <x:c r="F334" s="30" t="str"/>
      <x:c r="G334" s="29" t="str">
        <x:v>音频</x:v>
      </x:c>
      <x:c r="H334" s="29" t="n">
        <x:v>3</x:v>
      </x:c>
      <x:c r="I334" s="29" t="n">
        <x:v>5</x:v>
      </x:c>
      <x:c r="J334" s="29" t="n">
        <x:v>3</x:v>
      </x:c>
      <x:c r="K334" s="29" t="n">
        <x:v>2</x:v>
      </x:c>
      <x:c r="L334" s="31" t="n">
        <x:f>SUM(H334:K334)</x:f>
        <x:v>13</x:v>
      </x:c>
      <x:c r="M334" s="29" t="str">
        <x:f>IF(L334&gt;=16,"A-优先",IF(L334&gt;=12,"B-培育","C-观察"))</x:f>
        <x:v>B-培育</x:v>
      </x:c>
      <x:c r="N334" s="29" t="str">
        <x:v>电竞空间、首店首发、渠道总部、供应链与制造项目</x:v>
      </x:c>
      <x:c r="O334" s="29" t="str">
        <x:v>展位图识别，待复核</x:v>
      </x:c>
      <x:c r="P334" s="30" t="str"/>
      <x:c r="Q334" s="30" t="str"/>
      <x:c r="R334" s="30" t="str"/>
      <x:c r="S334" s="30" t="str"/>
      <x:c r="T334" s="30" t="str">
        <x:v>建议检索：丹麦达尼 丹麦阿歌 官方 / 公众号 / 微博 / 小红书 / 视频号</x:v>
      </x:c>
      <x:c r="U334" s="30" t="str">
        <x:v>未联系</x:v>
      </x:c>
      <x:c r="V334" s="30" t="str"/>
      <x:c r="W334" s="29" t="str">
        <x:v>中</x:v>
      </x:c>
      <x:c r="X334" s="29" t="str">
        <x:v>https://www.vgover.com/zh-tw/news/226267</x:v>
      </x:c>
    </x:row>
    <x:row r="335">
      <x:c r="A335" s="29" t="n">
        <x:v>332</x:v>
      </x:c>
      <x:c r="B335" s="29" t="str">
        <x:v>E7</x:v>
      </x:c>
      <x:c r="C335" s="29" t="str">
        <x:v>发烧硬件</x:v>
      </x:c>
      <x:c r="D335" s="29" t="str">
        <x:v>S893</x:v>
      </x:c>
      <x:c r="E335" s="29" t="str">
        <x:v>iBasso 中国</x:v>
      </x:c>
      <x:c r="F335" s="30" t="str"/>
      <x:c r="G335" s="29" t="str">
        <x:v>音频</x:v>
      </x:c>
      <x:c r="H335" s="29" t="n">
        <x:v>3</x:v>
      </x:c>
      <x:c r="I335" s="29" t="n">
        <x:v>5</x:v>
      </x:c>
      <x:c r="J335" s="29" t="n">
        <x:v>3</x:v>
      </x:c>
      <x:c r="K335" s="29" t="n">
        <x:v>2</x:v>
      </x:c>
      <x:c r="L335" s="31" t="n">
        <x:f>SUM(H335:K335)</x:f>
        <x:v>13</x:v>
      </x:c>
      <x:c r="M335" s="29" t="str">
        <x:f>IF(L335&gt;=16,"A-优先",IF(L335&gt;=12,"B-培育","C-观察"))</x:f>
        <x:v>B-培育</x:v>
      </x:c>
      <x:c r="N335" s="29" t="str">
        <x:v>电竞空间、首店首发、渠道总部、供应链与制造项目</x:v>
      </x:c>
      <x:c r="O335" s="29" t="str"/>
      <x:c r="P335" s="30" t="str"/>
      <x:c r="Q335" s="30" t="str"/>
      <x:c r="R335" s="30" t="str"/>
      <x:c r="S335" s="30" t="str"/>
      <x:c r="T335" s="30" t="str">
        <x:v>建议检索：iBasso 中国 官方 / 公众号 / 微博 / 小红书 / 视频号</x:v>
      </x:c>
      <x:c r="U335" s="30" t="str">
        <x:v>未联系</x:v>
      </x:c>
      <x:c r="V335" s="30" t="str"/>
      <x:c r="W335" s="29" t="str">
        <x:v>高</x:v>
      </x:c>
      <x:c r="X335" s="29" t="str">
        <x:v>https://www.vgover.com/zh-tw/news/226267</x:v>
      </x:c>
    </x:row>
    <x:row r="336">
      <x:c r="A336" s="29" t="n">
        <x:v>333</x:v>
      </x:c>
      <x:c r="B336" s="29" t="str">
        <x:v>N1/E5/主舞台</x:v>
      </x:c>
      <x:c r="C336" s="29" t="str">
        <x:v>ChinaJoy大赛</x:v>
      </x:c>
      <x:c r="D336" s="29" t="str">
        <x:v>N1-G101</x:v>
      </x:c>
      <x:c r="E336" s="29" t="str">
        <x:v>第六届中国游戏创新大赛</x:v>
      </x:c>
      <x:c r="F336" s="30" t="str"/>
      <x:c r="G336" s="29" t="str">
        <x:v>游戏创新赛事</x:v>
      </x:c>
      <x:c r="H336" s="29" t="n">
        <x:v>3</x:v>
      </x:c>
      <x:c r="I336" s="29" t="n">
        <x:v>3</x:v>
      </x:c>
      <x:c r="J336" s="29" t="n">
        <x:v>5</x:v>
      </x:c>
      <x:c r="K336" s="29" t="n">
        <x:v>2</x:v>
      </x:c>
      <x:c r="L336" s="31" t="n">
        <x:f>SUM(H336:K336)</x:f>
        <x:v>13</x:v>
      </x:c>
      <x:c r="M336" s="29" t="str">
        <x:f>IF(L336&gt;=16,"A-优先",IF(L336&gt;=12,"B-培育","C-观察"))</x:f>
        <x:v>B-培育</x:v>
      </x:c>
      <x:c r="N336" s="29" t="str">
        <x:v>年轻化品牌联名、城市消费活动、商业体快闪与文旅导流</x:v>
      </x:c>
      <x:c r="O336" s="29" t="str">
        <x:v>征集204款作品，覆盖国内19省市及6个海外国家</x:v>
      </x:c>
      <x:c r="P336" s="30" t="str"/>
      <x:c r="Q336" s="30" t="str"/>
      <x:c r="R336" s="30" t="str"/>
      <x:c r="S336" s="30" t="str"/>
      <x:c r="T336" s="30" t="str">
        <x:v>建议检索：第六届中国游戏创新大赛 官方 / 公众号 / 微博 / 小红书 / 视频号</x:v>
      </x:c>
      <x:c r="U336" s="30" t="str">
        <x:v>未联系</x:v>
      </x:c>
      <x:c r="V336" s="30" t="str"/>
      <x:c r="W336" s="29" t="str">
        <x:v>高</x:v>
      </x:c>
      <x:c r="X336" s="29" t="str">
        <x:v>https://btb.chinajoy.net/news/63876</x:v>
      </x:c>
    </x:row>
    <x:row r="337">
      <x:c r="A337" s="29" t="n">
        <x:v>334</x:v>
      </x:c>
      <x:c r="B337" s="29" t="str">
        <x:v>N1/E5/主舞台</x:v>
      </x:c>
      <x:c r="C337" s="29" t="str">
        <x:v>ChinaJoy大赛</x:v>
      </x:c>
      <x:c r="D337" s="29" t="str">
        <x:v>N1-G113</x:v>
      </x:c>
      <x:c r="E337" s="29" t="str">
        <x:v>“指尖星河”游戏创新大赛获奖作品展</x:v>
      </x:c>
      <x:c r="F337" s="30" t="str"/>
      <x:c r="G337" s="29" t="str">
        <x:v>游戏创新赛事</x:v>
      </x:c>
      <x:c r="H337" s="29" t="n">
        <x:v>3</x:v>
      </x:c>
      <x:c r="I337" s="29" t="n">
        <x:v>3</x:v>
      </x:c>
      <x:c r="J337" s="29" t="n">
        <x:v>5</x:v>
      </x:c>
      <x:c r="K337" s="29" t="n">
        <x:v>2</x:v>
      </x:c>
      <x:c r="L337" s="31" t="n">
        <x:f>SUM(H337:K337)</x:f>
        <x:v>13</x:v>
      </x:c>
      <x:c r="M337" s="29" t="str">
        <x:f>IF(L337&gt;=16,"A-优先",IF(L337&gt;=12,"B-培育","C-观察"))</x:f>
        <x:v>B-培育</x:v>
      </x:c>
      <x:c r="N337" s="29" t="str">
        <x:v>年轻化品牌联名、城市消费活动、商业体快闪与文旅导流</x:v>
      </x:c>
      <x:c r="O337" s="29" t="str"/>
      <x:c r="P337" s="30" t="str"/>
      <x:c r="Q337" s="30" t="str"/>
      <x:c r="R337" s="30" t="str"/>
      <x:c r="S337" s="30" t="str"/>
      <x:c r="T337" s="30" t="str">
        <x:v>建议检索：“指尖星河”游戏创新大赛获奖作品展 官方 / 公众号 / 微博 / 小红书 / 视频号</x:v>
      </x:c>
      <x:c r="U337" s="30" t="str">
        <x:v>未联系</x:v>
      </x:c>
      <x:c r="V337" s="30" t="str"/>
      <x:c r="W337" s="29" t="str">
        <x:v>高</x:v>
      </x:c>
      <x:c r="X337" s="29" t="str">
        <x:v>https://www.vgover.com/zh-tw/news/226267</x:v>
      </x:c>
    </x:row>
    <x:row r="338">
      <x:c r="A338" s="29" t="n">
        <x:v>335</x:v>
      </x:c>
      <x:c r="B338" s="29" t="str">
        <x:v>N1/E5/主舞台</x:v>
      </x:c>
      <x:c r="C338" s="29" t="str">
        <x:v>ChinaJoy大赛</x:v>
      </x:c>
      <x:c r="D338" s="29" t="str">
        <x:v>E5-赛事区</x:v>
      </x:c>
      <x:c r="E338" s="29" t="str">
        <x:v>ChinaJoy洛裳华服·新秀大赛</x:v>
      </x:c>
      <x:c r="F338" s="30" t="str"/>
      <x:c r="G338" s="29" t="str">
        <x:v>国风/汉服赛事</x:v>
      </x:c>
      <x:c r="H338" s="29" t="n">
        <x:v>3</x:v>
      </x:c>
      <x:c r="I338" s="29" t="n">
        <x:v>3</x:v>
      </x:c>
      <x:c r="J338" s="29" t="n">
        <x:v>3</x:v>
      </x:c>
      <x:c r="K338" s="29" t="n">
        <x:v>2</x:v>
      </x:c>
      <x:c r="L338" s="31" t="n">
        <x:f>SUM(H338:K338)</x:f>
        <x:v>11</x:v>
      </x:c>
      <x:c r="M338" s="29" t="str">
        <x:f>IF(L338&gt;=16,"A-优先",IF(L338&gt;=12,"B-培育","C-观察"))</x:f>
        <x:v>C-观察</x:v>
      </x:c>
      <x:c r="N338" s="29" t="str">
        <x:v>年轻化品牌联名、城市消费活动、商业体快闪与文旅导流</x:v>
      </x:c>
      <x:c r="O338" s="29" t="str"/>
      <x:c r="P338" s="30" t="str"/>
      <x:c r="Q338" s="30" t="str"/>
      <x:c r="R338" s="30" t="str"/>
      <x:c r="S338" s="30" t="str"/>
      <x:c r="T338" s="30" t="str">
        <x:v>建议检索：ChinaJoy洛裳华服·新秀大赛 官方 / 公众号 / 微博 / 小红书 / 视频号</x:v>
      </x:c>
      <x:c r="U338" s="30" t="str">
        <x:v>未联系</x:v>
      </x:c>
      <x:c r="V338" s="30" t="str"/>
      <x:c r="W338" s="29" t="str">
        <x:v>高</x:v>
      </x:c>
      <x:c r="X338" s="29" t="str">
        <x:v>https://www.vgover.com/zh-tw/news/226267</x:v>
      </x:c>
    </x:row>
    <x:row r="339">
      <x:c r="A339" s="29" t="n">
        <x:v>336</x:v>
      </x:c>
      <x:c r="B339" s="29" t="str">
        <x:v>N1/E5/主舞台</x:v>
      </x:c>
      <x:c r="C339" s="29" t="str">
        <x:v>ChinaJoy大赛</x:v>
      </x:c>
      <x:c r="D339" s="29" t="str">
        <x:v>E5-赛事区</x:v>
      </x:c>
      <x:c r="E339" s="29" t="str">
        <x:v>ChinaJoy舞艺超群·全国舞团盛典</x:v>
      </x:c>
      <x:c r="F339" s="30" t="str"/>
      <x:c r="G339" s="29" t="str">
        <x:v>舞蹈赛事</x:v>
      </x:c>
      <x:c r="H339" s="29" t="n">
        <x:v>3</x:v>
      </x:c>
      <x:c r="I339" s="29" t="n">
        <x:v>3</x:v>
      </x:c>
      <x:c r="J339" s="29" t="n">
        <x:v>3</x:v>
      </x:c>
      <x:c r="K339" s="29" t="n">
        <x:v>2</x:v>
      </x:c>
      <x:c r="L339" s="31" t="n">
        <x:f>SUM(H339:K339)</x:f>
        <x:v>11</x:v>
      </x:c>
      <x:c r="M339" s="29" t="str">
        <x:f>IF(L339&gt;=16,"A-优先",IF(L339&gt;=12,"B-培育","C-观察"))</x:f>
        <x:v>C-观察</x:v>
      </x:c>
      <x:c r="N339" s="29" t="str">
        <x:v>年轻化品牌联名、城市消费活动、商业体快闪与文旅导流</x:v>
      </x:c>
      <x:c r="O339" s="29" t="str"/>
      <x:c r="P339" s="30" t="str"/>
      <x:c r="Q339" s="30" t="str"/>
      <x:c r="R339" s="30" t="str"/>
      <x:c r="S339" s="30" t="str"/>
      <x:c r="T339" s="30" t="str">
        <x:v>建议检索：ChinaJoy舞艺超群·全国舞团盛典 官方 / 公众号 / 微博 / 小红书 / 视频号</x:v>
      </x:c>
      <x:c r="U339" s="30" t="str">
        <x:v>未联系</x:v>
      </x:c>
      <x:c r="V339" s="30" t="str"/>
      <x:c r="W339" s="29" t="str">
        <x:v>高</x:v>
      </x:c>
      <x:c r="X339" s="29" t="str">
        <x:v>https://www.vgover.com/zh-tw/news/226267</x:v>
      </x:c>
    </x:row>
    <x:row r="340">
      <x:c r="A340" s="29" t="n">
        <x:v>337</x:v>
      </x:c>
      <x:c r="B340" s="29" t="str">
        <x:v>N1/E5/主舞台</x:v>
      </x:c>
      <x:c r="C340" s="29" t="str">
        <x:v>ChinaJoy大赛</x:v>
      </x:c>
      <x:c r="D340" s="29" t="str">
        <x:v>官方主舞台</x:v>
      </x:c>
      <x:c r="E340" s="29" t="str">
        <x:v>英特尔大师挑战赛总决赛</x:v>
      </x:c>
      <x:c r="F340" s="30" t="str"/>
      <x:c r="G340" s="29" t="str">
        <x:v>电竞赛事</x:v>
      </x:c>
      <x:c r="H340" s="29" t="n">
        <x:v>3</x:v>
      </x:c>
      <x:c r="I340" s="29" t="n">
        <x:v>3</x:v>
      </x:c>
      <x:c r="J340" s="29" t="n">
        <x:v>5</x:v>
      </x:c>
      <x:c r="K340" s="29" t="n">
        <x:v>2</x:v>
      </x:c>
      <x:c r="L340" s="31" t="n">
        <x:f>SUM(H340:K340)</x:f>
        <x:v>13</x:v>
      </x:c>
      <x:c r="M340" s="29" t="str">
        <x:f>IF(L340&gt;=16,"A-优先",IF(L340&gt;=12,"B-培育","C-观察"))</x:f>
        <x:v>B-培育</x:v>
      </x:c>
      <x:c r="N340" s="29" t="str">
        <x:v>年轻化品牌联名、城市消费活动、商业体快闪与文旅导流</x:v>
      </x:c>
      <x:c r="O340" s="29" t="str"/>
      <x:c r="P340" s="30" t="str"/>
      <x:c r="Q340" s="30" t="str"/>
      <x:c r="R340" s="30" t="str"/>
      <x:c r="S340" s="30" t="str"/>
      <x:c r="T340" s="30" t="str">
        <x:v>建议检索：英特尔大师挑战赛总决赛 官方 / 公众号 / 微博 / 小红书 / 视频号</x:v>
      </x:c>
      <x:c r="U340" s="30" t="str">
        <x:v>未联系</x:v>
      </x:c>
      <x:c r="V340" s="30" t="str"/>
      <x:c r="W340" s="29" t="str">
        <x:v>高</x:v>
      </x:c>
      <x:c r="X340" s="29" t="str">
        <x:v>https://www.vgover.com/zh-tw/news/226267</x:v>
      </x:c>
    </x:row>
    <x:row r="341">
      <x:c r="A341" s="29" t="n">
        <x:v>338</x:v>
      </x:c>
      <x:c r="B341" s="29" t="str">
        <x:v>E4/全馆</x:v>
      </x:c>
      <x:c r="C341" s="29" t="str">
        <x:v>次元世界</x:v>
      </x:c>
      <x:c r="D341" s="29" t="str">
        <x:v>E4活动区</x:v>
      </x:c>
      <x:c r="E341" s="29" t="str">
        <x:v>Coser自由行</x:v>
      </x:c>
      <x:c r="F341" s="30" t="str"/>
      <x:c r="G341" s="29" t="str">
        <x:v>Coser/创作者活动</x:v>
      </x:c>
      <x:c r="H341" s="29" t="n">
        <x:v>2</x:v>
      </x:c>
      <x:c r="I341" s="29" t="n">
        <x:v>3</x:v>
      </x:c>
      <x:c r="J341" s="29" t="n">
        <x:v>3</x:v>
      </x:c>
      <x:c r="K341" s="29" t="n">
        <x:v>2</x:v>
      </x:c>
      <x:c r="L341" s="31" t="n">
        <x:f>SUM(H341:K341)</x:f>
        <x:v>10</x:v>
      </x:c>
      <x:c r="M341" s="29" t="str">
        <x:f>IF(L341&gt;=16,"A-优先",IF(L341&gt;=12,"B-培育","C-观察"))</x:f>
        <x:v>C-观察</x:v>
      </x:c>
      <x:c r="N341" s="29" t="str">
        <x:v>年轻化品牌联名、城市消费活动、商业体快闪与文旅导流</x:v>
      </x:c>
      <x:c r="O341" s="29" t="str">
        <x:v>头部创作者及Coser参与</x:v>
      </x:c>
      <x:c r="P341" s="30" t="str"/>
      <x:c r="Q341" s="30" t="str"/>
      <x:c r="R341" s="30" t="str"/>
      <x:c r="S341" s="30" t="str"/>
      <x:c r="T341" s="30" t="str">
        <x:v>建议检索：Coser自由行 官方 / 公众号 / 微博 / 小红书 / 视频号</x:v>
      </x:c>
      <x:c r="U341" s="30" t="str">
        <x:v>未联系</x:v>
      </x:c>
      <x:c r="V341" s="30" t="str"/>
      <x:c r="W341" s="29" t="str">
        <x:v>高</x:v>
      </x:c>
      <x:c r="X341" s="29" t="str">
        <x:v>https://btb.chinajoy.net/news/63876</x:v>
      </x:c>
    </x:row>
    <x:row r="342">
      <x:c r="A342" s="29" t="n">
        <x:v>339</x:v>
      </x:c>
      <x:c r="B342" s="29" t="str">
        <x:v>E4/全馆</x:v>
      </x:c>
      <x:c r="C342" s="29" t="str">
        <x:v>次元世界</x:v>
      </x:c>
      <x:c r="D342" s="29" t="str">
        <x:v>活动区</x:v>
      </x:c>
      <x:c r="E342" s="29" t="str">
        <x:v>地下偶像互动区</x:v>
      </x:c>
      <x:c r="F342" s="30" t="str"/>
      <x:c r="G342" s="29" t="str">
        <x:v>偶像/次元活动</x:v>
      </x:c>
      <x:c r="H342" s="29" t="n">
        <x:v>3</x:v>
      </x:c>
      <x:c r="I342" s="29" t="n">
        <x:v>3</x:v>
      </x:c>
      <x:c r="J342" s="29" t="n">
        <x:v>3</x:v>
      </x:c>
      <x:c r="K342" s="29" t="n">
        <x:v>2</x:v>
      </x:c>
      <x:c r="L342" s="31" t="n">
        <x:f>SUM(H342:K342)</x:f>
        <x:v>11</x:v>
      </x:c>
      <x:c r="M342" s="29" t="str">
        <x:f>IF(L342&gt;=16,"A-优先",IF(L342&gt;=12,"B-培育","C-观察"))</x:f>
        <x:v>C-观察</x:v>
      </x:c>
      <x:c r="N342" s="29" t="str">
        <x:v>年轻化品牌联名、城市消费活动、商业体快闪与文旅导流</x:v>
      </x:c>
      <x:c r="O342" s="29" t="str">
        <x:v>展会新增互动区</x:v>
      </x:c>
      <x:c r="P342" s="30" t="str"/>
      <x:c r="Q342" s="30" t="str"/>
      <x:c r="R342" s="30" t="str"/>
      <x:c r="S342" s="30" t="str"/>
      <x:c r="T342" s="30" t="str">
        <x:v>建议检索：地下偶像互动区 官方 / 公众号 / 微博 / 小红书 / 视频号</x:v>
      </x:c>
      <x:c r="U342" s="30" t="str">
        <x:v>未联系</x:v>
      </x:c>
      <x:c r="V342" s="30" t="str"/>
      <x:c r="W342" s="29" t="str">
        <x:v>高</x:v>
      </x:c>
      <x:c r="X342" s="29" t="str">
        <x:v>https://btb.chinajoy.net/news/63876</x:v>
      </x:c>
    </x:row>
  </x:sheetData>
  <x:mergeCells>
    <x:mergeCell ref="A1:X1"/>
    <x:mergeCell ref="A2:X2"/>
  </x:mergeCells>
  <x:conditionalFormatting sqref="M4:M342">
    <x:cfRule type="containsText" dxfId="0" priority="1" operator="containsText" text="A-优先"/>
    <x:cfRule type="containsText" dxfId="1" priority="2" operator="containsText" text="B-培育"/>
  </x:conditionalFormatting>
  <x:conditionalFormatting sqref="W4:W342">
    <x:cfRule type="containsText" dxfId="2" priority="3" operator="containsText" text="中"/>
  </x:conditionalFormatting>
  <x:dataValidations count="2">
    <x:dataValidation type="list" sqref="U4:U342">
      <x:formula1>"未联系,已联系,已回复,洽谈中,已签约,暂缓,无效"</x:formula1>
    </x:dataValidation>
    <x:dataValidation type="list" sqref="M4:M342">
      <x:formula1>"A-优先,B-培育,C-观察"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cbfd74343641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0" hidden="0" customWidth="1"/>
    <x:col min="4" max="4" width="16" hidden="0" customWidth="1"/>
    <x:col min="5" max="5" width="34" hidden="0" customWidth="1"/>
    <x:col min="6" max="6" width="38" hidden="0" customWidth="1"/>
    <x:col min="7" max="7" width="38" hidden="0" customWidth="1"/>
    <x:col min="8" max="8" width="48" hidden="0" customWidth="1"/>
  </x:cols>
  <x:sheetData>
    <x:row r="1" ht="32" customHeight="1">
      <x:c r="A1" s="3" t="str">
        <x:v>活动、赛事与特别嘉宾/参与方</x:v>
      </x:c>
      <x:c r="B1" s="3" t="str">
        <x:v>活动、赛事与特别嘉宾/参与方</x:v>
      </x:c>
      <x:c r="C1" s="3" t="str">
        <x:v>活动、赛事与特别嘉宾/参与方</x:v>
      </x:c>
      <x:c r="D1" s="3" t="str">
        <x:v>活动、赛事与特别嘉宾/参与方</x:v>
      </x:c>
      <x:c r="E1" s="3" t="str">
        <x:v>活动、赛事与特别嘉宾/参与方</x:v>
      </x:c>
      <x:c r="F1" s="3" t="str">
        <x:v>活动、赛事与特别嘉宾/参与方</x:v>
      </x:c>
      <x:c r="G1" s="3" t="str">
        <x:v>活动、赛事与特别嘉宾/参与方</x:v>
      </x:c>
      <x:c r="H1" s="3" t="str">
        <x:v>活动、赛事与特别嘉宾/参与方</x:v>
      </x:c>
    </x:row>
    <x:row r="2" ht="30" customHeight="1">
      <x:c r="A2" s="25" t="str">
        <x:v>日期</x:v>
      </x:c>
      <x:c r="B2" s="26" t="str">
        <x:v>地点/展馆</x:v>
      </x:c>
      <x:c r="C2" s="26" t="str">
        <x:v>活动</x:v>
      </x:c>
      <x:c r="D2" s="26" t="str">
        <x:v>类型</x:v>
      </x:c>
      <x:c r="E2" s="26" t="str">
        <x:v>特别嘉宾/参与方</x:v>
      </x:c>
      <x:c r="F2" s="26" t="str">
        <x:v>核心内容</x:v>
      </x:c>
      <x:c r="G2" s="26" t="str">
        <x:v>招商价值/合作方式</x:v>
      </x:c>
      <x:c r="H2" s="27" t="str">
        <x:v>来源URL</x:v>
      </x:c>
    </x:row>
    <x:row r="3">
      <x:c r="A3" s="29" t="str">
        <x:v>2026-07-31~08-03</x:v>
      </x:c>
      <x:c r="B3" s="29" t="str">
        <x:v>全馆</x:v>
      </x:c>
      <x:c r="C3" s="29" t="str">
        <x:v>ChinaJoy BTOC互动娱乐展</x:v>
      </x:c>
      <x:c r="D3" s="29" t="str">
        <x:v>综合展会</x:v>
      </x:c>
      <x:c r="E3" s="29" t="str">
        <x:v>参展品牌/专业观众</x:v>
      </x:c>
      <x:c r="F3" s="29" t="str">
        <x:v>超350家BTOC企业、超500家游戏公司及团队</x:v>
      </x:c>
      <x:c r="G3" s="29" t="str">
        <x:v>品牌主场、联合展区、城市联动</x:v>
      </x:c>
      <x:c r="H3" s="29" t="str">
        <x:v>https://btb.chinajoy.net/news/63876</x:v>
      </x:c>
    </x:row>
    <x:row r="4">
      <x:c r="A4" s="29" t="str">
        <x:v>2026-07-31~08-03</x:v>
      </x:c>
      <x:c r="B4" s="29" t="str">
        <x:v>E6</x:v>
      </x:c>
      <x:c r="C4" s="29" t="str">
        <x:v>ChinaJoy官方主舞台</x:v>
      </x:c>
      <x:c r="D4" s="29" t="str">
        <x:v>官方舞台</x:v>
      </x:c>
      <x:c r="E4" s="29" t="str">
        <x:v>英特尔大师挑战赛选手/嘉宾</x:v>
      </x:c>
      <x:c r="F4" s="29" t="str">
        <x:v>赛事总决赛、发布、演出</x:v>
      </x:c>
      <x:c r="G4" s="29" t="str">
        <x:v>赛事冠名、硬件合作、奖品赞助</x:v>
      </x:c>
      <x:c r="H4" s="29" t="str">
        <x:v>https://btb.chinajoy.net/news/63876</x:v>
      </x:c>
    </x:row>
    <x:row r="5">
      <x:c r="A5" s="29" t="str">
        <x:v>2026-07-29~08-03</x:v>
      </x:c>
      <x:c r="B5" s="29" t="str">
        <x:v>线上</x:v>
      </x:c>
      <x:c r="C5" s="29" t="str">
        <x:v>2026 ChinaJoy Game Show</x:v>
      </x:c>
      <x:c r="D5" s="29" t="str">
        <x:v>线上专题</x:v>
      </x:c>
      <x:c r="E5" s="29" t="str">
        <x:v>蒸汽平台、Steam、游戏厂商/独立开发者</x:v>
      </x:c>
      <x:c r="F5" s="29" t="str">
        <x:v>线上第二展馆</x:v>
      </x:c>
      <x:c r="G5" s="29" t="str">
        <x:v>数字发行、联合传播、内容合作</x:v>
      </x:c>
      <x:c r="H5" s="29" t="str">
        <x:v>https://btb.chinajoy.net/news/63876</x:v>
      </x:c>
    </x:row>
    <x:row r="6">
      <x:c r="A6" s="29" t="str">
        <x:v>2026-07-31~08-03</x:v>
      </x:c>
      <x:c r="B6" s="29" t="str">
        <x:v>N2</x:v>
      </x:c>
      <x:c r="C6" s="29" t="str">
        <x:v>ChinaJoy Next Play</x:v>
      </x:c>
      <x:c r="D6" s="29" t="str">
        <x:v>创新游戏体验</x:v>
      </x:c>
      <x:c r="E6" s="29" t="str">
        <x:v>AI游戏/互动娱乐团队</x:v>
      </x:c>
      <x:c r="F6" s="29" t="str">
        <x:v>AI NPC、互动叙事、生成式内容试玩</x:v>
      </x:c>
      <x:c r="G6" s="29" t="str">
        <x:v>投资孵化、场景落地、技术合作</x:v>
      </x:c>
      <x:c r="H6" s="29" t="str">
        <x:v>https://btb.chinajoy.net/news/63876</x:v>
      </x:c>
    </x:row>
    <x:row r="7">
      <x:c r="A7" s="29" t="str">
        <x:v>2026-07-31~08-03</x:v>
      </x:c>
      <x:c r="B7" s="29" t="str">
        <x:v>E6</x:v>
      </x:c>
      <x:c r="C7" s="29" t="str">
        <x:v>Vision Future前沿科技展区</x:v>
      </x:c>
      <x:c r="D7" s="29" t="str">
        <x:v>科技展示</x:v>
      </x:c>
      <x:c r="E7" s="29" t="str">
        <x:v>机器人/AI/智能穿戴企业</x:v>
      </x:c>
      <x:c r="F7" s="29" t="str">
        <x:v>前沿产品互动体验</x:v>
      </x:c>
      <x:c r="G7" s="29" t="str">
        <x:v>产业落地、场景招商、园区引入</x:v>
      </x:c>
      <x:c r="H7" s="29" t="str">
        <x:v>https://btb.chinajoy.net/news/63876</x:v>
      </x:c>
    </x:row>
    <x:row r="8">
      <x:c r="A8" s="29" t="str">
        <x:v>2026-07-31~08-03</x:v>
      </x:c>
      <x:c r="B8" s="29" t="str">
        <x:v>E6</x:v>
      </x:c>
      <x:c r="C8" s="29" t="str">
        <x:v>UGA极致装备 EDC PARK</x:v>
      </x:c>
      <x:c r="D8" s="29" t="str">
        <x:v>潮流装备</x:v>
      </x:c>
      <x:c r="E8" s="29" t="str">
        <x:v>EDC品牌/高净值玩家</x:v>
      </x:c>
      <x:c r="F8" s="29" t="str">
        <x:v>高端解压消费</x:v>
      </x:c>
      <x:c r="G8" s="29" t="str">
        <x:v>零售渠道、联名、会员活动</x:v>
      </x:c>
      <x:c r="H8" s="29" t="str">
        <x:v>https://btb.chinajoy.net/news/63876</x:v>
      </x:c>
    </x:row>
    <x:row r="9">
      <x:c r="A9" s="29" t="str">
        <x:v>2026-07-31~08-03</x:v>
      </x:c>
      <x:c r="B9" s="29" t="str">
        <x:v>E4</x:v>
      </x:c>
      <x:c r="C9" s="29" t="str">
        <x:v>创作者展区达人签售</x:v>
      </x:c>
      <x:c r="D9" s="29" t="str">
        <x:v>签售/互动</x:v>
      </x:c>
      <x:c r="E9" s="29" t="str">
        <x:v>首批达人及后续官宣嘉宾</x:v>
      </x:c>
      <x:c r="F9" s="29" t="str">
        <x:v>签售、合影、周边</x:v>
      </x:c>
      <x:c r="G9" s="29" t="str">
        <x:v>达人合作、文旅引流、品牌内容共创</x:v>
      </x:c>
      <x:c r="H9" s="29" t="str">
        <x:v>https://btb.chinajoy.net/news/63753</x:v>
      </x:c>
    </x:row>
    <x:row r="10">
      <x:c r="A10" s="29" t="str">
        <x:v>2026-07-31~08-03</x:v>
      </x:c>
      <x:c r="B10" s="29" t="str">
        <x:v>E4</x:v>
      </x:c>
      <x:c r="C10" s="29" t="str">
        <x:v>Coser自由行</x:v>
      </x:c>
      <x:c r="D10" s="29" t="str">
        <x:v>次元活动</x:v>
      </x:c>
      <x:c r="E10" s="29" t="str">
        <x:v>头部创作者/Coser</x:v>
      </x:c>
      <x:c r="F10" s="29" t="str">
        <x:v>自由行、跨次元派对</x:v>
      </x:c>
      <x:c r="G10" s="29" t="str">
        <x:v>服饰、美妆、影像、场景招商</x:v>
      </x:c>
      <x:c r="H10" s="29" t="str">
        <x:v>https://btb.chinajoy.net/news/63876</x:v>
      </x:c>
    </x:row>
    <x:row r="11">
      <x:c r="A11" s="29" t="str">
        <x:v>2026-07-31~08-03</x:v>
      </x:c>
      <x:c r="B11" s="29" t="str">
        <x:v>E5</x:v>
      </x:c>
      <x:c r="C11" s="29" t="str">
        <x:v>ChinaJoy洛裳华服·新秀大赛</x:v>
      </x:c>
      <x:c r="D11" s="29" t="str">
        <x:v>国风赛事</x:v>
      </x:c>
      <x:c r="E11" s="29" t="str">
        <x:v>汉服品牌/设计师/选手</x:v>
      </x:c>
      <x:c r="F11" s="29" t="str">
        <x:v>走秀、赛事</x:v>
      </x:c>
      <x:c r="G11" s="29" t="str">
        <x:v>国风IP、服饰、文旅联动</x:v>
      </x:c>
      <x:c r="H11" s="29" t="str">
        <x:v>https://www.vgover.com/zh-tw/news/226267</x:v>
      </x:c>
    </x:row>
    <x:row r="12">
      <x:c r="A12" s="29" t="str">
        <x:v>2026-07-31~08-03</x:v>
      </x:c>
      <x:c r="B12" s="29" t="str">
        <x:v>E5</x:v>
      </x:c>
      <x:c r="C12" s="29" t="str">
        <x:v>ChinaJoy舞艺超群全国舞团盛典</x:v>
      </x:c>
      <x:c r="D12" s="29" t="str">
        <x:v>舞蹈赛事</x:v>
      </x:c>
      <x:c r="E12" s="29" t="str">
        <x:v>舞团/舞者</x:v>
      </x:c>
      <x:c r="F12" s="29" t="str">
        <x:v>全国舞团演出</x:v>
      </x:c>
      <x:c r="G12" s="29" t="str">
        <x:v>年轻人群营销、城市舞台、品牌赞助</x:v>
      </x:c>
      <x:c r="H12" s="29" t="str">
        <x:v>https://www.vgover.com/zh-tw/news/226267</x:v>
      </x:c>
    </x:row>
    <x:row r="13">
      <x:c r="A13" s="29" t="str">
        <x:v>2026-08-01</x:v>
      </x:c>
      <x:c r="B13" s="29" t="str">
        <x:v>虹口星临天下</x:v>
      </x:c>
      <x:c r="C13" s="29" t="str">
        <x:v>AniSonic星尘十周年演唱会</x:v>
      </x:c>
      <x:c r="D13" s="29" t="str">
        <x:v>演唱会</x:v>
      </x:c>
      <x:c r="E13" s="29" t="str">
        <x:v>虚拟歌姬星尘/粉丝创作者</x:v>
      </x:c>
      <x:c r="F13" s="29" t="str">
        <x:v>约120分钟、共创墙、自由舞台、联名周边</x:v>
      </x:c>
      <x:c r="G13" s="29" t="str">
        <x:v>虚拟人、音乐IP、文旅夜经济</x:v>
      </x:c>
      <x:c r="H13" s="29" t="str">
        <x:v>https://btb.chinajoy.net/news/63876</x:v>
      </x:c>
    </x:row>
    <x:row r="14">
      <x:c r="A14" s="29" t="str">
        <x:v>2026-08-02</x:v>
      </x:c>
      <x:c r="B14" s="29" t="str">
        <x:v>瓦肆VAS est</x:v>
      </x:c>
      <x:c r="C14" s="29" t="str">
        <x:v>玄歌国风演唱会</x:v>
      </x:c>
      <x:c r="D14" s="29" t="str">
        <x:v>演唱会</x:v>
      </x:c>
      <x:c r="E14" s="29" t="str">
        <x:v>国风艺人</x:v>
      </x:c>
      <x:c r="F14" s="29" t="str">
        <x:v>古典美学与多样曲风</x:v>
      </x:c>
      <x:c r="G14" s="29" t="str">
        <x:v>国风IP、文旅、消费品牌联名</x:v>
      </x:c>
      <x:c r="H14" s="29" t="str">
        <x:v>https://btb.chinajoy.net/news/63876</x:v>
      </x:c>
    </x:row>
    <x:row r="15">
      <x:c r="A15" s="29" t="str">
        <x:v>2026-07-31~08-03</x:v>
      </x:c>
      <x:c r="B15" s="29" t="str">
        <x:v>N4</x:v>
      </x:c>
      <x:c r="C15" s="29" t="str">
        <x:v>抖音直播声浪狂欢季</x:v>
      </x:c>
      <x:c r="D15" s="29" t="str">
        <x:v>直播赛事</x:v>
      </x:c>
      <x:c r="E15" s="29" t="str">
        <x:v>语音聊天室/虚拟/电台主播、特邀嘉宾</x:v>
      </x:c>
      <x:c r="F15" s="29" t="str">
        <x:v>Live演出、现场互动</x:v>
      </x:c>
      <x:c r="G15" s="29" t="str">
        <x:v>直播平台招商、主播经济、内容场景</x:v>
      </x:c>
      <x:c r="H15" s="29" t="str">
        <x:v>https://btb.chinajoy.net/news/63876</x:v>
      </x:c>
    </x:row>
    <x:row r="16">
      <x:c r="A16" s="29" t="str">
        <x:v>2026-07-31~08-03</x:v>
      </x:c>
      <x:c r="B16" s="29" t="str">
        <x:v>全馆</x:v>
      </x:c>
      <x:c r="C16" s="29" t="str">
        <x:v>支付宝碰一下组队/积分膨胀</x:v>
      </x:c>
      <x:c r="D16" s="29" t="str">
        <x:v>互动营销</x:v>
      </x:c>
      <x:c r="E16" s="29" t="str">
        <x:v>支付宝/参展品牌/观众</x:v>
      </x:c>
      <x:c r="F16" s="29" t="str">
        <x:v>NFC票根、数字藏品、地图日程与打卡</x:v>
      </x:c>
      <x:c r="G16" s="29" t="str">
        <x:v>数字权益、支付营销、私域沉淀</x:v>
      </x:c>
      <x:c r="H16" s="29" t="str">
        <x:v>https://btb.chinajoy.net/news/63876</x:v>
      </x:c>
    </x:row>
    <x:row r="17">
      <x:c r="A17" s="29" t="str">
        <x:v>2026-07-31~08-03</x:v>
      </x:c>
      <x:c r="B17" s="29" t="str">
        <x:v>全馆</x:v>
      </x:c>
      <x:c r="C17" s="29" t="str">
        <x:v>CJ Arena集卡积分</x:v>
      </x:c>
      <x:c r="D17" s="29" t="str">
        <x:v>官方互动</x:v>
      </x:c>
      <x:c r="E17" s="29" t="str">
        <x:v>参展品牌/观众</x:v>
      </x:c>
      <x:c r="F17" s="29" t="str">
        <x:v>组队积分、抽周边</x:v>
      </x:c>
      <x:c r="G17" s="29" t="str">
        <x:v>联合任务、奖品赞助、数据化导流</x:v>
      </x:c>
      <x:c r="H17" s="29" t="str">
        <x:v>https://btb.chinajoy.net/news/63876</x:v>
      </x:c>
    </x:row>
    <x:row r="18">
      <x:c r="A18" s="29" t="str">
        <x:v>2026-07-31~08-03</x:v>
      </x:c>
      <x:c r="B18" s="29" t="str">
        <x:v>全馆</x:v>
      </x:c>
      <x:c r="C18" s="29" t="str">
        <x:v>快手漫展Coser大闯关</x:v>
      </x:c>
      <x:c r="D18" s="29" t="str">
        <x:v>直播/内容</x:v>
      </x:c>
      <x:c r="E18" s="29" t="str">
        <x:v>快手KOL/Coser</x:v>
      </x:c>
      <x:c r="F18" s="29" t="str">
        <x:v>大型直播与闯关玩法</x:v>
      </x:c>
      <x:c r="G18" s="29" t="str">
        <x:v>内容共创、流量置换、城市传播</x:v>
      </x:c>
      <x:c r="H18" s="29" t="str">
        <x:v>https://btb.chinajoy.net/news/63876</x:v>
      </x:c>
    </x:row>
    <x:row r="19">
      <x:c r="A19" s="29" t="str">
        <x:v>2026-07-31~08-03</x:v>
      </x:c>
      <x:c r="B19" s="29" t="str">
        <x:v>展会/城市商圈</x:v>
      </x:c>
      <x:c r="C19" s="29" t="str">
        <x:v>浦东第二届谷子嘉年华</x:v>
      </x:c>
      <x:c r="D19" s="29" t="str">
        <x:v>城市联动</x:v>
      </x:c>
      <x:c r="E19" s="29" t="str">
        <x:v>商圈/谷子品牌/IP方</x:v>
      </x:c>
      <x:c r="F19" s="29" t="str">
        <x:v>票根权益、商圈消费</x:v>
      </x:c>
      <x:c r="G19" s="29" t="str">
        <x:v>平台招商、商业体导流、IP快闪</x:v>
      </x:c>
      <x:c r="H19" s="29" t="str">
        <x:v>https://btb.chinajoy.net/news/63876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917091d53dc4a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44" hidden="0" customWidth="1"/>
    <x:col min="5" max="5" width="38" hidden="0" customWidth="1"/>
    <x:col min="6" max="6" width="28" hidden="0" customWidth="1"/>
    <x:col min="7" max="7" width="14" hidden="0" customWidth="1"/>
  </x:cols>
  <x:sheetData>
    <x:row r="1" ht="32" customHeight="1">
      <x:c r="A1" s="3" t="str">
        <x:v>公开渠道与商务联系入口</x:v>
      </x:c>
      <x:c r="B1" s="3" t="str">
        <x:v>公开渠道与商务联系入口</x:v>
      </x:c>
      <x:c r="C1" s="3" t="str">
        <x:v>公开渠道与商务联系入口</x:v>
      </x:c>
      <x:c r="D1" s="3" t="str">
        <x:v>公开渠道与商务联系入口</x:v>
      </x:c>
      <x:c r="E1" s="3" t="str">
        <x:v>公开渠道与商务联系入口</x:v>
      </x:c>
      <x:c r="F1" s="3" t="str">
        <x:v>公开渠道与商务联系入口</x:v>
      </x:c>
      <x:c r="G1" s="3" t="str">
        <x:v>公开渠道与商务联系入口</x:v>
      </x:c>
    </x:row>
    <x:row r="2" ht="30" customHeight="1">
      <x:c r="A2" s="25" t="str">
        <x:v>品牌/机构</x:v>
      </x:c>
      <x:c r="B2" s="26" t="str">
        <x:v>渠道类型</x:v>
      </x:c>
      <x:c r="C2" s="26" t="str">
        <x:v>账号/关键词</x:v>
      </x:c>
      <x:c r="D2" s="26" t="str">
        <x:v>公开链接/入口</x:v>
      </x:c>
      <x:c r="E2" s="26" t="str">
        <x:v>可切入事项</x:v>
      </x:c>
      <x:c r="F2" s="26" t="str">
        <x:v>核验状态</x:v>
      </x:c>
      <x:c r="G2" s="27" t="str">
        <x:v>最近核验日</x:v>
      </x:c>
    </x:row>
    <x:row r="3">
      <x:c r="A3" s="29" t="str">
        <x:v>ChinaJoy</x:v>
      </x:c>
      <x:c r="B3" s="29" t="str">
        <x:v>官网/公众号/微博/小红书/B站/抖音/快手</x:v>
      </x:c>
      <x:c r="C3" s="29" t="str">
        <x:v>ChinaJoy官方</x:v>
      </x:c>
      <x:c r="D3" s="29" t="str">
        <x:v>https://btb.chinajoy.net/</x:v>
      </x:c>
      <x:c r="E3" s="29" t="str">
        <x:v>展会合作与展商入口</x:v>
      </x:c>
      <x:c r="F3" s="29" t="str">
        <x:v>已核</x:v>
      </x:c>
      <x:c r="G3" s="35" t="n">
        <x:v>46237</x:v>
      </x:c>
    </x:row>
    <x:row r="4">
      <x:c r="A4" s="29" t="str">
        <x:v>ChinaJoy</x:v>
      </x:c>
      <x:c r="B4" s="29" t="str">
        <x:v>邮箱</x:v>
      </x:c>
      <x:c r="C4" s="29" t="str">
        <x:v>cj.connect@howellexpo.net</x:v>
      </x:c>
      <x:c r="D4" s="29" t="str">
        <x:v>mailto:cj.connect@howellexpo.net</x:v>
      </x:c>
      <x:c r="E4" s="29" t="str">
        <x:v>官方商务联系</x:v>
      </x:c>
      <x:c r="F4" s="29" t="str">
        <x:v>已核</x:v>
      </x:c>
      <x:c r="G4" s="35" t="n">
        <x:v>46237</x:v>
      </x:c>
    </x:row>
    <x:row r="5">
      <x:c r="A5" s="29" t="str">
        <x:v>微博</x:v>
      </x:c>
      <x:c r="B5" s="29" t="str">
        <x:v>微博</x:v>
      </x:c>
      <x:c r="C5" s="29" t="str">
        <x:v>ChinaJoy官方微博</x:v>
      </x:c>
      <x:c r="D5" s="29" t="str">
        <x:v>https://weibo.com/chinajoy</x:v>
      </x:c>
      <x:c r="E5" s="29" t="str">
        <x:v>官方发布/嘉宾/活动</x:v>
      </x:c>
      <x:c r="F5" s="29" t="str">
        <x:v>已核</x:v>
      </x:c>
      <x:c r="G5" s="35" t="n">
        <x:v>46237</x:v>
      </x:c>
    </x:row>
    <x:row r="6">
      <x:c r="A6" s="29" t="str">
        <x:v>腾讯游戏</x:v>
      </x:c>
      <x:c r="B6" s="29" t="str">
        <x:v>官网/公众号/微博/视频号</x:v>
      </x:c>
      <x:c r="C6" s="29" t="str">
        <x:v>腾讯游戏</x:v>
      </x:c>
      <x:c r="D6" s="29" t="str">
        <x:v>https://game.qq.com/</x:v>
      </x:c>
      <x:c r="E6" s="29" t="str">
        <x:v>头部游戏/IP/电竞</x:v>
      </x:c>
      <x:c r="F6" s="29" t="str">
        <x:v>常识性公开渠道，招商前复核</x:v>
      </x:c>
      <x:c r="G6" s="35" t="n">
        <x:v>46237</x:v>
      </x:c>
    </x:row>
    <x:row r="7">
      <x:c r="A7" s="29" t="str">
        <x:v>网易游戏</x:v>
      </x:c>
      <x:c r="B7" s="29" t="str">
        <x:v>官网/公众号/微博</x:v>
      </x:c>
      <x:c r="C7" s="29" t="str">
        <x:v>网易游戏</x:v>
      </x:c>
      <x:c r="D7" s="29" t="str">
        <x:v>https://game.163.com/</x:v>
      </x:c>
      <x:c r="E7" s="29" t="str">
        <x:v>头部游戏/IP/赛事</x:v>
      </x:c>
      <x:c r="F7" s="29" t="str">
        <x:v>常识性公开渠道，招商前复核</x:v>
      </x:c>
      <x:c r="G7" s="35" t="n">
        <x:v>46237</x:v>
      </x:c>
    </x:row>
    <x:row r="8">
      <x:c r="A8" s="29" t="str">
        <x:v>完美世界</x:v>
      </x:c>
      <x:c r="B8" s="29" t="str">
        <x:v>官网/公众号/微博</x:v>
      </x:c>
      <x:c r="C8" s="29" t="str">
        <x:v>完美世界游戏</x:v>
      </x:c>
      <x:c r="D8" s="29" t="str">
        <x:v>https://www.wanmei.com/</x:v>
      </x:c>
      <x:c r="E8" s="29" t="str">
        <x:v>游戏/IP/赛事</x:v>
      </x:c>
      <x:c r="F8" s="29" t="str">
        <x:v>常识性公开渠道，招商前复核</x:v>
      </x:c>
      <x:c r="G8" s="35" t="n">
        <x:v>46237</x:v>
      </x:c>
    </x:row>
    <x:row r="9">
      <x:c r="A9" s="29" t="str">
        <x:v>bilibili 游戏</x:v>
      </x:c>
      <x:c r="B9" s="29" t="str">
        <x:v>官网/B站/公众号/微博</x:v>
      </x:c>
      <x:c r="C9" s="29" t="str">
        <x:v>哔哩哔哩游戏</x:v>
      </x:c>
      <x:c r="D9" s="29" t="str">
        <x:v>https://game.bilibili.com/</x:v>
      </x:c>
      <x:c r="E9" s="29" t="str">
        <x:v>二次元/发行/内容生态</x:v>
      </x:c>
      <x:c r="F9" s="29" t="str">
        <x:v>常识性公开渠道，招商前复核</x:v>
      </x:c>
      <x:c r="G9" s="35" t="n">
        <x:v>46237</x:v>
      </x:c>
    </x:row>
    <x:row r="10">
      <x:c r="A10" s="29" t="str">
        <x:v>PlayStation</x:v>
      </x:c>
      <x:c r="B10" s="29" t="str">
        <x:v>官网/微博/公众号</x:v>
      </x:c>
      <x:c r="C10" s="29" t="str">
        <x:v>PlayStation中国</x:v>
      </x:c>
      <x:c r="D10" s="29" t="str">
        <x:v>https://www.playstation.com/zh-hans-cn/</x:v>
      </x:c>
      <x:c r="E10" s="29" t="str">
        <x:v>主机/独立游戏/线下体验</x:v>
      </x:c>
      <x:c r="F10" s="29" t="str">
        <x:v>常识性公开渠道，招商前复核</x:v>
      </x:c>
      <x:c r="G10" s="35" t="n">
        <x:v>46237</x:v>
      </x:c>
    </x:row>
    <x:row r="11">
      <x:c r="A11" s="29" t="str">
        <x:v>Snapdragon 骁龙</x:v>
      </x:c>
      <x:c r="B11" s="29" t="str">
        <x:v>官网/微博/公众号</x:v>
      </x:c>
      <x:c r="C11" s="29" t="str">
        <x:v>骁龙</x:v>
      </x:c>
      <x:c r="D11" s="29" t="str">
        <x:v>https://www.qualcomm.cn/snapdragon</x:v>
      </x:c>
      <x:c r="E11" s="29" t="str">
        <x:v>主题馆/硬件生态</x:v>
      </x:c>
      <x:c r="F11" s="29" t="str">
        <x:v>常识性公开渠道，招商前复核</x:v>
      </x:c>
      <x:c r="G11" s="35" t="n">
        <x:v>46237</x:v>
      </x:c>
    </x:row>
    <x:row r="12">
      <x:c r="A12" s="29" t="str">
        <x:v>京东</x:v>
      </x:c>
      <x:c r="B12" s="29" t="str">
        <x:v>App/微博/公众号/视频号</x:v>
      </x:c>
      <x:c r="C12" s="29" t="str">
        <x:v>京东</x:v>
      </x:c>
      <x:c r="D12" s="29" t="str">
        <x:v>https://www.jd.com/</x:v>
      </x:c>
      <x:c r="E12" s="29" t="str">
        <x:v>电商会场/消费品牌/供应链</x:v>
      </x:c>
      <x:c r="F12" s="29" t="str">
        <x:v>常识性公开渠道，招商前复核</x:v>
      </x:c>
      <x:c r="G12" s="35" t="n">
        <x:v>46237</x:v>
      </x:c>
    </x:row>
    <x:row r="13">
      <x:c r="A13" s="29" t="str">
        <x:v>支付宝</x:v>
      </x:c>
      <x:c r="B13" s="29" t="str">
        <x:v>App/公众号/微博/生活号</x:v>
      </x:c>
      <x:c r="C13" s="29" t="str">
        <x:v>支付宝</x:v>
      </x:c>
      <x:c r="D13" s="29" t="str">
        <x:v>https://www.alipay.com/</x:v>
      </x:c>
      <x:c r="E13" s="29" t="str">
        <x:v>票务/支付/数字权益</x:v>
      </x:c>
      <x:c r="F13" s="29" t="str">
        <x:v>官方发布确认合作</x:v>
      </x:c>
      <x:c r="G13" s="35" t="n">
        <x:v>46237</x:v>
      </x:c>
    </x:row>
    <x:row r="14">
      <x:c r="A14" s="29" t="str">
        <x:v>抖音直播</x:v>
      </x:c>
      <x:c r="B14" s="29" t="str">
        <x:v>抖音/公众号/官网</x:v>
      </x:c>
      <x:c r="C14" s="29" t="str">
        <x:v>抖音直播</x:v>
      </x:c>
      <x:c r="D14" s="29" t="str">
        <x:v>https://live.douyin.com/</x:v>
      </x:c>
      <x:c r="E14" s="29" t="str">
        <x:v>流量/主播/赛事</x:v>
      </x:c>
      <x:c r="F14" s="29" t="str">
        <x:v>官方发布确认合作</x:v>
      </x:c>
      <x:c r="G14" s="35" t="n">
        <x:v>46237</x:v>
      </x:c>
    </x:row>
    <x:row r="15">
      <x:c r="A15" s="29" t="str">
        <x:v>快手二次元</x:v>
      </x:c>
      <x:c r="B15" s="29" t="str">
        <x:v>快手/公众号/微博</x:v>
      </x:c>
      <x:c r="C15" s="29" t="str">
        <x:v>快手二次元</x:v>
      </x:c>
      <x:c r="D15" s="29" t="str">
        <x:v>https://www.kuaishou.com/</x:v>
      </x:c>
      <x:c r="E15" s="29" t="str">
        <x:v>二次元内容/KOL/直播</x:v>
      </x:c>
      <x:c r="F15" s="29" t="str">
        <x:v>官方发布确认合作</x:v>
      </x:c>
      <x:c r="G15" s="35" t="n">
        <x:v>46237</x:v>
      </x:c>
    </x:row>
    <x:row r="16">
      <x:c r="A16" s="29" t="str">
        <x:v>索尼</x:v>
      </x:c>
      <x:c r="B16" s="29" t="str">
        <x:v>官网/微博/公众号/视频号</x:v>
      </x:c>
      <x:c r="C16" s="29" t="str">
        <x:v>索尼中国</x:v>
      </x:c>
      <x:c r="D16" s="29" t="str">
        <x:v>https://www.sony.com.cn/</x:v>
      </x:c>
      <x:c r="E16" s="29" t="str">
        <x:v>影像/硬件/内容</x:v>
      </x:c>
      <x:c r="F16" s="29" t="str">
        <x:v>常识性公开渠道，招商前复核</x:v>
      </x:c>
      <x:c r="G16" s="35" t="n">
        <x:v>46237</x:v>
      </x:c>
    </x:row>
    <x:row r="17">
      <x:c r="A17" s="29" t="str">
        <x:v>尼康</x:v>
      </x:c>
      <x:c r="B17" s="29" t="str">
        <x:v>官网/微博/公众号</x:v>
      </x:c>
      <x:c r="C17" s="29" t="str">
        <x:v>尼康中国</x:v>
      </x:c>
      <x:c r="D17" s="29" t="str">
        <x:v>https://www.nikon.com.cn/</x:v>
      </x:c>
      <x:c r="E17" s="29" t="str">
        <x:v>影像/Coser/创作者</x:v>
      </x:c>
      <x:c r="F17" s="29" t="str">
        <x:v>常识性公开渠道，招商前复核</x:v>
      </x:c>
      <x:c r="G17" s="35" t="n">
        <x:v>46237</x:v>
      </x:c>
    </x:row>
    <x:row r="18">
      <x:c r="A18" s="29" t="str">
        <x:v>松下</x:v>
      </x:c>
      <x:c r="B18" s="29" t="str">
        <x:v>官网/微博/公众号</x:v>
      </x:c>
      <x:c r="C18" s="29" t="str">
        <x:v>松下中国</x:v>
      </x:c>
      <x:c r="D18" s="29" t="str">
        <x:v>https://panasonic.cn/</x:v>
      </x:c>
      <x:c r="E18" s="29" t="str">
        <x:v>影像/硬件/创作者</x:v>
      </x:c>
      <x:c r="F18" s="29" t="str">
        <x:v>常识性公开渠道，招商前复核</x:v>
      </x:c>
      <x:c r="G18" s="35" t="n">
        <x:v>46237</x:v>
      </x:c>
    </x:row>
    <x:row r="19">
      <x:c r="A19" s="29" t="str">
        <x:v>比亚迪</x:v>
      </x:c>
      <x:c r="B19" s="29" t="str">
        <x:v>官网/公众号/微博/视频号</x:v>
      </x:c>
      <x:c r="C19" s="29" t="str">
        <x:v>比亚迪</x:v>
      </x:c>
      <x:c r="D19" s="29" t="str">
        <x:v>https://www.bydglobal.com/cn/</x:v>
      </x:c>
      <x:c r="E19" s="29" t="str">
        <x:v>智能座舱/年轻化/城市活动</x:v>
      </x:c>
      <x:c r="F19" s="29" t="str">
        <x:v>常识性公开渠道，招商前复核</x:v>
      </x:c>
      <x:c r="G19" s="35" t="n">
        <x:v>46237</x:v>
      </x:c>
    </x:row>
    <x:row r="20">
      <x:c r="A20" s="29" t="str">
        <x:v>小米</x:v>
      </x:c>
      <x:c r="B20" s="29" t="str">
        <x:v>官网/微博/公众号/视频号</x:v>
      </x:c>
      <x:c r="C20" s="29" t="str">
        <x:v>小米公司</x:v>
      </x:c>
      <x:c r="D20" s="29" t="str">
        <x:v>https://www.mi.com/</x:v>
      </x:c>
      <x:c r="E20" s="29" t="str">
        <x:v>终端/IoT/游戏生态</x:v>
      </x:c>
      <x:c r="F20" s="29" t="str">
        <x:v>常识性公开渠道，招商前复核</x:v>
      </x:c>
      <x:c r="G20" s="35" t="n">
        <x:v>46237</x:v>
      </x:c>
    </x:row>
    <x:row r="21">
      <x:c r="A21" s="29" t="str">
        <x:v>荣耀</x:v>
      </x:c>
      <x:c r="B21" s="29" t="str">
        <x:v>官网/微博/公众号/视频号</x:v>
      </x:c>
      <x:c r="C21" s="29" t="str">
        <x:v>荣耀HONOR</x:v>
      </x:c>
      <x:c r="D21" s="29" t="str">
        <x:v>https://www.honor.com/cn/</x:v>
      </x:c>
      <x:c r="E21" s="29" t="str">
        <x:v>终端/游戏/AI</x:v>
      </x:c>
      <x:c r="F21" s="29" t="str">
        <x:v>常识性公开渠道，招商前复核</x:v>
      </x:c>
      <x:c r="G21" s="35" t="n">
        <x:v>46237</x:v>
      </x:c>
    </x:row>
    <x:row r="22">
      <x:c r="A22" s="29" t="str">
        <x:v>红魔</x:v>
      </x:c>
      <x:c r="B22" s="29" t="str">
        <x:v>官网/微博/公众号</x:v>
      </x:c>
      <x:c r="C22" s="29" t="str">
        <x:v>红魔电竞手机</x:v>
      </x:c>
      <x:c r="D22" s="29" t="str">
        <x:v>https://www.redmagic.com/</x:v>
      </x:c>
      <x:c r="E22" s="29" t="str">
        <x:v>电竞手机/游戏IP</x:v>
      </x:c>
      <x:c r="F22" s="29" t="str">
        <x:v>常识性公开渠道，招商前复核</x:v>
      </x:c>
      <x:c r="G22" s="35" t="n">
        <x:v>46237</x:v>
      </x:c>
    </x:row>
    <x:row r="23">
      <x:c r="A23" s="29" t="str">
        <x:v>iQOO</x:v>
      </x:c>
      <x:c r="B23" s="29" t="str">
        <x:v>官网/微博/公众号</x:v>
      </x:c>
      <x:c r="C23" s="29" t="str">
        <x:v>iQOO手机</x:v>
      </x:c>
      <x:c r="D23" s="29" t="str">
        <x:v>https://www.iqoo.com/</x:v>
      </x:c>
      <x:c r="E23" s="29" t="str">
        <x:v>电竞手机/赛事</x:v>
      </x:c>
      <x:c r="F23" s="29" t="str">
        <x:v>常识性公开渠道，招商前复核</x:v>
      </x:c>
      <x:c r="G23" s="35" t="n">
        <x:v>46237</x:v>
      </x:c>
    </x:row>
    <x:row r="24">
      <x:c r="A24" s="29" t="str">
        <x:v>汉印</x:v>
      </x:c>
      <x:c r="B24" s="29" t="str">
        <x:v>微博/公众号/官网</x:v>
      </x:c>
      <x:c r="C24" s="29" t="str">
        <x:v>汉印</x:v>
      </x:c>
      <x:c r="D24" s="29" t="str">
        <x:v>https://www.hprt.com/</x:v>
      </x:c>
      <x:c r="E24" s="29" t="str">
        <x:v>打印/影像体验</x:v>
      </x:c>
      <x:c r="F24" s="29" t="str">
        <x:v>参展公告确认</x:v>
      </x:c>
      <x:c r="G24" s="35" t="n">
        <x:v>46237</x:v>
      </x:c>
    </x:row>
    <x:row r="25">
      <x:c r="A25" s="29" t="str">
        <x:v>宝石角</x:v>
      </x:c>
      <x:c r="B25" s="29" t="str">
        <x:v>官网/电商/社媒</x:v>
      </x:c>
      <x:c r="C25" s="29" t="str">
        <x:v>宝石角电子吧唧</x:v>
      </x:c>
      <x:c r="D25" s="29" t="str">
        <x:v>待核</x:v>
      </x:c>
      <x:c r="E25" s="29" t="str">
        <x:v>科技文创/潮玩/IP联名</x:v>
      </x:c>
      <x:c r="F25" s="29" t="str">
        <x:v>品牌名已核；渠道待补</x:v>
      </x:c>
      <x:c r="G25" s="35" t="n">
        <x:v>46237</x:v>
      </x:c>
    </x:row>
    <x:row r="26">
      <x:c r="A26" s="29" t="str">
        <x:v>美图云修</x:v>
      </x:c>
      <x:c r="B26" s="29" t="str">
        <x:v>官网/公众号/小红书</x:v>
      </x:c>
      <x:c r="C26" s="29" t="str">
        <x:v>美图云修</x:v>
      </x:c>
      <x:c r="D26" s="29" t="str">
        <x:v>https://www.meitu.com/</x:v>
      </x:c>
      <x:c r="E26" s="29" t="str">
        <x:v>影像后期/Coser服务</x:v>
      </x:c>
      <x:c r="F26" s="29" t="str">
        <x:v>参展公告确认</x:v>
      </x:c>
      <x:c r="G26" s="35" t="n">
        <x:v>46237</x:v>
      </x:c>
    </x:row>
    <x:row r="27">
      <x:c r="A27" s="29" t="str">
        <x:v>KOOK语音</x:v>
      </x:c>
      <x:c r="B27" s="29" t="str">
        <x:v>官网/公众号/微博</x:v>
      </x:c>
      <x:c r="C27" s="29" t="str">
        <x:v>KOOK语音</x:v>
      </x:c>
      <x:c r="D27" s="29" t="str">
        <x:v>https://www.kookapp.cn/</x:v>
      </x:c>
      <x:c r="E27" s="29" t="str">
        <x:v>游戏社区/语音/活动</x:v>
      </x:c>
      <x:c r="F27" s="29" t="str">
        <x:v>常识性公开渠道，招商前复核</x:v>
      </x:c>
      <x:c r="G27" s="35" t="n">
        <x:v>46237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1c6f3944cf047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48" hidden="0" customWidth="1"/>
    <x:col min="5" max="5" width="14" hidden="0" customWidth="1"/>
  </x:cols>
  <x:sheetData>
    <x:row r="1" ht="32" customHeight="1">
      <x:c r="A1" s="3" t="str">
        <x:v>参展分类—招商方向地图</x:v>
      </x:c>
      <x:c r="B1" s="3" t="str">
        <x:v>参展分类—招商方向地图</x:v>
      </x:c>
      <x:c r="C1" s="3" t="str">
        <x:v>参展分类—招商方向地图</x:v>
      </x:c>
      <x:c r="D1" s="3" t="str">
        <x:v>参展分类—招商方向地图</x:v>
      </x:c>
      <x:c r="E1" s="3" t="str">
        <x:v>参展分类—招商方向地图</x:v>
      </x:c>
    </x:row>
    <x:row r="2" ht="30" customHeight="1">
      <x:c r="A2" s="25" t="str">
        <x:v>参展分类</x:v>
      </x:c>
      <x:c r="B2" s="26" t="str">
        <x:v>主要展馆</x:v>
      </x:c>
      <x:c r="C2" s="26" t="str">
        <x:v>典型对象</x:v>
      </x:c>
      <x:c r="D2" s="26" t="str">
        <x:v>未来招商切入点</x:v>
      </x:c>
      <x:c r="E2" s="27" t="str">
        <x:v>建议优先级</x:v>
      </x:c>
    </x:row>
    <x:row r="3">
      <x:c r="A3" s="29" t="str">
        <x:v>游戏风云</x:v>
      </x:c>
      <x:c r="B3" s="29" t="str">
        <x:v>N1/N2/N3/N4</x:v>
      </x:c>
      <x:c r="C3" s="29" t="str">
        <x:v>游戏企业、平台、独立游戏、媒体、赛事</x:v>
      </x:c>
      <x:c r="D3" s="29" t="str">
        <x:v>IP联动、电竞赛事、发行合作、园区落地</x:v>
      </x:c>
      <x:c r="E3" s="29" t="str">
        <x:v>高</x:v>
      </x:c>
    </x:row>
    <x:row r="4">
      <x:c r="A4" s="29" t="str">
        <x:v>骁龙主题馆</x:v>
      </x:c>
      <x:c r="B4" s="29" t="str">
        <x:v>N5</x:v>
      </x:c>
      <x:c r="C4" s="29" t="str">
        <x:v>手机、芯片、运营商、电商、终端生态</x:v>
      </x:c>
      <x:c r="D4" s="29" t="str">
        <x:v>联合主题馆、AI终端体验、电竞营销</x:v>
      </x:c>
      <x:c r="E4" s="29" t="str">
        <x:v>高</x:v>
      </x:c>
    </x:row>
    <x:row r="5">
      <x:c r="A5" s="29" t="str">
        <x:v>潮流生活</x:v>
      </x:c>
      <x:c r="B5" s="29" t="str">
        <x:v>E3</x:v>
      </x:c>
      <x:c r="C5" s="29" t="str">
        <x:v>国货、文创、智能生活、酒店文旅</x:v>
      </x:c>
      <x:c r="D5" s="29" t="str">
        <x:v>年轻化、联名、城市消费、快闪</x:v>
      </x:c>
      <x:c r="E5" s="29" t="str">
        <x:v>高</x:v>
      </x:c>
    </x:row>
    <x:row r="6">
      <x:c r="A6" s="29" t="str">
        <x:v>甜次元</x:v>
      </x:c>
      <x:c r="B6" s="29" t="str">
        <x:v>E3</x:v>
      </x:c>
      <x:c r="C6" s="29" t="str">
        <x:v>美妆、食品、二次元消费</x:v>
      </x:c>
      <x:c r="D6" s="29" t="str">
        <x:v>联名产品、甜品饮料、美妆内容</x:v>
      </x:c>
      <x:c r="E6" s="29" t="str">
        <x:v>中高</x:v>
      </x:c>
    </x:row>
    <x:row r="7">
      <x:c r="A7" s="29" t="str">
        <x:v>ChinaJoy大赛</x:v>
      </x:c>
      <x:c r="B7" s="29" t="str">
        <x:v>E5/主舞台/N1</x:v>
      </x:c>
      <x:c r="C7" s="29" t="str">
        <x:v>游戏创新、汉服、舞蹈、电竞</x:v>
      </x:c>
      <x:c r="D7" s="29" t="str">
        <x:v>冠名、奖品、人才引进、城市舞台</x:v>
      </x:c>
      <x:c r="E7" s="29" t="str">
        <x:v>高</x:v>
      </x:c>
    </x:row>
    <x:row r="8">
      <x:c r="A8" s="29" t="str">
        <x:v>次元世界</x:v>
      </x:c>
      <x:c r="B8" s="29" t="str">
        <x:v>E4及全馆活动</x:v>
      </x:c>
      <x:c r="C8" s="29" t="str">
        <x:v>Coser、二次元社群、虚拟人</x:v>
      </x:c>
      <x:c r="D8" s="29" t="str">
        <x:v>内容共创、夜经济、文旅导流</x:v>
      </x:c>
      <x:c r="E8" s="29" t="str">
        <x:v>中高</x:v>
      </x:c>
    </x:row>
    <x:row r="9">
      <x:c r="A9" s="29" t="str">
        <x:v>创作者展区</x:v>
      </x:c>
      <x:c r="B9" s="29" t="str">
        <x:v>E4</x:v>
      </x:c>
      <x:c r="C9" s="29" t="str">
        <x:v>达人、内容平台、影像服务</x:v>
      </x:c>
      <x:c r="D9" s="29" t="str">
        <x:v>签售、KOL合作、品牌内容生产</x:v>
      </x:c>
      <x:c r="E9" s="29" t="str">
        <x:v>高</x:v>
      </x:c>
    </x:row>
    <x:row r="10">
      <x:c r="A10" s="29" t="str">
        <x:v>摄影区</x:v>
      </x:c>
      <x:c r="B10" s="29" t="str">
        <x:v>E4</x:v>
      </x:c>
      <x:c r="C10" s="29" t="str">
        <x:v>相机、镜头、灯光、配件、后期</x:v>
      </x:c>
      <x:c r="D10" s="29" t="str">
        <x:v>影像节、创作者基地、器材体验</x:v>
      </x:c>
      <x:c r="E10" s="29" t="str">
        <x:v>高</x:v>
      </x:c>
    </x:row>
    <x:row r="11">
      <x:c r="A11" s="29" t="str">
        <x:v>魔玩天地</x:v>
      </x:c>
      <x:c r="B11" s="29" t="str">
        <x:v>E5</x:v>
      </x:c>
      <x:c r="C11" s="29" t="str">
        <x:v>模型、潮玩、卡牌、IP周边</x:v>
      </x:c>
      <x:c r="D11" s="29" t="str">
        <x:v>IP授权、零售渠道、谷子经济、快闪</x:v>
      </x:c>
      <x:c r="E11" s="29" t="str">
        <x:v>高</x:v>
      </x:c>
    </x:row>
    <x:row r="12">
      <x:c r="A12" s="29" t="str">
        <x:v>发烧硬件</x:v>
      </x:c>
      <x:c r="B12" s="29" t="str">
        <x:v>E6/E7</x:v>
      </x:c>
      <x:c r="C12" s="29" t="str">
        <x:v>PC、显示、存储、音频、外设、电竞空间</x:v>
      </x:c>
      <x:c r="D12" s="29" t="str">
        <x:v>首发体验、电竞馆、供应链与渠道</x:v>
      </x:c>
      <x:c r="E12" s="29" t="str">
        <x:v>高</x:v>
      </x:c>
    </x:row>
    <x:row r="13">
      <x:c r="A13" s="29" t="str">
        <x:v>前沿科技</x:v>
      </x:c>
      <x:c r="B13" s="29" t="str">
        <x:v>E6</x:v>
      </x:c>
      <x:c r="C13" s="29" t="str">
        <x:v>机器人、AI、裸眼3D、智能穿戴</x:v>
      </x:c>
      <x:c r="D13" s="29" t="str">
        <x:v>产业落地、场景验证、园区引入</x:v>
      </x:c>
      <x:c r="E13" s="29" t="str">
        <x:v>最高</x:v>
      </x:c>
    </x:row>
    <x:row r="14">
      <x:c r="A14" s="29" t="str">
        <x:v>极致装备</x:v>
      </x:c>
      <x:c r="B14" s="29" t="str">
        <x:v>E6</x:v>
      </x:c>
      <x:c r="C14" s="29" t="str">
        <x:v>EDC、高端解压装备、潮流五金</x:v>
      </x:c>
      <x:c r="D14" s="29" t="str">
        <x:v>精品零售、会员经济、文创联名</x:v>
      </x:c>
      <x:c r="E14" s="29" t="str">
        <x:v>中高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8d0e75f77948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4" hidden="0" customWidth="1"/>
    <x:col min="5" max="5" width="20" hidden="0" customWidth="1"/>
    <x:col min="6" max="6" width="24" hidden="0" customWidth="1"/>
    <x:col min="7" max="7" width="14" hidden="0" customWidth="1"/>
    <x:col min="8" max="8" width="15" hidden="0" customWidth="1"/>
    <x:col min="9" max="9" width="38" hidden="0" customWidth="1"/>
    <x:col min="10" max="10" width="18" hidden="0" customWidth="1"/>
    <x:col min="11" max="11" width="32" hidden="0" customWidth="1"/>
    <x:col min="12" max="12" width="14" hidden="0" customWidth="1"/>
    <x:col min="13" max="13" width="12" hidden="0" customWidth="1"/>
    <x:col min="14" max="14" width="30" hidden="0" customWidth="1"/>
  </x:cols>
  <x:sheetData>
    <x:row r="1" ht="32" customHeight="1">
      <x:c r="A1" s="3" t="str">
        <x:v>招商跟进工作台（可直接填报）</x:v>
      </x:c>
      <x:c r="B1" s="3" t="str">
        <x:v>招商跟进工作台（可直接填报）</x:v>
      </x:c>
      <x:c r="C1" s="3" t="str">
        <x:v>招商跟进工作台（可直接填报）</x:v>
      </x:c>
      <x:c r="D1" s="3" t="str">
        <x:v>招商跟进工作台（可直接填报）</x:v>
      </x:c>
      <x:c r="E1" s="3" t="str">
        <x:v>招商跟进工作台（可直接填报）</x:v>
      </x:c>
      <x:c r="F1" s="3" t="str">
        <x:v>招商跟进工作台（可直接填报）</x:v>
      </x:c>
      <x:c r="G1" s="3" t="str">
        <x:v>招商跟进工作台（可直接填报）</x:v>
      </x:c>
      <x:c r="H1" s="3" t="str">
        <x:v>招商跟进工作台（可直接填报）</x:v>
      </x:c>
      <x:c r="I1" s="3" t="str">
        <x:v>招商跟进工作台（可直接填报）</x:v>
      </x:c>
      <x:c r="J1" s="3" t="str">
        <x:v>招商跟进工作台（可直接填报）</x:v>
      </x:c>
      <x:c r="K1" s="3" t="str">
        <x:v>招商跟进工作台（可直接填报）</x:v>
      </x:c>
      <x:c r="L1" s="3" t="str">
        <x:v>招商跟进工作台（可直接填报）</x:v>
      </x:c>
      <x:c r="M1" s="3" t="str">
        <x:v>招商跟进工作台（可直接填报）</x:v>
      </x:c>
      <x:c r="N1" s="3" t="str">
        <x:v>招商跟进工作台（可直接填报）</x:v>
      </x:c>
    </x:row>
    <x:row r="2" ht="30" customHeight="1">
      <x:c r="A2" s="18" t="str">
        <x:v>品牌/展商</x:v>
      </x:c>
      <x:c r="B2" s="19" t="str">
        <x:v>分类</x:v>
      </x:c>
      <x:c r="C2" s="19" t="str">
        <x:v>联系人</x:v>
      </x:c>
      <x:c r="D2" s="19" t="str">
        <x:v>职务</x:v>
      </x:c>
      <x:c r="E2" s="19" t="str">
        <x:v>电话/微信</x:v>
      </x:c>
      <x:c r="F2" s="19" t="str">
        <x:v>邮箱</x:v>
      </x:c>
      <x:c r="G2" s="19" t="str">
        <x:v>首次接触日</x:v>
      </x:c>
      <x:c r="H2" s="19" t="str">
        <x:v>当前阶段</x:v>
      </x:c>
      <x:c r="I2" s="19" t="str">
        <x:v>需求/合作方向</x:v>
      </x:c>
      <x:c r="J2" s="19" t="str">
        <x:v>预计投资/合作额(万元)</x:v>
      </x:c>
      <x:c r="K2" s="19" t="str">
        <x:v>下一步动作</x:v>
      </x:c>
      <x:c r="L2" s="19" t="str">
        <x:v>下次跟进日</x:v>
      </x:c>
      <x:c r="M2" s="19" t="str">
        <x:v>负责人</x:v>
      </x:c>
      <x:c r="N2" s="20" t="str">
        <x:v>备注</x:v>
      </x:c>
    </x:row>
    <x:row r="3">
      <x:c r="A3" s="55"/>
      <x:c r="B3" s="56"/>
      <x:c r="C3" s="64"/>
      <x:c r="D3" s="64"/>
      <x:c r="E3" s="64"/>
      <x:c r="F3" s="64"/>
      <x:c r="G3" s="70"/>
      <x:c r="H3" s="64"/>
      <x:c r="I3" s="64"/>
      <x:c r="J3" s="73"/>
      <x:c r="K3" s="64"/>
      <x:c r="L3" s="70"/>
      <x:c r="M3" s="64"/>
      <x:c r="N3" s="65"/>
    </x:row>
    <x:row r="4">
      <x:c r="A4" s="58"/>
      <x:c r="B4" s="59"/>
      <x:c r="C4" s="66"/>
      <x:c r="D4" s="66"/>
      <x:c r="E4" s="66"/>
      <x:c r="F4" s="66"/>
      <x:c r="G4" s="71"/>
      <x:c r="H4" s="66"/>
      <x:c r="I4" s="66"/>
      <x:c r="J4" s="74"/>
      <x:c r="K4" s="66"/>
      <x:c r="L4" s="71"/>
      <x:c r="M4" s="66"/>
      <x:c r="N4" s="67"/>
    </x:row>
    <x:row r="5">
      <x:c r="A5" s="58"/>
      <x:c r="B5" s="59"/>
      <x:c r="C5" s="66"/>
      <x:c r="D5" s="66"/>
      <x:c r="E5" s="66"/>
      <x:c r="F5" s="66"/>
      <x:c r="G5" s="71"/>
      <x:c r="H5" s="66"/>
      <x:c r="I5" s="66"/>
      <x:c r="J5" s="74"/>
      <x:c r="K5" s="66"/>
      <x:c r="L5" s="71"/>
      <x:c r="M5" s="66"/>
      <x:c r="N5" s="67"/>
    </x:row>
    <x:row r="6">
      <x:c r="A6" s="58"/>
      <x:c r="B6" s="59"/>
      <x:c r="C6" s="66"/>
      <x:c r="D6" s="66"/>
      <x:c r="E6" s="66"/>
      <x:c r="F6" s="66"/>
      <x:c r="G6" s="71"/>
      <x:c r="H6" s="66"/>
      <x:c r="I6" s="66"/>
      <x:c r="J6" s="74"/>
      <x:c r="K6" s="66"/>
      <x:c r="L6" s="71"/>
      <x:c r="M6" s="66"/>
      <x:c r="N6" s="67"/>
    </x:row>
    <x:row r="7">
      <x:c r="A7" s="58"/>
      <x:c r="B7" s="59"/>
      <x:c r="C7" s="66"/>
      <x:c r="D7" s="66"/>
      <x:c r="E7" s="66"/>
      <x:c r="F7" s="66"/>
      <x:c r="G7" s="71"/>
      <x:c r="H7" s="66"/>
      <x:c r="I7" s="66"/>
      <x:c r="J7" s="74"/>
      <x:c r="K7" s="66"/>
      <x:c r="L7" s="71"/>
      <x:c r="M7" s="66"/>
      <x:c r="N7" s="67"/>
    </x:row>
    <x:row r="8">
      <x:c r="A8" s="58"/>
      <x:c r="B8" s="59"/>
      <x:c r="C8" s="66"/>
      <x:c r="D8" s="66"/>
      <x:c r="E8" s="66"/>
      <x:c r="F8" s="66"/>
      <x:c r="G8" s="71"/>
      <x:c r="H8" s="66"/>
      <x:c r="I8" s="66"/>
      <x:c r="J8" s="74"/>
      <x:c r="K8" s="66"/>
      <x:c r="L8" s="71"/>
      <x:c r="M8" s="66"/>
      <x:c r="N8" s="67"/>
    </x:row>
    <x:row r="9">
      <x:c r="A9" s="58"/>
      <x:c r="B9" s="59"/>
      <x:c r="C9" s="66"/>
      <x:c r="D9" s="66"/>
      <x:c r="E9" s="66"/>
      <x:c r="F9" s="66"/>
      <x:c r="G9" s="71"/>
      <x:c r="H9" s="66"/>
      <x:c r="I9" s="66"/>
      <x:c r="J9" s="74"/>
      <x:c r="K9" s="66"/>
      <x:c r="L9" s="71"/>
      <x:c r="M9" s="66"/>
      <x:c r="N9" s="67"/>
    </x:row>
    <x:row r="10">
      <x:c r="A10" s="58"/>
      <x:c r="B10" s="59"/>
      <x:c r="C10" s="66"/>
      <x:c r="D10" s="66"/>
      <x:c r="E10" s="66"/>
      <x:c r="F10" s="66"/>
      <x:c r="G10" s="71"/>
      <x:c r="H10" s="66"/>
      <x:c r="I10" s="66"/>
      <x:c r="J10" s="74"/>
      <x:c r="K10" s="66"/>
      <x:c r="L10" s="71"/>
      <x:c r="M10" s="66"/>
      <x:c r="N10" s="67"/>
    </x:row>
    <x:row r="11">
      <x:c r="A11" s="58"/>
      <x:c r="B11" s="59"/>
      <x:c r="C11" s="66"/>
      <x:c r="D11" s="66"/>
      <x:c r="E11" s="66"/>
      <x:c r="F11" s="66"/>
      <x:c r="G11" s="71"/>
      <x:c r="H11" s="66"/>
      <x:c r="I11" s="66"/>
      <x:c r="J11" s="74"/>
      <x:c r="K11" s="66"/>
      <x:c r="L11" s="71"/>
      <x:c r="M11" s="66"/>
      <x:c r="N11" s="67"/>
    </x:row>
    <x:row r="12">
      <x:c r="A12" s="58"/>
      <x:c r="B12" s="59"/>
      <x:c r="C12" s="66"/>
      <x:c r="D12" s="66"/>
      <x:c r="E12" s="66"/>
      <x:c r="F12" s="66"/>
      <x:c r="G12" s="71"/>
      <x:c r="H12" s="66"/>
      <x:c r="I12" s="66"/>
      <x:c r="J12" s="74"/>
      <x:c r="K12" s="66"/>
      <x:c r="L12" s="71"/>
      <x:c r="M12" s="66"/>
      <x:c r="N12" s="67"/>
    </x:row>
    <x:row r="13">
      <x:c r="A13" s="58"/>
      <x:c r="B13" s="59"/>
      <x:c r="C13" s="66"/>
      <x:c r="D13" s="66"/>
      <x:c r="E13" s="66"/>
      <x:c r="F13" s="66"/>
      <x:c r="G13" s="71"/>
      <x:c r="H13" s="66"/>
      <x:c r="I13" s="66"/>
      <x:c r="J13" s="74"/>
      <x:c r="K13" s="66"/>
      <x:c r="L13" s="71"/>
      <x:c r="M13" s="66"/>
      <x:c r="N13" s="67"/>
    </x:row>
    <x:row r="14">
      <x:c r="A14" s="58"/>
      <x:c r="B14" s="59"/>
      <x:c r="C14" s="66"/>
      <x:c r="D14" s="66"/>
      <x:c r="E14" s="66"/>
      <x:c r="F14" s="66"/>
      <x:c r="G14" s="71"/>
      <x:c r="H14" s="66"/>
      <x:c r="I14" s="66"/>
      <x:c r="J14" s="74"/>
      <x:c r="K14" s="66"/>
      <x:c r="L14" s="71"/>
      <x:c r="M14" s="66"/>
      <x:c r="N14" s="67"/>
    </x:row>
    <x:row r="15">
      <x:c r="A15" s="58"/>
      <x:c r="B15" s="59"/>
      <x:c r="C15" s="66"/>
      <x:c r="D15" s="66"/>
      <x:c r="E15" s="66"/>
      <x:c r="F15" s="66"/>
      <x:c r="G15" s="71"/>
      <x:c r="H15" s="66"/>
      <x:c r="I15" s="66"/>
      <x:c r="J15" s="74"/>
      <x:c r="K15" s="66"/>
      <x:c r="L15" s="71"/>
      <x:c r="M15" s="66"/>
      <x:c r="N15" s="67"/>
    </x:row>
    <x:row r="16">
      <x:c r="A16" s="58"/>
      <x:c r="B16" s="59"/>
      <x:c r="C16" s="66"/>
      <x:c r="D16" s="66"/>
      <x:c r="E16" s="66"/>
      <x:c r="F16" s="66"/>
      <x:c r="G16" s="71"/>
      <x:c r="H16" s="66"/>
      <x:c r="I16" s="66"/>
      <x:c r="J16" s="74"/>
      <x:c r="K16" s="66"/>
      <x:c r="L16" s="71"/>
      <x:c r="M16" s="66"/>
      <x:c r="N16" s="67"/>
    </x:row>
    <x:row r="17">
      <x:c r="A17" s="58"/>
      <x:c r="B17" s="59"/>
      <x:c r="C17" s="66"/>
      <x:c r="D17" s="66"/>
      <x:c r="E17" s="66"/>
      <x:c r="F17" s="66"/>
      <x:c r="G17" s="71"/>
      <x:c r="H17" s="66"/>
      <x:c r="I17" s="66"/>
      <x:c r="J17" s="74"/>
      <x:c r="K17" s="66"/>
      <x:c r="L17" s="71"/>
      <x:c r="M17" s="66"/>
      <x:c r="N17" s="67"/>
    </x:row>
    <x:row r="18">
      <x:c r="A18" s="58"/>
      <x:c r="B18" s="59"/>
      <x:c r="C18" s="66"/>
      <x:c r="D18" s="66"/>
      <x:c r="E18" s="66"/>
      <x:c r="F18" s="66"/>
      <x:c r="G18" s="71"/>
      <x:c r="H18" s="66"/>
      <x:c r="I18" s="66"/>
      <x:c r="J18" s="74"/>
      <x:c r="K18" s="66"/>
      <x:c r="L18" s="71"/>
      <x:c r="M18" s="66"/>
      <x:c r="N18" s="67"/>
    </x:row>
    <x:row r="19">
      <x:c r="A19" s="58"/>
      <x:c r="B19" s="59"/>
      <x:c r="C19" s="66"/>
      <x:c r="D19" s="66"/>
      <x:c r="E19" s="66"/>
      <x:c r="F19" s="66"/>
      <x:c r="G19" s="71"/>
      <x:c r="H19" s="66"/>
      <x:c r="I19" s="66"/>
      <x:c r="J19" s="74"/>
      <x:c r="K19" s="66"/>
      <x:c r="L19" s="71"/>
      <x:c r="M19" s="66"/>
      <x:c r="N19" s="67"/>
    </x:row>
    <x:row r="20">
      <x:c r="A20" s="58"/>
      <x:c r="B20" s="59"/>
      <x:c r="C20" s="66"/>
      <x:c r="D20" s="66"/>
      <x:c r="E20" s="66"/>
      <x:c r="F20" s="66"/>
      <x:c r="G20" s="71"/>
      <x:c r="H20" s="66"/>
      <x:c r="I20" s="66"/>
      <x:c r="J20" s="74"/>
      <x:c r="K20" s="66"/>
      <x:c r="L20" s="71"/>
      <x:c r="M20" s="66"/>
      <x:c r="N20" s="67"/>
    </x:row>
    <x:row r="21">
      <x:c r="A21" s="58"/>
      <x:c r="B21" s="59"/>
      <x:c r="C21" s="66"/>
      <x:c r="D21" s="66"/>
      <x:c r="E21" s="66"/>
      <x:c r="F21" s="66"/>
      <x:c r="G21" s="71"/>
      <x:c r="H21" s="66"/>
      <x:c r="I21" s="66"/>
      <x:c r="J21" s="74"/>
      <x:c r="K21" s="66"/>
      <x:c r="L21" s="71"/>
      <x:c r="M21" s="66"/>
      <x:c r="N21" s="67"/>
    </x:row>
    <x:row r="22">
      <x:c r="A22" s="58"/>
      <x:c r="B22" s="59"/>
      <x:c r="C22" s="66"/>
      <x:c r="D22" s="66"/>
      <x:c r="E22" s="66"/>
      <x:c r="F22" s="66"/>
      <x:c r="G22" s="71"/>
      <x:c r="H22" s="66"/>
      <x:c r="I22" s="66"/>
      <x:c r="J22" s="74"/>
      <x:c r="K22" s="66"/>
      <x:c r="L22" s="71"/>
      <x:c r="M22" s="66"/>
      <x:c r="N22" s="67"/>
    </x:row>
    <x:row r="23">
      <x:c r="A23" s="58"/>
      <x:c r="B23" s="59"/>
      <x:c r="C23" s="66"/>
      <x:c r="D23" s="66"/>
      <x:c r="E23" s="66"/>
      <x:c r="F23" s="66"/>
      <x:c r="G23" s="71"/>
      <x:c r="H23" s="66"/>
      <x:c r="I23" s="66"/>
      <x:c r="J23" s="74"/>
      <x:c r="K23" s="66"/>
      <x:c r="L23" s="71"/>
      <x:c r="M23" s="66"/>
      <x:c r="N23" s="67"/>
    </x:row>
    <x:row r="24">
      <x:c r="A24" s="58"/>
      <x:c r="B24" s="59"/>
      <x:c r="C24" s="66"/>
      <x:c r="D24" s="66"/>
      <x:c r="E24" s="66"/>
      <x:c r="F24" s="66"/>
      <x:c r="G24" s="71"/>
      <x:c r="H24" s="66"/>
      <x:c r="I24" s="66"/>
      <x:c r="J24" s="74"/>
      <x:c r="K24" s="66"/>
      <x:c r="L24" s="71"/>
      <x:c r="M24" s="66"/>
      <x:c r="N24" s="67"/>
    </x:row>
    <x:row r="25">
      <x:c r="A25" s="58"/>
      <x:c r="B25" s="59"/>
      <x:c r="C25" s="66"/>
      <x:c r="D25" s="66"/>
      <x:c r="E25" s="66"/>
      <x:c r="F25" s="66"/>
      <x:c r="G25" s="71"/>
      <x:c r="H25" s="66"/>
      <x:c r="I25" s="66"/>
      <x:c r="J25" s="74"/>
      <x:c r="K25" s="66"/>
      <x:c r="L25" s="71"/>
      <x:c r="M25" s="66"/>
      <x:c r="N25" s="67"/>
    </x:row>
    <x:row r="26">
      <x:c r="A26" s="58"/>
      <x:c r="B26" s="59"/>
      <x:c r="C26" s="66"/>
      <x:c r="D26" s="66"/>
      <x:c r="E26" s="66"/>
      <x:c r="F26" s="66"/>
      <x:c r="G26" s="71"/>
      <x:c r="H26" s="66"/>
      <x:c r="I26" s="66"/>
      <x:c r="J26" s="74"/>
      <x:c r="K26" s="66"/>
      <x:c r="L26" s="71"/>
      <x:c r="M26" s="66"/>
      <x:c r="N26" s="67"/>
    </x:row>
    <x:row r="27">
      <x:c r="A27" s="58"/>
      <x:c r="B27" s="59"/>
      <x:c r="C27" s="66"/>
      <x:c r="D27" s="66"/>
      <x:c r="E27" s="66"/>
      <x:c r="F27" s="66"/>
      <x:c r="G27" s="71"/>
      <x:c r="H27" s="66"/>
      <x:c r="I27" s="66"/>
      <x:c r="J27" s="74"/>
      <x:c r="K27" s="66"/>
      <x:c r="L27" s="71"/>
      <x:c r="M27" s="66"/>
      <x:c r="N27" s="67"/>
    </x:row>
    <x:row r="28">
      <x:c r="A28" s="58"/>
      <x:c r="B28" s="59"/>
      <x:c r="C28" s="66"/>
      <x:c r="D28" s="66"/>
      <x:c r="E28" s="66"/>
      <x:c r="F28" s="66"/>
      <x:c r="G28" s="71"/>
      <x:c r="H28" s="66"/>
      <x:c r="I28" s="66"/>
      <x:c r="J28" s="74"/>
      <x:c r="K28" s="66"/>
      <x:c r="L28" s="71"/>
      <x:c r="M28" s="66"/>
      <x:c r="N28" s="67"/>
    </x:row>
    <x:row r="29">
      <x:c r="A29" s="58"/>
      <x:c r="B29" s="59"/>
      <x:c r="C29" s="66"/>
      <x:c r="D29" s="66"/>
      <x:c r="E29" s="66"/>
      <x:c r="F29" s="66"/>
      <x:c r="G29" s="71"/>
      <x:c r="H29" s="66"/>
      <x:c r="I29" s="66"/>
      <x:c r="J29" s="74"/>
      <x:c r="K29" s="66"/>
      <x:c r="L29" s="71"/>
      <x:c r="M29" s="66"/>
      <x:c r="N29" s="67"/>
    </x:row>
    <x:row r="30">
      <x:c r="A30" s="58"/>
      <x:c r="B30" s="59"/>
      <x:c r="C30" s="66"/>
      <x:c r="D30" s="66"/>
      <x:c r="E30" s="66"/>
      <x:c r="F30" s="66"/>
      <x:c r="G30" s="71"/>
      <x:c r="H30" s="66"/>
      <x:c r="I30" s="66"/>
      <x:c r="J30" s="74"/>
      <x:c r="K30" s="66"/>
      <x:c r="L30" s="71"/>
      <x:c r="M30" s="66"/>
      <x:c r="N30" s="67"/>
    </x:row>
    <x:row r="31">
      <x:c r="A31" s="58"/>
      <x:c r="B31" s="59"/>
      <x:c r="C31" s="66"/>
      <x:c r="D31" s="66"/>
      <x:c r="E31" s="66"/>
      <x:c r="F31" s="66"/>
      <x:c r="G31" s="71"/>
      <x:c r="H31" s="66"/>
      <x:c r="I31" s="66"/>
      <x:c r="J31" s="74"/>
      <x:c r="K31" s="66"/>
      <x:c r="L31" s="71"/>
      <x:c r="M31" s="66"/>
      <x:c r="N31" s="67"/>
    </x:row>
    <x:row r="32">
      <x:c r="A32" s="58"/>
      <x:c r="B32" s="59"/>
      <x:c r="C32" s="66"/>
      <x:c r="D32" s="66"/>
      <x:c r="E32" s="66"/>
      <x:c r="F32" s="66"/>
      <x:c r="G32" s="71"/>
      <x:c r="H32" s="66"/>
      <x:c r="I32" s="66"/>
      <x:c r="J32" s="74"/>
      <x:c r="K32" s="66"/>
      <x:c r="L32" s="71"/>
      <x:c r="M32" s="66"/>
      <x:c r="N32" s="67"/>
    </x:row>
    <x:row r="33">
      <x:c r="A33" s="58"/>
      <x:c r="B33" s="59"/>
      <x:c r="C33" s="66"/>
      <x:c r="D33" s="66"/>
      <x:c r="E33" s="66"/>
      <x:c r="F33" s="66"/>
      <x:c r="G33" s="71"/>
      <x:c r="H33" s="66"/>
      <x:c r="I33" s="66"/>
      <x:c r="J33" s="74"/>
      <x:c r="K33" s="66"/>
      <x:c r="L33" s="71"/>
      <x:c r="M33" s="66"/>
      <x:c r="N33" s="67"/>
    </x:row>
    <x:row r="34">
      <x:c r="A34" s="58"/>
      <x:c r="B34" s="59"/>
      <x:c r="C34" s="66"/>
      <x:c r="D34" s="66"/>
      <x:c r="E34" s="66"/>
      <x:c r="F34" s="66"/>
      <x:c r="G34" s="71"/>
      <x:c r="H34" s="66"/>
      <x:c r="I34" s="66"/>
      <x:c r="J34" s="74"/>
      <x:c r="K34" s="66"/>
      <x:c r="L34" s="71"/>
      <x:c r="M34" s="66"/>
      <x:c r="N34" s="67"/>
    </x:row>
    <x:row r="35">
      <x:c r="A35" s="58"/>
      <x:c r="B35" s="59"/>
      <x:c r="C35" s="66"/>
      <x:c r="D35" s="66"/>
      <x:c r="E35" s="66"/>
      <x:c r="F35" s="66"/>
      <x:c r="G35" s="71"/>
      <x:c r="H35" s="66"/>
      <x:c r="I35" s="66"/>
      <x:c r="J35" s="74"/>
      <x:c r="K35" s="66"/>
      <x:c r="L35" s="71"/>
      <x:c r="M35" s="66"/>
      <x:c r="N35" s="67"/>
    </x:row>
    <x:row r="36">
      <x:c r="A36" s="58"/>
      <x:c r="B36" s="59"/>
      <x:c r="C36" s="66"/>
      <x:c r="D36" s="66"/>
      <x:c r="E36" s="66"/>
      <x:c r="F36" s="66"/>
      <x:c r="G36" s="71"/>
      <x:c r="H36" s="66"/>
      <x:c r="I36" s="66"/>
      <x:c r="J36" s="74"/>
      <x:c r="K36" s="66"/>
      <x:c r="L36" s="71"/>
      <x:c r="M36" s="66"/>
      <x:c r="N36" s="67"/>
    </x:row>
    <x:row r="37">
      <x:c r="A37" s="58"/>
      <x:c r="B37" s="59"/>
      <x:c r="C37" s="66"/>
      <x:c r="D37" s="66"/>
      <x:c r="E37" s="66"/>
      <x:c r="F37" s="66"/>
      <x:c r="G37" s="71"/>
      <x:c r="H37" s="66"/>
      <x:c r="I37" s="66"/>
      <x:c r="J37" s="74"/>
      <x:c r="K37" s="66"/>
      <x:c r="L37" s="71"/>
      <x:c r="M37" s="66"/>
      <x:c r="N37" s="67"/>
    </x:row>
    <x:row r="38">
      <x:c r="A38" s="58"/>
      <x:c r="B38" s="59"/>
      <x:c r="C38" s="66"/>
      <x:c r="D38" s="66"/>
      <x:c r="E38" s="66"/>
      <x:c r="F38" s="66"/>
      <x:c r="G38" s="71"/>
      <x:c r="H38" s="66"/>
      <x:c r="I38" s="66"/>
      <x:c r="J38" s="74"/>
      <x:c r="K38" s="66"/>
      <x:c r="L38" s="71"/>
      <x:c r="M38" s="66"/>
      <x:c r="N38" s="67"/>
    </x:row>
    <x:row r="39">
      <x:c r="A39" s="58"/>
      <x:c r="B39" s="59"/>
      <x:c r="C39" s="66"/>
      <x:c r="D39" s="66"/>
      <x:c r="E39" s="66"/>
      <x:c r="F39" s="66"/>
      <x:c r="G39" s="71"/>
      <x:c r="H39" s="66"/>
      <x:c r="I39" s="66"/>
      <x:c r="J39" s="74"/>
      <x:c r="K39" s="66"/>
      <x:c r="L39" s="71"/>
      <x:c r="M39" s="66"/>
      <x:c r="N39" s="67"/>
    </x:row>
    <x:row r="40">
      <x:c r="A40" s="58"/>
      <x:c r="B40" s="59"/>
      <x:c r="C40" s="66"/>
      <x:c r="D40" s="66"/>
      <x:c r="E40" s="66"/>
      <x:c r="F40" s="66"/>
      <x:c r="G40" s="71"/>
      <x:c r="H40" s="66"/>
      <x:c r="I40" s="66"/>
      <x:c r="J40" s="74"/>
      <x:c r="K40" s="66"/>
      <x:c r="L40" s="71"/>
      <x:c r="M40" s="66"/>
      <x:c r="N40" s="67"/>
    </x:row>
    <x:row r="41">
      <x:c r="A41" s="58"/>
      <x:c r="B41" s="59"/>
      <x:c r="C41" s="66"/>
      <x:c r="D41" s="66"/>
      <x:c r="E41" s="66"/>
      <x:c r="F41" s="66"/>
      <x:c r="G41" s="71"/>
      <x:c r="H41" s="66"/>
      <x:c r="I41" s="66"/>
      <x:c r="J41" s="74"/>
      <x:c r="K41" s="66"/>
      <x:c r="L41" s="71"/>
      <x:c r="M41" s="66"/>
      <x:c r="N41" s="67"/>
    </x:row>
    <x:row r="42">
      <x:c r="A42" s="58"/>
      <x:c r="B42" s="59"/>
      <x:c r="C42" s="66"/>
      <x:c r="D42" s="66"/>
      <x:c r="E42" s="66"/>
      <x:c r="F42" s="66"/>
      <x:c r="G42" s="71"/>
      <x:c r="H42" s="66"/>
      <x:c r="I42" s="66"/>
      <x:c r="J42" s="74"/>
      <x:c r="K42" s="66"/>
      <x:c r="L42" s="71"/>
      <x:c r="M42" s="66"/>
      <x:c r="N42" s="67"/>
    </x:row>
    <x:row r="43">
      <x:c r="A43" s="58"/>
      <x:c r="B43" s="59"/>
      <x:c r="C43" s="66"/>
      <x:c r="D43" s="66"/>
      <x:c r="E43" s="66"/>
      <x:c r="F43" s="66"/>
      <x:c r="G43" s="71"/>
      <x:c r="H43" s="66"/>
      <x:c r="I43" s="66"/>
      <x:c r="J43" s="74"/>
      <x:c r="K43" s="66"/>
      <x:c r="L43" s="71"/>
      <x:c r="M43" s="66"/>
      <x:c r="N43" s="67"/>
    </x:row>
    <x:row r="44">
      <x:c r="A44" s="58"/>
      <x:c r="B44" s="59"/>
      <x:c r="C44" s="66"/>
      <x:c r="D44" s="66"/>
      <x:c r="E44" s="66"/>
      <x:c r="F44" s="66"/>
      <x:c r="G44" s="71"/>
      <x:c r="H44" s="66"/>
      <x:c r="I44" s="66"/>
      <x:c r="J44" s="74"/>
      <x:c r="K44" s="66"/>
      <x:c r="L44" s="71"/>
      <x:c r="M44" s="66"/>
      <x:c r="N44" s="67"/>
    </x:row>
    <x:row r="45">
      <x:c r="A45" s="58"/>
      <x:c r="B45" s="59"/>
      <x:c r="C45" s="66"/>
      <x:c r="D45" s="66"/>
      <x:c r="E45" s="66"/>
      <x:c r="F45" s="66"/>
      <x:c r="G45" s="71"/>
      <x:c r="H45" s="66"/>
      <x:c r="I45" s="66"/>
      <x:c r="J45" s="74"/>
      <x:c r="K45" s="66"/>
      <x:c r="L45" s="71"/>
      <x:c r="M45" s="66"/>
      <x:c r="N45" s="67"/>
    </x:row>
    <x:row r="46">
      <x:c r="A46" s="58"/>
      <x:c r="B46" s="59"/>
      <x:c r="C46" s="66"/>
      <x:c r="D46" s="66"/>
      <x:c r="E46" s="66"/>
      <x:c r="F46" s="66"/>
      <x:c r="G46" s="71"/>
      <x:c r="H46" s="66"/>
      <x:c r="I46" s="66"/>
      <x:c r="J46" s="74"/>
      <x:c r="K46" s="66"/>
      <x:c r="L46" s="71"/>
      <x:c r="M46" s="66"/>
      <x:c r="N46" s="67"/>
    </x:row>
    <x:row r="47">
      <x:c r="A47" s="58"/>
      <x:c r="B47" s="59"/>
      <x:c r="C47" s="66"/>
      <x:c r="D47" s="66"/>
      <x:c r="E47" s="66"/>
      <x:c r="F47" s="66"/>
      <x:c r="G47" s="71"/>
      <x:c r="H47" s="66"/>
      <x:c r="I47" s="66"/>
      <x:c r="J47" s="74"/>
      <x:c r="K47" s="66"/>
      <x:c r="L47" s="71"/>
      <x:c r="M47" s="66"/>
      <x:c r="N47" s="67"/>
    </x:row>
    <x:row r="48">
      <x:c r="A48" s="58"/>
      <x:c r="B48" s="59"/>
      <x:c r="C48" s="66"/>
      <x:c r="D48" s="66"/>
      <x:c r="E48" s="66"/>
      <x:c r="F48" s="66"/>
      <x:c r="G48" s="71"/>
      <x:c r="H48" s="66"/>
      <x:c r="I48" s="66"/>
      <x:c r="J48" s="74"/>
      <x:c r="K48" s="66"/>
      <x:c r="L48" s="71"/>
      <x:c r="M48" s="66"/>
      <x:c r="N48" s="67"/>
    </x:row>
    <x:row r="49">
      <x:c r="A49" s="58"/>
      <x:c r="B49" s="59"/>
      <x:c r="C49" s="66"/>
      <x:c r="D49" s="66"/>
      <x:c r="E49" s="66"/>
      <x:c r="F49" s="66"/>
      <x:c r="G49" s="71"/>
      <x:c r="H49" s="66"/>
      <x:c r="I49" s="66"/>
      <x:c r="J49" s="74"/>
      <x:c r="K49" s="66"/>
      <x:c r="L49" s="71"/>
      <x:c r="M49" s="66"/>
      <x:c r="N49" s="67"/>
    </x:row>
    <x:row r="50">
      <x:c r="A50" s="58"/>
      <x:c r="B50" s="59"/>
      <x:c r="C50" s="66"/>
      <x:c r="D50" s="66"/>
      <x:c r="E50" s="66"/>
      <x:c r="F50" s="66"/>
      <x:c r="G50" s="71"/>
      <x:c r="H50" s="66"/>
      <x:c r="I50" s="66"/>
      <x:c r="J50" s="74"/>
      <x:c r="K50" s="66"/>
      <x:c r="L50" s="71"/>
      <x:c r="M50" s="66"/>
      <x:c r="N50" s="67"/>
    </x:row>
    <x:row r="51">
      <x:c r="A51" s="58"/>
      <x:c r="B51" s="59"/>
      <x:c r="C51" s="66"/>
      <x:c r="D51" s="66"/>
      <x:c r="E51" s="66"/>
      <x:c r="F51" s="66"/>
      <x:c r="G51" s="71"/>
      <x:c r="H51" s="66"/>
      <x:c r="I51" s="66"/>
      <x:c r="J51" s="74"/>
      <x:c r="K51" s="66"/>
      <x:c r="L51" s="71"/>
      <x:c r="M51" s="66"/>
      <x:c r="N51" s="67"/>
    </x:row>
    <x:row r="52">
      <x:c r="A52" s="58"/>
      <x:c r="B52" s="59"/>
      <x:c r="C52" s="66"/>
      <x:c r="D52" s="66"/>
      <x:c r="E52" s="66"/>
      <x:c r="F52" s="66"/>
      <x:c r="G52" s="71"/>
      <x:c r="H52" s="66"/>
      <x:c r="I52" s="66"/>
      <x:c r="J52" s="74"/>
      <x:c r="K52" s="66"/>
      <x:c r="L52" s="71"/>
      <x:c r="M52" s="66"/>
      <x:c r="N52" s="67"/>
    </x:row>
    <x:row r="53">
      <x:c r="A53" s="58"/>
      <x:c r="B53" s="59"/>
      <x:c r="C53" s="66"/>
      <x:c r="D53" s="66"/>
      <x:c r="E53" s="66"/>
      <x:c r="F53" s="66"/>
      <x:c r="G53" s="71"/>
      <x:c r="H53" s="66"/>
      <x:c r="I53" s="66"/>
      <x:c r="J53" s="74"/>
      <x:c r="K53" s="66"/>
      <x:c r="L53" s="71"/>
      <x:c r="M53" s="66"/>
      <x:c r="N53" s="67"/>
    </x:row>
    <x:row r="54">
      <x:c r="A54" s="58"/>
      <x:c r="B54" s="59"/>
      <x:c r="C54" s="66"/>
      <x:c r="D54" s="66"/>
      <x:c r="E54" s="66"/>
      <x:c r="F54" s="66"/>
      <x:c r="G54" s="71"/>
      <x:c r="H54" s="66"/>
      <x:c r="I54" s="66"/>
      <x:c r="J54" s="74"/>
      <x:c r="K54" s="66"/>
      <x:c r="L54" s="71"/>
      <x:c r="M54" s="66"/>
      <x:c r="N54" s="67"/>
    </x:row>
    <x:row r="55">
      <x:c r="A55" s="58"/>
      <x:c r="B55" s="59"/>
      <x:c r="C55" s="66"/>
      <x:c r="D55" s="66"/>
      <x:c r="E55" s="66"/>
      <x:c r="F55" s="66"/>
      <x:c r="G55" s="71"/>
      <x:c r="H55" s="66"/>
      <x:c r="I55" s="66"/>
      <x:c r="J55" s="74"/>
      <x:c r="K55" s="66"/>
      <x:c r="L55" s="71"/>
      <x:c r="M55" s="66"/>
      <x:c r="N55" s="67"/>
    </x:row>
    <x:row r="56">
      <x:c r="A56" s="58"/>
      <x:c r="B56" s="59"/>
      <x:c r="C56" s="66"/>
      <x:c r="D56" s="66"/>
      <x:c r="E56" s="66"/>
      <x:c r="F56" s="66"/>
      <x:c r="G56" s="71"/>
      <x:c r="H56" s="66"/>
      <x:c r="I56" s="66"/>
      <x:c r="J56" s="74"/>
      <x:c r="K56" s="66"/>
      <x:c r="L56" s="71"/>
      <x:c r="M56" s="66"/>
      <x:c r="N56" s="67"/>
    </x:row>
    <x:row r="57">
      <x:c r="A57" s="58"/>
      <x:c r="B57" s="59"/>
      <x:c r="C57" s="66"/>
      <x:c r="D57" s="66"/>
      <x:c r="E57" s="66"/>
      <x:c r="F57" s="66"/>
      <x:c r="G57" s="71"/>
      <x:c r="H57" s="66"/>
      <x:c r="I57" s="66"/>
      <x:c r="J57" s="74"/>
      <x:c r="K57" s="66"/>
      <x:c r="L57" s="71"/>
      <x:c r="M57" s="66"/>
      <x:c r="N57" s="67"/>
    </x:row>
    <x:row r="58">
      <x:c r="A58" s="58"/>
      <x:c r="B58" s="59"/>
      <x:c r="C58" s="66"/>
      <x:c r="D58" s="66"/>
      <x:c r="E58" s="66"/>
      <x:c r="F58" s="66"/>
      <x:c r="G58" s="71"/>
      <x:c r="H58" s="66"/>
      <x:c r="I58" s="66"/>
      <x:c r="J58" s="74"/>
      <x:c r="K58" s="66"/>
      <x:c r="L58" s="71"/>
      <x:c r="M58" s="66"/>
      <x:c r="N58" s="67"/>
    </x:row>
    <x:row r="59">
      <x:c r="A59" s="58"/>
      <x:c r="B59" s="59"/>
      <x:c r="C59" s="66"/>
      <x:c r="D59" s="66"/>
      <x:c r="E59" s="66"/>
      <x:c r="F59" s="66"/>
      <x:c r="G59" s="71"/>
      <x:c r="H59" s="66"/>
      <x:c r="I59" s="66"/>
      <x:c r="J59" s="74"/>
      <x:c r="K59" s="66"/>
      <x:c r="L59" s="71"/>
      <x:c r="M59" s="66"/>
      <x:c r="N59" s="67"/>
    </x:row>
    <x:row r="60">
      <x:c r="A60" s="58"/>
      <x:c r="B60" s="59"/>
      <x:c r="C60" s="66"/>
      <x:c r="D60" s="66"/>
      <x:c r="E60" s="66"/>
      <x:c r="F60" s="66"/>
      <x:c r="G60" s="71"/>
      <x:c r="H60" s="66"/>
      <x:c r="I60" s="66"/>
      <x:c r="J60" s="74"/>
      <x:c r="K60" s="66"/>
      <x:c r="L60" s="71"/>
      <x:c r="M60" s="66"/>
      <x:c r="N60" s="67"/>
    </x:row>
    <x:row r="61">
      <x:c r="A61" s="58"/>
      <x:c r="B61" s="59"/>
      <x:c r="C61" s="66"/>
      <x:c r="D61" s="66"/>
      <x:c r="E61" s="66"/>
      <x:c r="F61" s="66"/>
      <x:c r="G61" s="71"/>
      <x:c r="H61" s="66"/>
      <x:c r="I61" s="66"/>
      <x:c r="J61" s="74"/>
      <x:c r="K61" s="66"/>
      <x:c r="L61" s="71"/>
      <x:c r="M61" s="66"/>
      <x:c r="N61" s="67"/>
    </x:row>
    <x:row r="62">
      <x:c r="A62" s="58"/>
      <x:c r="B62" s="59"/>
      <x:c r="C62" s="66"/>
      <x:c r="D62" s="66"/>
      <x:c r="E62" s="66"/>
      <x:c r="F62" s="66"/>
      <x:c r="G62" s="71"/>
      <x:c r="H62" s="66"/>
      <x:c r="I62" s="66"/>
      <x:c r="J62" s="74"/>
      <x:c r="K62" s="66"/>
      <x:c r="L62" s="71"/>
      <x:c r="M62" s="66"/>
      <x:c r="N62" s="67"/>
    </x:row>
    <x:row r="63">
      <x:c r="A63" s="58"/>
      <x:c r="B63" s="59"/>
      <x:c r="C63" s="66"/>
      <x:c r="D63" s="66"/>
      <x:c r="E63" s="66"/>
      <x:c r="F63" s="66"/>
      <x:c r="G63" s="71"/>
      <x:c r="H63" s="66"/>
      <x:c r="I63" s="66"/>
      <x:c r="J63" s="74"/>
      <x:c r="K63" s="66"/>
      <x:c r="L63" s="71"/>
      <x:c r="M63" s="66"/>
      <x:c r="N63" s="67"/>
    </x:row>
    <x:row r="64">
      <x:c r="A64" s="58"/>
      <x:c r="B64" s="59"/>
      <x:c r="C64" s="66"/>
      <x:c r="D64" s="66"/>
      <x:c r="E64" s="66"/>
      <x:c r="F64" s="66"/>
      <x:c r="G64" s="71"/>
      <x:c r="H64" s="66"/>
      <x:c r="I64" s="66"/>
      <x:c r="J64" s="74"/>
      <x:c r="K64" s="66"/>
      <x:c r="L64" s="71"/>
      <x:c r="M64" s="66"/>
      <x:c r="N64" s="67"/>
    </x:row>
    <x:row r="65">
      <x:c r="A65" s="58"/>
      <x:c r="B65" s="59"/>
      <x:c r="C65" s="66"/>
      <x:c r="D65" s="66"/>
      <x:c r="E65" s="66"/>
      <x:c r="F65" s="66"/>
      <x:c r="G65" s="71"/>
      <x:c r="H65" s="66"/>
      <x:c r="I65" s="66"/>
      <x:c r="J65" s="74"/>
      <x:c r="K65" s="66"/>
      <x:c r="L65" s="71"/>
      <x:c r="M65" s="66"/>
      <x:c r="N65" s="67"/>
    </x:row>
    <x:row r="66">
      <x:c r="A66" s="58"/>
      <x:c r="B66" s="59"/>
      <x:c r="C66" s="66"/>
      <x:c r="D66" s="66"/>
      <x:c r="E66" s="66"/>
      <x:c r="F66" s="66"/>
      <x:c r="G66" s="71"/>
      <x:c r="H66" s="66"/>
      <x:c r="I66" s="66"/>
      <x:c r="J66" s="74"/>
      <x:c r="K66" s="66"/>
      <x:c r="L66" s="71"/>
      <x:c r="M66" s="66"/>
      <x:c r="N66" s="67"/>
    </x:row>
    <x:row r="67">
      <x:c r="A67" s="58"/>
      <x:c r="B67" s="59"/>
      <x:c r="C67" s="66"/>
      <x:c r="D67" s="66"/>
      <x:c r="E67" s="66"/>
      <x:c r="F67" s="66"/>
      <x:c r="G67" s="71"/>
      <x:c r="H67" s="66"/>
      <x:c r="I67" s="66"/>
      <x:c r="J67" s="74"/>
      <x:c r="K67" s="66"/>
      <x:c r="L67" s="71"/>
      <x:c r="M67" s="66"/>
      <x:c r="N67" s="67"/>
    </x:row>
    <x:row r="68">
      <x:c r="A68" s="58"/>
      <x:c r="B68" s="59"/>
      <x:c r="C68" s="66"/>
      <x:c r="D68" s="66"/>
      <x:c r="E68" s="66"/>
      <x:c r="F68" s="66"/>
      <x:c r="G68" s="71"/>
      <x:c r="H68" s="66"/>
      <x:c r="I68" s="66"/>
      <x:c r="J68" s="74"/>
      <x:c r="K68" s="66"/>
      <x:c r="L68" s="71"/>
      <x:c r="M68" s="66"/>
      <x:c r="N68" s="67"/>
    </x:row>
    <x:row r="69">
      <x:c r="A69" s="58"/>
      <x:c r="B69" s="59"/>
      <x:c r="C69" s="66"/>
      <x:c r="D69" s="66"/>
      <x:c r="E69" s="66"/>
      <x:c r="F69" s="66"/>
      <x:c r="G69" s="71"/>
      <x:c r="H69" s="66"/>
      <x:c r="I69" s="66"/>
      <x:c r="J69" s="74"/>
      <x:c r="K69" s="66"/>
      <x:c r="L69" s="71"/>
      <x:c r="M69" s="66"/>
      <x:c r="N69" s="67"/>
    </x:row>
    <x:row r="70">
      <x:c r="A70" s="58"/>
      <x:c r="B70" s="59"/>
      <x:c r="C70" s="66"/>
      <x:c r="D70" s="66"/>
      <x:c r="E70" s="66"/>
      <x:c r="F70" s="66"/>
      <x:c r="G70" s="71"/>
      <x:c r="H70" s="66"/>
      <x:c r="I70" s="66"/>
      <x:c r="J70" s="74"/>
      <x:c r="K70" s="66"/>
      <x:c r="L70" s="71"/>
      <x:c r="M70" s="66"/>
      <x:c r="N70" s="67"/>
    </x:row>
    <x:row r="71">
      <x:c r="A71" s="58"/>
      <x:c r="B71" s="59"/>
      <x:c r="C71" s="66"/>
      <x:c r="D71" s="66"/>
      <x:c r="E71" s="66"/>
      <x:c r="F71" s="66"/>
      <x:c r="G71" s="71"/>
      <x:c r="H71" s="66"/>
      <x:c r="I71" s="66"/>
      <x:c r="J71" s="74"/>
      <x:c r="K71" s="66"/>
      <x:c r="L71" s="71"/>
      <x:c r="M71" s="66"/>
      <x:c r="N71" s="67"/>
    </x:row>
    <x:row r="72">
      <x:c r="A72" s="58"/>
      <x:c r="B72" s="59"/>
      <x:c r="C72" s="66"/>
      <x:c r="D72" s="66"/>
      <x:c r="E72" s="66"/>
      <x:c r="F72" s="66"/>
      <x:c r="G72" s="71"/>
      <x:c r="H72" s="66"/>
      <x:c r="I72" s="66"/>
      <x:c r="J72" s="74"/>
      <x:c r="K72" s="66"/>
      <x:c r="L72" s="71"/>
      <x:c r="M72" s="66"/>
      <x:c r="N72" s="67"/>
    </x:row>
    <x:row r="73">
      <x:c r="A73" s="58"/>
      <x:c r="B73" s="59"/>
      <x:c r="C73" s="66"/>
      <x:c r="D73" s="66"/>
      <x:c r="E73" s="66"/>
      <x:c r="F73" s="66"/>
      <x:c r="G73" s="71"/>
      <x:c r="H73" s="66"/>
      <x:c r="I73" s="66"/>
      <x:c r="J73" s="74"/>
      <x:c r="K73" s="66"/>
      <x:c r="L73" s="71"/>
      <x:c r="M73" s="66"/>
      <x:c r="N73" s="67"/>
    </x:row>
    <x:row r="74">
      <x:c r="A74" s="58"/>
      <x:c r="B74" s="59"/>
      <x:c r="C74" s="66"/>
      <x:c r="D74" s="66"/>
      <x:c r="E74" s="66"/>
      <x:c r="F74" s="66"/>
      <x:c r="G74" s="71"/>
      <x:c r="H74" s="66"/>
      <x:c r="I74" s="66"/>
      <x:c r="J74" s="74"/>
      <x:c r="K74" s="66"/>
      <x:c r="L74" s="71"/>
      <x:c r="M74" s="66"/>
      <x:c r="N74" s="67"/>
    </x:row>
    <x:row r="75">
      <x:c r="A75" s="58"/>
      <x:c r="B75" s="59"/>
      <x:c r="C75" s="66"/>
      <x:c r="D75" s="66"/>
      <x:c r="E75" s="66"/>
      <x:c r="F75" s="66"/>
      <x:c r="G75" s="71"/>
      <x:c r="H75" s="66"/>
      <x:c r="I75" s="66"/>
      <x:c r="J75" s="74"/>
      <x:c r="K75" s="66"/>
      <x:c r="L75" s="71"/>
      <x:c r="M75" s="66"/>
      <x:c r="N75" s="67"/>
    </x:row>
    <x:row r="76">
      <x:c r="A76" s="58"/>
      <x:c r="B76" s="59"/>
      <x:c r="C76" s="66"/>
      <x:c r="D76" s="66"/>
      <x:c r="E76" s="66"/>
      <x:c r="F76" s="66"/>
      <x:c r="G76" s="71"/>
      <x:c r="H76" s="66"/>
      <x:c r="I76" s="66"/>
      <x:c r="J76" s="74"/>
      <x:c r="K76" s="66"/>
      <x:c r="L76" s="71"/>
      <x:c r="M76" s="66"/>
      <x:c r="N76" s="67"/>
    </x:row>
    <x:row r="77">
      <x:c r="A77" s="58"/>
      <x:c r="B77" s="59"/>
      <x:c r="C77" s="66"/>
      <x:c r="D77" s="66"/>
      <x:c r="E77" s="66"/>
      <x:c r="F77" s="66"/>
      <x:c r="G77" s="71"/>
      <x:c r="H77" s="66"/>
      <x:c r="I77" s="66"/>
      <x:c r="J77" s="74"/>
      <x:c r="K77" s="66"/>
      <x:c r="L77" s="71"/>
      <x:c r="M77" s="66"/>
      <x:c r="N77" s="67"/>
    </x:row>
    <x:row r="78">
      <x:c r="A78" s="58"/>
      <x:c r="B78" s="59"/>
      <x:c r="C78" s="66"/>
      <x:c r="D78" s="66"/>
      <x:c r="E78" s="66"/>
      <x:c r="F78" s="66"/>
      <x:c r="G78" s="71"/>
      <x:c r="H78" s="66"/>
      <x:c r="I78" s="66"/>
      <x:c r="J78" s="74"/>
      <x:c r="K78" s="66"/>
      <x:c r="L78" s="71"/>
      <x:c r="M78" s="66"/>
      <x:c r="N78" s="67"/>
    </x:row>
    <x:row r="79">
      <x:c r="A79" s="58"/>
      <x:c r="B79" s="59"/>
      <x:c r="C79" s="66"/>
      <x:c r="D79" s="66"/>
      <x:c r="E79" s="66"/>
      <x:c r="F79" s="66"/>
      <x:c r="G79" s="71"/>
      <x:c r="H79" s="66"/>
      <x:c r="I79" s="66"/>
      <x:c r="J79" s="74"/>
      <x:c r="K79" s="66"/>
      <x:c r="L79" s="71"/>
      <x:c r="M79" s="66"/>
      <x:c r="N79" s="67"/>
    </x:row>
    <x:row r="80">
      <x:c r="A80" s="58"/>
      <x:c r="B80" s="59"/>
      <x:c r="C80" s="66"/>
      <x:c r="D80" s="66"/>
      <x:c r="E80" s="66"/>
      <x:c r="F80" s="66"/>
      <x:c r="G80" s="71"/>
      <x:c r="H80" s="66"/>
      <x:c r="I80" s="66"/>
      <x:c r="J80" s="74"/>
      <x:c r="K80" s="66"/>
      <x:c r="L80" s="71"/>
      <x:c r="M80" s="66"/>
      <x:c r="N80" s="67"/>
    </x:row>
    <x:row r="81">
      <x:c r="A81" s="58"/>
      <x:c r="B81" s="59"/>
      <x:c r="C81" s="66"/>
      <x:c r="D81" s="66"/>
      <x:c r="E81" s="66"/>
      <x:c r="F81" s="66"/>
      <x:c r="G81" s="71"/>
      <x:c r="H81" s="66"/>
      <x:c r="I81" s="66"/>
      <x:c r="J81" s="74"/>
      <x:c r="K81" s="66"/>
      <x:c r="L81" s="71"/>
      <x:c r="M81" s="66"/>
      <x:c r="N81" s="67"/>
    </x:row>
    <x:row r="82">
      <x:c r="A82" s="58"/>
      <x:c r="B82" s="59"/>
      <x:c r="C82" s="66"/>
      <x:c r="D82" s="66"/>
      <x:c r="E82" s="66"/>
      <x:c r="F82" s="66"/>
      <x:c r="G82" s="71"/>
      <x:c r="H82" s="66"/>
      <x:c r="I82" s="66"/>
      <x:c r="J82" s="74"/>
      <x:c r="K82" s="66"/>
      <x:c r="L82" s="71"/>
      <x:c r="M82" s="66"/>
      <x:c r="N82" s="67"/>
    </x:row>
    <x:row r="83">
      <x:c r="A83" s="58"/>
      <x:c r="B83" s="59"/>
      <x:c r="C83" s="66"/>
      <x:c r="D83" s="66"/>
      <x:c r="E83" s="66"/>
      <x:c r="F83" s="66"/>
      <x:c r="G83" s="71"/>
      <x:c r="H83" s="66"/>
      <x:c r="I83" s="66"/>
      <x:c r="J83" s="74"/>
      <x:c r="K83" s="66"/>
      <x:c r="L83" s="71"/>
      <x:c r="M83" s="66"/>
      <x:c r="N83" s="67"/>
    </x:row>
    <x:row r="84">
      <x:c r="A84" s="58"/>
      <x:c r="B84" s="59"/>
      <x:c r="C84" s="66"/>
      <x:c r="D84" s="66"/>
      <x:c r="E84" s="66"/>
      <x:c r="F84" s="66"/>
      <x:c r="G84" s="71"/>
      <x:c r="H84" s="66"/>
      <x:c r="I84" s="66"/>
      <x:c r="J84" s="74"/>
      <x:c r="K84" s="66"/>
      <x:c r="L84" s="71"/>
      <x:c r="M84" s="66"/>
      <x:c r="N84" s="67"/>
    </x:row>
    <x:row r="85">
      <x:c r="A85" s="58"/>
      <x:c r="B85" s="59"/>
      <x:c r="C85" s="66"/>
      <x:c r="D85" s="66"/>
      <x:c r="E85" s="66"/>
      <x:c r="F85" s="66"/>
      <x:c r="G85" s="71"/>
      <x:c r="H85" s="66"/>
      <x:c r="I85" s="66"/>
      <x:c r="J85" s="74"/>
      <x:c r="K85" s="66"/>
      <x:c r="L85" s="71"/>
      <x:c r="M85" s="66"/>
      <x:c r="N85" s="67"/>
    </x:row>
    <x:row r="86">
      <x:c r="A86" s="58"/>
      <x:c r="B86" s="59"/>
      <x:c r="C86" s="66"/>
      <x:c r="D86" s="66"/>
      <x:c r="E86" s="66"/>
      <x:c r="F86" s="66"/>
      <x:c r="G86" s="71"/>
      <x:c r="H86" s="66"/>
      <x:c r="I86" s="66"/>
      <x:c r="J86" s="74"/>
      <x:c r="K86" s="66"/>
      <x:c r="L86" s="71"/>
      <x:c r="M86" s="66"/>
      <x:c r="N86" s="67"/>
    </x:row>
    <x:row r="87">
      <x:c r="A87" s="58"/>
      <x:c r="B87" s="59"/>
      <x:c r="C87" s="66"/>
      <x:c r="D87" s="66"/>
      <x:c r="E87" s="66"/>
      <x:c r="F87" s="66"/>
      <x:c r="G87" s="71"/>
      <x:c r="H87" s="66"/>
      <x:c r="I87" s="66"/>
      <x:c r="J87" s="74"/>
      <x:c r="K87" s="66"/>
      <x:c r="L87" s="71"/>
      <x:c r="M87" s="66"/>
      <x:c r="N87" s="67"/>
    </x:row>
    <x:row r="88">
      <x:c r="A88" s="58"/>
      <x:c r="B88" s="59"/>
      <x:c r="C88" s="66"/>
      <x:c r="D88" s="66"/>
      <x:c r="E88" s="66"/>
      <x:c r="F88" s="66"/>
      <x:c r="G88" s="71"/>
      <x:c r="H88" s="66"/>
      <x:c r="I88" s="66"/>
      <x:c r="J88" s="74"/>
      <x:c r="K88" s="66"/>
      <x:c r="L88" s="71"/>
      <x:c r="M88" s="66"/>
      <x:c r="N88" s="67"/>
    </x:row>
    <x:row r="89">
      <x:c r="A89" s="58"/>
      <x:c r="B89" s="59"/>
      <x:c r="C89" s="66"/>
      <x:c r="D89" s="66"/>
      <x:c r="E89" s="66"/>
      <x:c r="F89" s="66"/>
      <x:c r="G89" s="71"/>
      <x:c r="H89" s="66"/>
      <x:c r="I89" s="66"/>
      <x:c r="J89" s="74"/>
      <x:c r="K89" s="66"/>
      <x:c r="L89" s="71"/>
      <x:c r="M89" s="66"/>
      <x:c r="N89" s="67"/>
    </x:row>
    <x:row r="90">
      <x:c r="A90" s="58"/>
      <x:c r="B90" s="59"/>
      <x:c r="C90" s="66"/>
      <x:c r="D90" s="66"/>
      <x:c r="E90" s="66"/>
      <x:c r="F90" s="66"/>
      <x:c r="G90" s="71"/>
      <x:c r="H90" s="66"/>
      <x:c r="I90" s="66"/>
      <x:c r="J90" s="74"/>
      <x:c r="K90" s="66"/>
      <x:c r="L90" s="71"/>
      <x:c r="M90" s="66"/>
      <x:c r="N90" s="67"/>
    </x:row>
    <x:row r="91">
      <x:c r="A91" s="58"/>
      <x:c r="B91" s="59"/>
      <x:c r="C91" s="66"/>
      <x:c r="D91" s="66"/>
      <x:c r="E91" s="66"/>
      <x:c r="F91" s="66"/>
      <x:c r="G91" s="71"/>
      <x:c r="H91" s="66"/>
      <x:c r="I91" s="66"/>
      <x:c r="J91" s="74"/>
      <x:c r="K91" s="66"/>
      <x:c r="L91" s="71"/>
      <x:c r="M91" s="66"/>
      <x:c r="N91" s="67"/>
    </x:row>
    <x:row r="92">
      <x:c r="A92" s="58"/>
      <x:c r="B92" s="59"/>
      <x:c r="C92" s="66"/>
      <x:c r="D92" s="66"/>
      <x:c r="E92" s="66"/>
      <x:c r="F92" s="66"/>
      <x:c r="G92" s="71"/>
      <x:c r="H92" s="66"/>
      <x:c r="I92" s="66"/>
      <x:c r="J92" s="74"/>
      <x:c r="K92" s="66"/>
      <x:c r="L92" s="71"/>
      <x:c r="M92" s="66"/>
      <x:c r="N92" s="67"/>
    </x:row>
    <x:row r="93">
      <x:c r="A93" s="58"/>
      <x:c r="B93" s="59"/>
      <x:c r="C93" s="66"/>
      <x:c r="D93" s="66"/>
      <x:c r="E93" s="66"/>
      <x:c r="F93" s="66"/>
      <x:c r="G93" s="71"/>
      <x:c r="H93" s="66"/>
      <x:c r="I93" s="66"/>
      <x:c r="J93" s="74"/>
      <x:c r="K93" s="66"/>
      <x:c r="L93" s="71"/>
      <x:c r="M93" s="66"/>
      <x:c r="N93" s="67"/>
    </x:row>
    <x:row r="94">
      <x:c r="A94" s="58"/>
      <x:c r="B94" s="59"/>
      <x:c r="C94" s="66"/>
      <x:c r="D94" s="66"/>
      <x:c r="E94" s="66"/>
      <x:c r="F94" s="66"/>
      <x:c r="G94" s="71"/>
      <x:c r="H94" s="66"/>
      <x:c r="I94" s="66"/>
      <x:c r="J94" s="74"/>
      <x:c r="K94" s="66"/>
      <x:c r="L94" s="71"/>
      <x:c r="M94" s="66"/>
      <x:c r="N94" s="67"/>
    </x:row>
    <x:row r="95">
      <x:c r="A95" s="58"/>
      <x:c r="B95" s="59"/>
      <x:c r="C95" s="66"/>
      <x:c r="D95" s="66"/>
      <x:c r="E95" s="66"/>
      <x:c r="F95" s="66"/>
      <x:c r="G95" s="71"/>
      <x:c r="H95" s="66"/>
      <x:c r="I95" s="66"/>
      <x:c r="J95" s="74"/>
      <x:c r="K95" s="66"/>
      <x:c r="L95" s="71"/>
      <x:c r="M95" s="66"/>
      <x:c r="N95" s="67"/>
    </x:row>
    <x:row r="96">
      <x:c r="A96" s="58"/>
      <x:c r="B96" s="59"/>
      <x:c r="C96" s="66"/>
      <x:c r="D96" s="66"/>
      <x:c r="E96" s="66"/>
      <x:c r="F96" s="66"/>
      <x:c r="G96" s="71"/>
      <x:c r="H96" s="66"/>
      <x:c r="I96" s="66"/>
      <x:c r="J96" s="74"/>
      <x:c r="K96" s="66"/>
      <x:c r="L96" s="71"/>
      <x:c r="M96" s="66"/>
      <x:c r="N96" s="67"/>
    </x:row>
    <x:row r="97">
      <x:c r="A97" s="58"/>
      <x:c r="B97" s="59"/>
      <x:c r="C97" s="66"/>
      <x:c r="D97" s="66"/>
      <x:c r="E97" s="66"/>
      <x:c r="F97" s="66"/>
      <x:c r="G97" s="71"/>
      <x:c r="H97" s="66"/>
      <x:c r="I97" s="66"/>
      <x:c r="J97" s="74"/>
      <x:c r="K97" s="66"/>
      <x:c r="L97" s="71"/>
      <x:c r="M97" s="66"/>
      <x:c r="N97" s="67"/>
    </x:row>
    <x:row r="98">
      <x:c r="A98" s="58"/>
      <x:c r="B98" s="59"/>
      <x:c r="C98" s="66"/>
      <x:c r="D98" s="66"/>
      <x:c r="E98" s="66"/>
      <x:c r="F98" s="66"/>
      <x:c r="G98" s="71"/>
      <x:c r="H98" s="66"/>
      <x:c r="I98" s="66"/>
      <x:c r="J98" s="74"/>
      <x:c r="K98" s="66"/>
      <x:c r="L98" s="71"/>
      <x:c r="M98" s="66"/>
      <x:c r="N98" s="67"/>
    </x:row>
    <x:row r="99">
      <x:c r="A99" s="58"/>
      <x:c r="B99" s="59"/>
      <x:c r="C99" s="66"/>
      <x:c r="D99" s="66"/>
      <x:c r="E99" s="66"/>
      <x:c r="F99" s="66"/>
      <x:c r="G99" s="71"/>
      <x:c r="H99" s="66"/>
      <x:c r="I99" s="66"/>
      <x:c r="J99" s="74"/>
      <x:c r="K99" s="66"/>
      <x:c r="L99" s="71"/>
      <x:c r="M99" s="66"/>
      <x:c r="N99" s="67"/>
    </x:row>
    <x:row r="100">
      <x:c r="A100" s="58"/>
      <x:c r="B100" s="59"/>
      <x:c r="C100" s="66"/>
      <x:c r="D100" s="66"/>
      <x:c r="E100" s="66"/>
      <x:c r="F100" s="66"/>
      <x:c r="G100" s="71"/>
      <x:c r="H100" s="66"/>
      <x:c r="I100" s="66"/>
      <x:c r="J100" s="74"/>
      <x:c r="K100" s="66"/>
      <x:c r="L100" s="71"/>
      <x:c r="M100" s="66"/>
      <x:c r="N100" s="67"/>
    </x:row>
    <x:row r="101">
      <x:c r="A101" s="58"/>
      <x:c r="B101" s="59"/>
      <x:c r="C101" s="66"/>
      <x:c r="D101" s="66"/>
      <x:c r="E101" s="66"/>
      <x:c r="F101" s="66"/>
      <x:c r="G101" s="71"/>
      <x:c r="H101" s="66"/>
      <x:c r="I101" s="66"/>
      <x:c r="J101" s="74"/>
      <x:c r="K101" s="66"/>
      <x:c r="L101" s="71"/>
      <x:c r="M101" s="66"/>
      <x:c r="N101" s="67"/>
    </x:row>
    <x:row r="102">
      <x:c r="A102" s="61"/>
      <x:c r="B102" s="62"/>
      <x:c r="C102" s="68"/>
      <x:c r="D102" s="68"/>
      <x:c r="E102" s="68"/>
      <x:c r="F102" s="68"/>
      <x:c r="G102" s="72"/>
      <x:c r="H102" s="68"/>
      <x:c r="I102" s="68"/>
      <x:c r="J102" s="75"/>
      <x:c r="K102" s="68"/>
      <x:c r="L102" s="72"/>
      <x:c r="M102" s="68"/>
      <x:c r="N102" s="69"/>
    </x:row>
  </x:sheetData>
  <x:mergeCells>
    <x:mergeCell ref="A1:N1"/>
  </x:mergeCells>
  <x:dataValidations count="1">
    <x:dataValidation type="list" sqref="H3:H102">
      <x:formula1>"新线索,已接触,需求确认,方案沟通,商务谈判,已签约,暂缓,无效"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68" hidden="0" customWidth="1"/>
    <x:col min="4" max="4" width="14" hidden="0" customWidth="1"/>
  </x:cols>
  <x:sheetData>
    <x:row r="1" ht="32" customHeight="1">
      <x:c r="A1" s="3" t="str">
        <x:v>数据口径、来源与使用说明</x:v>
      </x:c>
      <x:c r="B1" s="3" t="str">
        <x:v>数据口径、来源与使用说明</x:v>
      </x:c>
      <x:c r="C1" s="3" t="str">
        <x:v>数据口径、来源与使用说明</x:v>
      </x:c>
      <x:c r="D1" s="3" t="str">
        <x:v>数据口径、来源与使用说明</x:v>
      </x:c>
    </x:row>
    <x:row r="2" ht="30" customHeight="1">
      <x:c r="A2" s="25" t="str">
        <x:v>主题</x:v>
      </x:c>
      <x:c r="B2" s="26" t="str">
        <x:v>说明</x:v>
      </x:c>
      <x:c r="C2" s="26" t="str">
        <x:v>来源/补充</x:v>
      </x:c>
      <x:c r="D2" s="27" t="str">
        <x:v>核验日</x:v>
      </x:c>
    </x:row>
    <x:row r="3">
      <x:c r="A3" s="29" t="str">
        <x:v>范围</x:v>
      </x:c>
      <x:c r="B3" s="29" t="str">
        <x:v>2026年第23届ChinaJoy，BTOC重点展区N1-N5、E3-E7；信息窗口2026-07-28至08-03。</x:v>
      </x:c>
      <x:c r="C3" s="29" t="str">
        <x:v>本表不等同于主办方约900家BTOB+BTOC全量注册库；重点覆盖用户指定12类展区。</x:v>
      </x:c>
      <x:c r="D3" s="35" t="str"/>
    </x:row>
    <x:row r="4">
      <x:c r="A4" s="29" t="str">
        <x:v>官方发布</x:v>
      </x:c>
      <x:c r="B4" s="29" t="str">
        <x:v>定档、规模、头部品牌、展区与合作活动</x:v>
      </x:c>
      <x:c r="C4" s="29" t="str">
        <x:v>https://btb.chinajoy.net/news/63876</x:v>
      </x:c>
      <x:c r="D4" s="35" t="str">
        <x:v>2026-08-03</x:v>
      </x:c>
    </x:row>
    <x:row r="5">
      <x:c r="A5" s="29" t="str">
        <x:v>展位图汇总</x:v>
      </x:c>
      <x:c r="B5" s="29" t="str">
        <x:v>N1-N5、E4-E7展位/品牌；用于补齐小展商</x:v>
      </x:c>
      <x:c r="C5" s="29" t="str">
        <x:v>https://www.vgover.com/zh-tw/news/226267</x:v>
      </x:c>
      <x:c r="D5" s="35" t="str">
        <x:v>2026-08-03</x:v>
      </x:c>
    </x:row>
    <x:row r="6">
      <x:c r="A6" s="29" t="str">
        <x:v>E3潮流生活</x:v>
      </x:c>
      <x:c r="B6" s="29" t="str">
        <x:v>宝石角参展与展位CA308</x:v>
      </x:c>
      <x:c r="C6" s="29" t="str">
        <x:v>https://btb.chinajoy.net/news/63793</x:v>
      </x:c>
      <x:c r="D6" s="35" t="str">
        <x:v>2026-08-03</x:v>
      </x:c>
    </x:row>
    <x:row r="7">
      <x:c r="A7" s="29" t="str">
        <x:v>E3潮流生活</x:v>
      </x:c>
      <x:c r="B7" s="29" t="str">
        <x:v>汉印参展与展位CA202</x:v>
      </x:c>
      <x:c r="C7" s="29" t="str">
        <x:v>https://btb.chinajoy.net/news/63935</x:v>
      </x:c>
      <x:c r="D7" s="35" t="str">
        <x:v>2026-08-03</x:v>
      </x:c>
    </x:row>
    <x:row r="8">
      <x:c r="A8" s="29" t="str">
        <x:v>创作者/嘉宾</x:v>
      </x:c>
      <x:c r="B8" s="29" t="str">
        <x:v>创作者展区首批签售嘉宾以官方长图为准；当前表记录活动入口，未强行OCR人名。</x:v>
      </x:c>
      <x:c r="C8" s="29" t="str">
        <x:v>https://btb.chinajoy.net/news/63753</x:v>
      </x:c>
      <x:c r="D8" s="35" t="str">
        <x:v>2026-08-03</x:v>
      </x:c>
    </x:row>
    <x:row r="9">
      <x:c r="A9" s="29" t="str">
        <x:v>核验规则</x:v>
      </x:c>
      <x:c r="B9" s="29" t="str">
        <x:v>“高”=官方文字或清晰展位图；“中”=展位图小字/OCR存在歧义，招商前需二次核对。</x:v>
      </x:c>
      <x:c r="C9" s="29" t="str">
        <x:v>黄色单元格为建议人工补录字段。</x:v>
      </x:c>
      <x:c r="D9" s="35" t="str"/>
    </x:row>
    <x:row r="10">
      <x:c r="A10" s="29" t="str">
        <x:v>评分规则</x:v>
      </x:c>
      <x:c r="B10" s="29" t="str">
        <x:v>总分=规模+招商匹配+活动激活+渠道完整度；16-20=A，12-15=B，&lt;12=C。</x:v>
      </x:c>
      <x:c r="C10" s="29" t="str">
        <x:v>评分仅作线索排序，不代表信用或投资价值。</x:v>
      </x:c>
      <x:c r="D10" s="35" t="str"/>
    </x:row>
    <x:row r="11">
      <x:c r="A11" s="29" t="str">
        <x:v>渠道说明</x:v>
      </x:c>
      <x:c r="B11" s="29" t="str">
        <x:v>未提供个人手机号等非公开隐私；仅收录公开品牌入口/账号关键词。</x:v>
      </x:c>
      <x:c r="C11" s="29" t="str">
        <x:v>实际联系前应从官网、认证公众号或主办方商务配对系统复核。</x:v>
      </x:c>
      <x:c r="D11" s="35" t="str"/>
    </x:row>
  </x:sheetData>
  <x:mergeCells>
    <x:mergeCell ref="A1:D1"/>
  </x:mergeCells>
  <x:pageMargins left="0.7" right="0.7" top="0.75" bottom="0.75" header="0.3" footer="0.3"/>
</x:worksheet>
</file>