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封面说明" sheetId="1" state="visible" r:id="rId1"/>
    <sheet xmlns:r="http://schemas.openxmlformats.org/officeDocument/2006/relationships" name="01-昨日共识" sheetId="2" state="visible" r:id="rId2"/>
    <sheet xmlns:r="http://schemas.openxmlformats.org/officeDocument/2006/relationships" name="02-分工矩阵" sheetId="3" state="visible" r:id="rId3"/>
    <sheet xmlns:r="http://schemas.openxmlformats.org/officeDocument/2006/relationships" name="03-30场总表" sheetId="4" state="visible" r:id="rId4"/>
    <sheet xmlns:r="http://schemas.openxmlformats.org/officeDocument/2006/relationships" name="04-单场标准" sheetId="5" state="visible" r:id="rId5"/>
    <sheet xmlns:r="http://schemas.openxmlformats.org/officeDocument/2006/relationships" name="05-服中心90天" sheetId="6" state="visible" r:id="rId6"/>
    <sheet xmlns:r="http://schemas.openxmlformats.org/officeDocument/2006/relationships" name="06-商务付款" sheetId="7" state="visible" r:id="rId7"/>
    <sheet xmlns:r="http://schemas.openxmlformats.org/officeDocument/2006/relationships" name="07-政策分成" sheetId="8" state="visible" r:id="rId8"/>
    <sheet xmlns:r="http://schemas.openxmlformats.org/officeDocument/2006/relationships" name="08-边界风险" sheetId="9" state="visible" r:id="rId9"/>
    <sheet xmlns:r="http://schemas.openxmlformats.org/officeDocument/2006/relationships" name="09-下一步" sheetId="10" state="visible" r:id="rId10"/>
  </sheets>
  <definedNames>
    <definedName name="_xlnm.Print_Titles" localSheetId="1">'01-昨日共识'!$1:$3</definedName>
    <definedName name="_xlnm.Print_Titles" localSheetId="2">'02-分工矩阵'!$1:$3</definedName>
    <definedName name="_xlnm.Print_Titles" localSheetId="3">'03-30场总表'!$1:$3</definedName>
    <definedName name="_xlnm.Print_Titles" localSheetId="4">'04-单场标准'!$1:$3</definedName>
    <definedName name="_xlnm.Print_Titles" localSheetId="5">'05-服中心90天'!$1:$3</definedName>
    <definedName name="_xlnm.Print_Titles" localSheetId="6">'06-商务付款'!$1:$3</definedName>
    <definedName name="_xlnm.Print_Titles" localSheetId="7">'07-政策分成'!$1:$3</definedName>
    <definedName name="_xlnm.Print_Titles" localSheetId="8">'08-边界风险'!$1:$3</definedName>
    <definedName name="_xlnm.Print_Titles" localSheetId="9">'09-下一步'!$1:$3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0E2240"/>
      <sz val="11"/>
    </font>
    <font>
      <name val="微软雅黑"/>
      <b val="1"/>
      <color rgb="00FFFFFF"/>
      <sz val="10"/>
    </font>
    <font>
      <name val="微软雅黑"/>
      <color rgb="00243044"/>
      <sz val="10"/>
    </font>
    <font>
      <name val="微软雅黑"/>
      <b val="1"/>
      <color rgb="000E2240"/>
      <sz val="13"/>
    </font>
    <font>
      <name val="微软雅黑"/>
      <b val="1"/>
      <color rgb="000E2240"/>
      <sz val="10"/>
    </font>
    <font>
      <name val="微软雅黑"/>
      <b val="1"/>
      <color rgb="00FFFFFF"/>
      <sz val="16"/>
    </font>
    <font>
      <name val="微软雅黑"/>
      <color rgb="000E2240"/>
      <sz val="10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C9A227"/>
      <sz val="10"/>
    </font>
    <font>
      <name val="微软雅黑"/>
      <b val="1"/>
      <color rgb="00FFFFFF"/>
      <sz val="13"/>
    </font>
    <font>
      <name val="微软雅黑"/>
      <b val="1"/>
      <color rgb="00243044"/>
      <sz val="10"/>
    </font>
    <font>
      <name val="微软雅黑"/>
      <color rgb="00243044"/>
      <sz val="11"/>
    </font>
    <font>
      <name val="微软雅黑"/>
      <color rgb="008B2E2E"/>
      <sz val="10"/>
    </font>
    <font>
      <name val="微软雅黑"/>
      <b val="1"/>
      <color rgb="000E2240"/>
      <sz val="11"/>
    </font>
  </fonts>
  <fills count="13">
    <fill>
      <patternFill/>
    </fill>
    <fill>
      <patternFill patternType="gray125"/>
    </fill>
    <fill>
      <patternFill patternType="solid">
        <fgColor rgb="000E2240"/>
      </patternFill>
    </fill>
    <fill>
      <patternFill patternType="solid">
        <fgColor rgb="00F4EBD3"/>
      </patternFill>
    </fill>
    <fill>
      <patternFill patternType="solid">
        <fgColor rgb="001F6B5C"/>
      </patternFill>
    </fill>
    <fill>
      <patternFill patternType="solid">
        <fgColor rgb="00FFFFFF"/>
      </patternFill>
    </fill>
    <fill>
      <patternFill patternType="solid">
        <fgColor rgb="00FAF6EE"/>
      </patternFill>
    </fill>
    <fill>
      <patternFill patternType="solid">
        <fgColor rgb="001B3A6B"/>
      </patternFill>
    </fill>
    <fill>
      <patternFill patternType="solid">
        <fgColor rgb="006B4F1D"/>
      </patternFill>
    </fill>
    <fill>
      <patternFill patternType="solid">
        <fgColor rgb="005C3D8F"/>
      </patternFill>
    </fill>
    <fill>
      <patternFill patternType="solid">
        <fgColor rgb="008B2E2E"/>
      </patternFill>
    </fill>
    <fill>
      <patternFill patternType="solid">
        <fgColor rgb="00F8E8E8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E7DDC6"/>
      </left>
      <right style="thin">
        <color rgb="00E7DDC6"/>
      </right>
      <top style="thin">
        <color rgb="00E7DDC6"/>
      </top>
      <bottom style="thin">
        <color rgb="00E7DDC6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0" fillId="2" borderId="0" pivotButton="0" quotePrefix="0" xfId="0"/>
    <xf numFmtId="0" fontId="6" fillId="3" borderId="1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1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9" fillId="2" borderId="0" pivotButton="0" quotePrefix="0" xfId="0"/>
    <xf numFmtId="0" fontId="14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9" fontId="4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9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4" borderId="0" pivotButton="0" quotePrefix="0" xfId="0"/>
    <xf numFmtId="2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30 场结构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'03-30场总表'!B37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'03-30场总表'!$A$38:$A$43</f>
            </numRef>
          </cat>
          <val>
            <numRef>
              <f>'03-30场总表'!$B$38:$B$43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场次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活动年包付款节奏（万元）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'06-商务付款'!C4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'06-商务付款'!$A$5:$A$10</f>
            </numRef>
          </cat>
          <val>
            <numRef>
              <f>'06-商务付款'!$C$5:$C$10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36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2" customHeight="1">
      <c r="A1" s="1" t="inlineStr">
        <is>
          <t>创智汇30场活动与科技企业服务中心筹备　·　业务承接合作策划案</t>
        </is>
      </c>
    </row>
    <row r="2" ht="22" customHeight="1">
      <c r="A2" s="2" t="inlineStr">
        <is>
          <t>提交 上海同浦汇科技有限公司　｜　上海市杨浦区科技企业服务中心　｜　2026年9月1日　｜　周期 2026.08—2027.07</t>
        </is>
      </c>
    </row>
    <row r="4">
      <c r="A4" s="3" t="inlineStr">
        <is>
          <t>字段</t>
        </is>
      </c>
      <c r="B4" s="3" t="inlineStr">
        <is>
          <t>内容</t>
        </is>
      </c>
      <c r="C4" s="3" t="n"/>
    </row>
    <row r="5" ht="22" customHeight="1">
      <c r="A5" s="4" t="inlineStr">
        <is>
          <t>提交对象</t>
        </is>
      </c>
      <c r="B5" s="5" t="inlineStr">
        <is>
          <t>上海同浦汇科技有限公司</t>
        </is>
      </c>
      <c r="C5" s="6" t="n"/>
    </row>
    <row r="6" ht="22" customHeight="1">
      <c r="A6" s="3" t="inlineStr">
        <is>
          <t>提出方</t>
        </is>
      </c>
      <c r="B6" s="5" t="inlineStr">
        <is>
          <t>上海市杨浦区科技企业服务中心</t>
        </is>
      </c>
      <c r="C6" s="6" t="n"/>
    </row>
    <row r="7" ht="22" customHeight="1">
      <c r="A7" s="4" t="inlineStr">
        <is>
          <t>联合</t>
        </is>
      </c>
      <c r="B7" s="5" t="inlineStr">
        <is>
          <t>上海市杨浦区科技企业联合会</t>
        </is>
      </c>
      <c r="C7" s="6" t="n"/>
    </row>
    <row r="8" ht="22" customHeight="1">
      <c r="A8" s="3" t="inlineStr">
        <is>
          <t>学术支持</t>
        </is>
      </c>
      <c r="B8" s="5" t="inlineStr">
        <is>
          <t>复旦大学住房政策研究中心（学术支持）</t>
        </is>
      </c>
      <c r="C8" s="6" t="n"/>
    </row>
    <row r="9" ht="22" customHeight="1">
      <c r="A9" s="4" t="inlineStr">
        <is>
          <t>同浦汇联系人</t>
        </is>
      </c>
      <c r="B9" s="5" t="inlineStr">
        <is>
          <t>高辰辰　15339617481　产业招服</t>
        </is>
      </c>
      <c r="C9" s="6" t="n"/>
    </row>
    <row r="10" ht="22" customHeight="1">
      <c r="A10" s="3" t="inlineStr">
        <is>
          <t>业主</t>
        </is>
      </c>
      <c r="B10" s="5" t="inlineStr">
        <is>
          <t>杨浦科创集团（杨浦国资）</t>
        </is>
      </c>
      <c r="C10" s="6" t="n"/>
    </row>
    <row r="11" ht="22" customHeight="1">
      <c r="A11" s="4" t="inlineStr">
        <is>
          <t>园区</t>
        </is>
      </c>
      <c r="B11" s="5" t="inlineStr">
        <is>
          <t>创智汇（五角场·创智天地片区）</t>
        </is>
      </c>
      <c r="C11" s="6" t="n"/>
    </row>
    <row r="12" ht="22" customHeight="1">
      <c r="A12" s="3" t="inlineStr">
        <is>
          <t>新赛道</t>
        </is>
      </c>
      <c r="B12" s="5" t="inlineStr">
        <is>
          <t>智能建造 × 建筑产业出海</t>
        </is>
      </c>
      <c r="C12" s="6" t="n"/>
    </row>
    <row r="13" ht="22" customHeight="1">
      <c r="A13" s="4" t="inlineStr">
        <is>
          <t>政策包装</t>
        </is>
      </c>
      <c r="B13" s="5" t="inlineStr">
        <is>
          <t>现代服务业 + 新一代信息技术（科技赋能建筑）</t>
        </is>
      </c>
      <c r="C13" s="6" t="n"/>
    </row>
    <row r="14" ht="22" customHeight="1">
      <c r="A14" s="3" t="inlineStr">
        <is>
          <t>工作包 A</t>
        </is>
      </c>
      <c r="B14" s="5" t="inlineStr">
        <is>
          <t>30 场活动全案执行（30 万 / 年，每场 ≤30 人）</t>
        </is>
      </c>
      <c r="C14" s="6" t="n"/>
    </row>
    <row r="15" ht="22" customHeight="1">
      <c r="A15" s="4" t="inlineStr">
        <is>
          <t>工作包 B</t>
        </is>
      </c>
      <c r="B15" s="5" t="inlineStr">
        <is>
          <t>科技企业服务中心 90 天筹备（筹备不另向同浦汇收费）</t>
        </is>
      </c>
      <c r="C15" s="6" t="n"/>
    </row>
    <row r="16" ht="22" customHeight="1">
      <c r="A16" s="3" t="inlineStr">
        <is>
          <t>活动内部分成</t>
        </is>
      </c>
      <c r="B16" s="5" t="inlineStr">
        <is>
          <t>服中心 70% / 同浦汇 30%（建议，待确认）</t>
        </is>
      </c>
      <c r="C16" s="6" t="n"/>
    </row>
    <row r="17" ht="22" customHeight="1">
      <c r="A17" s="4" t="inlineStr">
        <is>
          <t>政策分成</t>
        </is>
      </c>
      <c r="B17" s="5" t="inlineStr">
        <is>
          <t>同浦汇 38% / 服中心 62%（锁版）</t>
        </is>
      </c>
      <c r="C17" s="6" t="n"/>
    </row>
    <row r="18" ht="22" customHeight="1">
      <c r="A18" s="3" t="inlineStr">
        <is>
          <t>付款</t>
        </is>
      </c>
      <c r="B18" s="5" t="inlineStr">
        <is>
          <t>签约后 7 日内 50% 启动款；Q3、Q4、次年 Q1、次年 Q2 各 10%；年终收官 10% 尾款</t>
        </is>
      </c>
      <c r="C18" s="6" t="n"/>
    </row>
    <row r="19" ht="22" customHeight="1">
      <c r="A19" s="4" t="inlineStr">
        <is>
          <t>机密</t>
        </is>
      </c>
      <c r="B19" s="5" t="inlineStr">
        <is>
          <t>机密 · 仅供同浦汇合作沟通，不作为对园区/投资方的承诺函</t>
        </is>
      </c>
      <c r="C19" s="6" t="n"/>
    </row>
    <row r="21">
      <c r="A21" s="7" t="inlineStr">
        <is>
          <t>工作表索引</t>
        </is>
      </c>
    </row>
    <row r="22">
      <c r="A22" s="3" t="inlineStr">
        <is>
          <t>工作表</t>
        </is>
      </c>
      <c r="B22" s="3" t="inlineStr">
        <is>
          <t>用途</t>
        </is>
      </c>
      <c r="C22" s="3" t="inlineStr">
        <is>
          <t>对应文件</t>
        </is>
      </c>
    </row>
    <row r="23">
      <c r="A23" s="8" t="inlineStr">
        <is>
          <t>00-封面说明</t>
        </is>
      </c>
      <c r="B23" s="9" t="inlineStr">
        <is>
          <t>口径、主体、分成总览</t>
        </is>
      </c>
      <c r="C23" s="9" t="inlineStr">
        <is>
          <t>PPT 汇报 + Word 正文</t>
        </is>
      </c>
    </row>
    <row r="24">
      <c r="A24" s="10" t="inlineStr">
        <is>
          <t>01-昨日共识</t>
        </is>
      </c>
      <c r="B24" s="11" t="inlineStr">
        <is>
          <t>8 月 31 日交流要点，作为共同事实</t>
        </is>
      </c>
      <c r="C24" s="11" t="inlineStr">
        <is>
          <t>PPT 汇报 + Word 正文</t>
        </is>
      </c>
    </row>
    <row r="25">
      <c r="A25" s="8" t="inlineStr">
        <is>
          <t>02-分工矩阵</t>
        </is>
      </c>
      <c r="B25" s="9" t="inlineStr">
        <is>
          <t>同浦汇 / 服中心 / 园区 / 复旦 / 业主</t>
        </is>
      </c>
      <c r="C25" s="9" t="inlineStr">
        <is>
          <t>PPT 汇报 + Word 正文</t>
        </is>
      </c>
    </row>
    <row r="26">
      <c r="A26" s="10" t="inlineStr">
        <is>
          <t>03-30场总表</t>
        </is>
      </c>
      <c r="B26" s="11" t="inlineStr">
        <is>
          <t>30 场排期、线条、状态（可勾选）</t>
        </is>
      </c>
      <c r="C26" s="11" t="inlineStr">
        <is>
          <t>PPT 汇报 + Word 正文</t>
        </is>
      </c>
    </row>
    <row r="27">
      <c r="A27" s="8" t="inlineStr">
        <is>
          <t>04-单场标准</t>
        </is>
      </c>
      <c r="B27" s="9" t="inlineStr">
        <is>
          <t>人数、负责人、节奏、转化、加购</t>
        </is>
      </c>
      <c r="C27" s="9" t="inlineStr">
        <is>
          <t>PPT 汇报 + Word 正文</t>
        </is>
      </c>
    </row>
    <row r="28">
      <c r="A28" s="10" t="inlineStr">
        <is>
          <t>05-服中心90天</t>
        </is>
      </c>
      <c r="B28" s="11" t="inlineStr">
        <is>
          <t>挂牌筹备甘特与前置条件</t>
        </is>
      </c>
      <c r="C28" s="11" t="inlineStr">
        <is>
          <t>PPT 汇报 + Word 正文</t>
        </is>
      </c>
    </row>
    <row r="29">
      <c r="A29" s="8" t="inlineStr">
        <is>
          <t>06-商务付款</t>
        </is>
      </c>
      <c r="B29" s="9" t="inlineStr">
        <is>
          <t>30 万拆分到季度与内部结算</t>
        </is>
      </c>
      <c r="C29" s="9" t="inlineStr">
        <is>
          <t>PPT 汇报 + Word 正文</t>
        </is>
      </c>
    </row>
    <row r="30">
      <c r="A30" s="10" t="inlineStr">
        <is>
          <t>07-政策分成</t>
        </is>
      </c>
      <c r="B30" s="11" t="inlineStr">
        <is>
          <t>上限测算与 38/62</t>
        </is>
      </c>
      <c r="C30" s="11" t="inlineStr">
        <is>
          <t>PPT 汇报 + Word 正文</t>
        </is>
      </c>
    </row>
    <row r="31">
      <c r="A31" s="8" t="inlineStr">
        <is>
          <t>08-边界风险</t>
        </is>
      </c>
      <c r="B31" s="9" t="inlineStr">
        <is>
          <t>不承诺清单 + 审核三句口径</t>
        </is>
      </c>
      <c r="C31" s="9" t="inlineStr">
        <is>
          <t>PPT 汇报 + Word 正文</t>
        </is>
      </c>
    </row>
    <row r="32">
      <c r="A32" s="10" t="inlineStr">
        <is>
          <t>09-下一步</t>
        </is>
      </c>
      <c r="B32" s="11" t="inlineStr">
        <is>
          <t>请同浦汇确认的五件事</t>
        </is>
      </c>
      <c r="C32" s="11" t="inlineStr">
        <is>
          <t>PPT 汇报 + Word 正文</t>
        </is>
      </c>
    </row>
  </sheetData>
  <mergeCells count="18">
    <mergeCell ref="B13:C13"/>
    <mergeCell ref="B6:C6"/>
    <mergeCell ref="B16:C16"/>
    <mergeCell ref="B15:C15"/>
    <mergeCell ref="B7:C7"/>
    <mergeCell ref="A1:C1"/>
    <mergeCell ref="B11:C11"/>
    <mergeCell ref="B5:C5"/>
    <mergeCell ref="B19:C19"/>
    <mergeCell ref="B10:C10"/>
    <mergeCell ref="B14:C14"/>
    <mergeCell ref="B17:C17"/>
    <mergeCell ref="B9:C9"/>
    <mergeCell ref="B18:C18"/>
    <mergeCell ref="B8:C8"/>
    <mergeCell ref="B4:C4"/>
    <mergeCell ref="A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8" customWidth="1" min="3" max="3"/>
  </cols>
  <sheetData>
    <row r="1" ht="24" customHeight="1">
      <c r="A1" s="12" t="inlineStr">
        <is>
          <t>昨日共识（2026-08-31）</t>
        </is>
      </c>
    </row>
    <row r="2" ht="32" customHeight="1">
      <c r="A2" s="13" t="inlineStr">
        <is>
          <t>创智汇赛道调整交流 · 约 36 分钟 · 作为双方共同事实，不另做预测承诺</t>
        </is>
      </c>
    </row>
    <row r="3">
      <c r="A3" s="3" t="inlineStr">
        <is>
          <t>序号</t>
        </is>
      </c>
      <c r="B3" s="3" t="inlineStr">
        <is>
          <t>类型</t>
        </is>
      </c>
      <c r="C3" s="3" t="inlineStr">
        <is>
          <t>要点</t>
        </is>
      </c>
    </row>
    <row r="4" ht="36" customHeight="1">
      <c r="A4" s="14" t="n">
        <v>1</v>
      </c>
      <c r="B4" s="15" t="inlineStr">
        <is>
          <t>赛道</t>
        </is>
      </c>
      <c r="C4" s="16" t="inlineStr">
        <is>
          <t>创智汇上周已确定更换赛道：由原 AI+IP 内容线，转向与建筑设计、智能建造结合的方向，并与同济设计资源、中建相关方主业相匹配。</t>
        </is>
      </c>
    </row>
    <row r="5" ht="36" customHeight="1">
      <c r="A5" s="17" t="n">
        <v>2</v>
      </c>
      <c r="B5" s="18" t="inlineStr">
        <is>
          <t>赛道</t>
        </is>
      </c>
      <c r="C5" s="9" t="inlineStr">
        <is>
          <t>新方向按「现代服务业 + 新一代信息技术」包装，科技赋能建筑，不与高新/载体政策申报发生本质冲突。</t>
        </is>
      </c>
    </row>
    <row r="6" ht="36" customHeight="1">
      <c r="A6" s="14" t="n">
        <v>3</v>
      </c>
      <c r="B6" s="15" t="inlineStr">
        <is>
          <t>目标</t>
        </is>
      </c>
      <c r="C6" s="16" t="inlineStr">
        <is>
          <t>核心目标不是把地产施工企业招来租办公室，而是搭建「建筑产业出海」集群：设计、测绘、模块化、绿色低碳、施工机器人可成为出口内容。</t>
        </is>
      </c>
    </row>
    <row r="7" ht="36" customHeight="1">
      <c r="A7" s="17" t="n">
        <v>4</v>
      </c>
      <c r="B7" s="18" t="inlineStr">
        <is>
          <t>风险</t>
        </is>
      </c>
      <c r="C7" s="9" t="inlineStr">
        <is>
          <t>会上研判：传统建筑施工景气与回款能力明显弱于人工智能赛道，若仍按招租逻辑推进，后续难以说服审核方，也难以支撑活动转化。</t>
        </is>
      </c>
    </row>
    <row r="8" ht="36" customHeight="1">
      <c r="A8" s="14" t="n">
        <v>5</v>
      </c>
      <c r="B8" s="15" t="inlineStr">
        <is>
          <t>口径</t>
        </is>
      </c>
      <c r="C8" s="16" t="inlineStr">
        <is>
          <t>对外口径须谨慎：业主写杨浦科创集团；不宜简单用「中建」名义对接政府资源。</t>
        </is>
      </c>
    </row>
    <row r="9" ht="36" customHeight="1">
      <c r="A9" s="17" t="n">
        <v>6</v>
      </c>
      <c r="B9" s="18" t="inlineStr">
        <is>
          <t>资源</t>
        </is>
      </c>
      <c r="C9" s="9" t="inlineStr">
        <is>
          <t>复旦大学住房政策研究中心可提供行业数据、活动组织、专家网络与海外专题经验，作为白皮书、授牌与出海研究的学术支持，不替代同浦汇的园区接口地位。</t>
        </is>
      </c>
    </row>
    <row r="10" ht="36" customHeight="1">
      <c r="A10" s="14" t="n">
        <v>7</v>
      </c>
      <c r="B10" s="15" t="inlineStr">
        <is>
          <t>出海</t>
        </is>
      </c>
      <c r="C10" s="16" t="inlineStr">
        <is>
          <t>出海优先城市化率较低的一带一路、东南亚、中亚、非洲、中东市场；产品抓手为绿色低碳 + 建筑施工机器人 + 模块化建筑（含越南等地已有就地建厂探索）。</t>
        </is>
      </c>
    </row>
    <row r="11" ht="36" customHeight="1">
      <c r="A11" s="17" t="n">
        <v>8</v>
      </c>
      <c r="B11" s="18" t="inlineStr">
        <is>
          <t>政策</t>
        </is>
      </c>
      <c r="C11" s="9" t="inlineStr">
        <is>
          <t>政策路径：引导入驻企业把经营范围写入智能施工、绿色节能，自行完成高新技术企业认定；可参考广州越秀零碳体验馆，用研学参观形成稳定运营，不完全依赖补贴。</t>
        </is>
      </c>
    </row>
    <row r="12" ht="36" customHeight="1">
      <c r="A12" s="14" t="n">
        <v>9</v>
      </c>
      <c r="B12" s="15" t="inlineStr">
        <is>
          <t>空间</t>
        </is>
      </c>
      <c r="C12" s="16" t="inlineStr">
        <is>
          <t>空间抓手：展厅约 500㎡ 做建筑出海科技与模块化产品展示，其余空间承载新材料等。</t>
        </is>
      </c>
    </row>
    <row r="13" ht="36" customHeight="1">
      <c r="A13" s="17" t="n">
        <v>10</v>
      </c>
      <c r="B13" s="18" t="inlineStr">
        <is>
          <t>领馆</t>
        </is>
      </c>
      <c r="C13" s="9" t="inlineStr">
        <is>
          <t>驻沪领馆资源按目标国匹配（会上口径约 80+），领事到访不纳入 30 场年包。</t>
        </is>
      </c>
    </row>
    <row r="14" ht="36" customHeight="1">
      <c r="A14" s="14" t="n">
        <v>11</v>
      </c>
      <c r="B14" s="15" t="inlineStr">
        <is>
          <t>节奏</t>
        </is>
      </c>
      <c r="C14" s="16" t="inlineStr">
        <is>
          <t>节奏：合同口径已调整、运营成本已经发生；需尽快形成可交给审核方工程部门的初步方案。</t>
        </is>
      </c>
    </row>
    <row r="16" ht="28" customHeight="1">
      <c r="A16" s="19" t="inlineStr">
        <is>
          <t>定位切换：AI+IP / 数字内容无界共创港  →  智能建造 × 建筑产业出海　｜　政策包装：现代服务业 + 新一代信息技术（科技赋能建筑）</t>
        </is>
      </c>
    </row>
  </sheetData>
  <mergeCells count="3">
    <mergeCell ref="A1:C1"/>
    <mergeCell ref="A16:C16"/>
    <mergeCell ref="A2:C2"/>
  </mergeCells>
  <pageMargins left="0.75" right="0.75" top="1" bottom="1" header="0.5" footer="0.5"/>
  <pageSetup orientation="landscape" paperSize="9" fitToHeight="0" fitToWidth="1"/>
  <headerFooter>
    <oddHeader/>
    <oddFooter>&amp;L机密 · 仅供同浦汇合作沟通，不作为对园区/投资方的承诺函&amp;R第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6B5C"/>
    <outlinePr summaryBelow="1" summaryRight="1"/>
    <pageSetUpPr fitToPage="1"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  <col width="22" customWidth="1" min="4" max="4"/>
  </cols>
  <sheetData>
    <row r="1" ht="24" customHeight="1">
      <c r="A1" s="12" t="inlineStr">
        <is>
          <t>分工矩阵</t>
        </is>
      </c>
    </row>
    <row r="2" ht="32" customHeight="1">
      <c r="A2" s="13" t="inlineStr">
        <is>
          <t>同浦汇管关系，服中心管交付；园区管销售促成</t>
        </is>
      </c>
    </row>
    <row r="3">
      <c r="A3" s="4" t="inlineStr">
        <is>
          <t>主体</t>
        </is>
      </c>
      <c r="B3" s="4" t="inlineStr">
        <is>
          <t>责任</t>
        </is>
      </c>
      <c r="C3" s="4" t="inlineStr">
        <is>
          <t>主责/协同</t>
        </is>
      </c>
      <c r="D3" s="4" t="inlineStr">
        <is>
          <t>是否承接范围内</t>
        </is>
      </c>
    </row>
    <row r="4" ht="32" customHeight="1">
      <c r="A4" s="20" t="inlineStr">
        <is>
          <t>同浦汇</t>
        </is>
      </c>
      <c r="B4" s="16" t="inlineStr">
        <is>
          <t>园区接口、在谈客户、带客名单协同、建群与回访台账、向园区转交促成线索</t>
        </is>
      </c>
      <c r="C4" s="16" t="inlineStr">
        <is>
          <t>主责客户关系</t>
        </is>
      </c>
      <c r="D4" s="16" t="inlineStr">
        <is>
          <t>接口保留，不替换</t>
        </is>
      </c>
    </row>
    <row r="5" ht="32" customHeight="1">
      <c r="A5" s="8" t="inlineStr">
        <is>
          <t>科技企业服务中心</t>
        </is>
      </c>
      <c r="B5" s="9" t="inlineStr">
        <is>
          <t>30场策划与现场执行、服中心挂牌筹备、政策申报材料、月报验收</t>
        </is>
      </c>
      <c r="C5" s="9" t="inlineStr">
        <is>
          <t>主责执行</t>
        </is>
      </c>
      <c r="D5" s="9" t="inlineStr">
        <is>
          <t>是，工作包 A+B</t>
        </is>
      </c>
    </row>
    <row r="6" ht="32" customHeight="1">
      <c r="A6" s="20" t="inlineStr">
        <is>
          <t>科技企业联合会</t>
        </is>
      </c>
      <c r="B6" s="16" t="inlineStr">
        <is>
          <t>联合协办、行业组织协同、活动背书</t>
        </is>
      </c>
      <c r="C6" s="16" t="inlineStr">
        <is>
          <t>协同</t>
        </is>
      </c>
      <c r="D6" s="16" t="inlineStr">
        <is>
          <t>联合协办</t>
        </is>
      </c>
    </row>
    <row r="7" ht="32" customHeight="1">
      <c r="A7" s="8" t="inlineStr">
        <is>
          <t>复旦住房政策研究中心</t>
        </is>
      </c>
      <c r="B7" s="9" t="inlineStr">
        <is>
          <t>学术支持、白皮书、专家与行业数据、海外专题研究（按场次确认）</t>
        </is>
      </c>
      <c r="C7" s="9" t="inlineStr">
        <is>
          <t>按场次确认</t>
        </is>
      </c>
      <c r="D7" s="9" t="inlineStr">
        <is>
          <t>学术支持，不替代接口</t>
        </is>
      </c>
    </row>
    <row r="8" ht="32" customHeight="1">
      <c r="A8" s="20" t="inlineStr">
        <is>
          <t>创智汇 / 园区</t>
        </is>
      </c>
      <c r="B8" s="16" t="inlineStr">
        <is>
          <t>场地物业、导视、样板间、在谈名单、销售促成</t>
        </is>
      </c>
      <c r="C8" s="16" t="inlineStr">
        <is>
          <t>主责销售</t>
        </is>
      </c>
      <c r="D8" s="16" t="inlineStr">
        <is>
          <t>不纳入承接承诺</t>
        </is>
      </c>
    </row>
    <row r="9" ht="32" customHeight="1">
      <c r="A9" s="8" t="inlineStr">
        <is>
          <t>杨浦科创集团</t>
        </is>
      </c>
      <c r="B9" s="9" t="inlineStr">
        <is>
          <t>空间业主；重大口径与场地条件确认</t>
        </is>
      </c>
      <c r="C9" s="9" t="inlineStr">
        <is>
          <t>业主确认</t>
        </is>
      </c>
      <c r="D9" s="9" t="inlineStr">
        <is>
          <t>口径与场地条件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  <headerFooter>
    <oddHeader/>
    <oddFooter>&amp;L机密 · 仅供同浦汇合作沟通，不作为对园区/投资方的承诺函&amp;R第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N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36" customWidth="1" min="5" max="5"/>
    <col width="38" customWidth="1" min="6" max="6"/>
    <col width="12" customWidth="1" min="7" max="7"/>
    <col width="10" customWidth="1" min="8" max="8"/>
    <col width="14" customWidth="1" min="9" max="9"/>
    <col width="16" customWidth="1" min="10" max="10"/>
    <col width="16" customWidth="1" min="11" max="11"/>
    <col width="12" customWidth="1" min="12" max="12"/>
    <col width="10" customWidth="1" min="13" max="13"/>
    <col width="18" customWidth="1" min="14" max="14"/>
  </cols>
  <sheetData>
    <row r="1" ht="24" customHeight="1">
      <c r="A1" s="12" t="inlineStr">
        <is>
          <t>30 场活动执行总表（计入年包）</t>
        </is>
      </c>
    </row>
    <row r="2" ht="32" customHeight="1">
      <c r="A2" s="13" t="inlineStr">
        <is>
          <t>每场 ≤30 人　｜　负责人 ≤30%　｜　状态可下拉　｜　另计价项目见「04-单场标准」</t>
        </is>
      </c>
    </row>
    <row r="3">
      <c r="A3" s="3" t="inlineStr">
        <is>
          <t>序号</t>
        </is>
      </c>
      <c r="B3" s="3" t="inlineStr">
        <is>
          <t>编号</t>
        </is>
      </c>
      <c r="C3" s="3" t="inlineStr">
        <is>
          <t>月份</t>
        </is>
      </c>
      <c r="D3" s="3" t="inlineStr">
        <is>
          <t>线条</t>
        </is>
      </c>
      <c r="E3" s="3" t="inlineStr">
        <is>
          <t>活动名称</t>
        </is>
      </c>
      <c r="F3" s="3" t="inlineStr">
        <is>
          <t>本场作用</t>
        </is>
      </c>
      <c r="G3" s="3" t="inlineStr">
        <is>
          <t>建议周次</t>
        </is>
      </c>
      <c r="H3" s="3" t="inlineStr">
        <is>
          <t>人数上限</t>
        </is>
      </c>
      <c r="I3" s="3" t="inlineStr">
        <is>
          <t>负责人占比上限</t>
        </is>
      </c>
      <c r="J3" s="3" t="inlineStr">
        <is>
          <t>主责</t>
        </is>
      </c>
      <c r="K3" s="3" t="inlineStr">
        <is>
          <t>同浦汇协同</t>
        </is>
      </c>
      <c r="L3" s="3" t="inlineStr">
        <is>
          <t>状态</t>
        </is>
      </c>
      <c r="M3" s="3" t="inlineStr">
        <is>
          <t>线索条数</t>
        </is>
      </c>
      <c r="N3" s="3" t="inlineStr">
        <is>
          <t>备注</t>
        </is>
      </c>
    </row>
    <row r="4" ht="28" customHeight="1">
      <c r="A4" s="21" t="n">
        <v>1</v>
      </c>
      <c r="B4" s="21" t="inlineStr">
        <is>
          <t>E1</t>
        </is>
      </c>
      <c r="C4" s="21" t="inlineStr">
        <is>
          <t>2026.08</t>
        </is>
      </c>
      <c r="D4" s="22" t="inlineStr">
        <is>
          <t>启动</t>
        </is>
      </c>
      <c r="E4" s="11" t="inlineStr">
        <is>
          <t>赛道切换说明会 · 园区开放日</t>
        </is>
      </c>
      <c r="F4" s="11" t="inlineStr">
        <is>
          <t>把新方向讲清楚，完成主业匹配叙事</t>
        </is>
      </c>
      <c r="G4" s="21" t="inlineStr"/>
      <c r="H4" s="21" t="n">
        <v>30</v>
      </c>
      <c r="I4" s="21" t="inlineStr">
        <is>
          <t>≤30%</t>
        </is>
      </c>
      <c r="J4" s="11" t="inlineStr">
        <is>
          <t>服中心执行</t>
        </is>
      </c>
      <c r="K4" s="11" t="inlineStr">
        <is>
          <t>带客/回访</t>
        </is>
      </c>
      <c r="L4" s="21" t="inlineStr">
        <is>
          <t>未启动</t>
        </is>
      </c>
      <c r="M4" s="21" t="inlineStr"/>
      <c r="N4" s="11" t="inlineStr"/>
    </row>
    <row r="5" ht="28" customHeight="1">
      <c r="A5" s="23" t="n">
        <v>2</v>
      </c>
      <c r="B5" s="23" t="inlineStr">
        <is>
          <t>E2</t>
        </is>
      </c>
      <c r="C5" s="23" t="inlineStr">
        <is>
          <t>2026.08</t>
        </is>
      </c>
      <c r="D5" s="22" t="inlineStr">
        <is>
          <t>启动</t>
        </is>
      </c>
      <c r="E5" s="9" t="inlineStr">
        <is>
          <t>中介渠道推广日（建造 / 园区）</t>
        </is>
      </c>
      <c r="F5" s="9" t="inlineStr">
        <is>
          <t>点火带客，不谈租金对赌</t>
        </is>
      </c>
      <c r="G5" s="23" t="inlineStr"/>
      <c r="H5" s="23" t="n">
        <v>30</v>
      </c>
      <c r="I5" s="23" t="inlineStr">
        <is>
          <t>≤30%</t>
        </is>
      </c>
      <c r="J5" s="9" t="inlineStr">
        <is>
          <t>服中心执行</t>
        </is>
      </c>
      <c r="K5" s="9" t="inlineStr">
        <is>
          <t>带客/回访</t>
        </is>
      </c>
      <c r="L5" s="23" t="inlineStr">
        <is>
          <t>未启动</t>
        </is>
      </c>
      <c r="M5" s="23" t="inlineStr"/>
      <c r="N5" s="9" t="inlineStr"/>
    </row>
    <row r="6" ht="28" customHeight="1">
      <c r="A6" s="21" t="n">
        <v>3</v>
      </c>
      <c r="B6" s="21" t="inlineStr">
        <is>
          <t>E3</t>
        </is>
      </c>
      <c r="C6" s="21" t="inlineStr">
        <is>
          <t>2026.08</t>
        </is>
      </c>
      <c r="D6" s="22" t="inlineStr">
        <is>
          <t>启动</t>
        </is>
      </c>
      <c r="E6" s="11" t="inlineStr">
        <is>
          <t>五大行与资管对接日</t>
        </is>
      </c>
      <c r="F6" s="11" t="inlineStr">
        <is>
          <t>面对施工企业支付能力弱的现实，先找金融出口</t>
        </is>
      </c>
      <c r="G6" s="21" t="inlineStr"/>
      <c r="H6" s="21" t="n">
        <v>30</v>
      </c>
      <c r="I6" s="21" t="inlineStr">
        <is>
          <t>≤30%</t>
        </is>
      </c>
      <c r="J6" s="11" t="inlineStr">
        <is>
          <t>服中心执行</t>
        </is>
      </c>
      <c r="K6" s="11" t="inlineStr">
        <is>
          <t>带客/回访</t>
        </is>
      </c>
      <c r="L6" s="21" t="inlineStr">
        <is>
          <t>未启动</t>
        </is>
      </c>
      <c r="M6" s="21" t="inlineStr"/>
      <c r="N6" s="11" t="inlineStr"/>
    </row>
    <row r="7" ht="28" customHeight="1">
      <c r="A7" s="23" t="n">
        <v>4</v>
      </c>
      <c r="B7" s="23" t="inlineStr">
        <is>
          <t>E4</t>
        </is>
      </c>
      <c r="C7" s="23" t="inlineStr">
        <is>
          <t>2026.08</t>
        </is>
      </c>
      <c r="D7" s="22" t="inlineStr">
        <is>
          <t>启动</t>
        </is>
      </c>
      <c r="E7" s="9" t="inlineStr">
        <is>
          <t>政府部门与载体沟通日</t>
        </is>
      </c>
      <c r="F7" s="9" t="inlineStr">
        <is>
          <t>确认「科技赋能建筑」政策包装</t>
        </is>
      </c>
      <c r="G7" s="23" t="inlineStr"/>
      <c r="H7" s="23" t="n">
        <v>30</v>
      </c>
      <c r="I7" s="23" t="inlineStr">
        <is>
          <t>≤30%</t>
        </is>
      </c>
      <c r="J7" s="9" t="inlineStr">
        <is>
          <t>服中心执行</t>
        </is>
      </c>
      <c r="K7" s="9" t="inlineStr">
        <is>
          <t>带客/回访</t>
        </is>
      </c>
      <c r="L7" s="23" t="inlineStr">
        <is>
          <t>未启动</t>
        </is>
      </c>
      <c r="M7" s="23" t="inlineStr"/>
      <c r="N7" s="9" t="inlineStr"/>
    </row>
    <row r="8" ht="28" customHeight="1">
      <c r="A8" s="21" t="n">
        <v>5</v>
      </c>
      <c r="B8" s="21" t="inlineStr">
        <is>
          <t>E5</t>
        </is>
      </c>
      <c r="C8" s="21" t="inlineStr">
        <is>
          <t>2026.08</t>
        </is>
      </c>
      <c r="D8" s="22" t="inlineStr">
        <is>
          <t>启动</t>
        </is>
      </c>
      <c r="E8" s="11" t="inlineStr">
        <is>
          <t>进博绿色建造成果承接交流日</t>
        </is>
      </c>
      <c r="F8" s="11" t="inlineStr">
        <is>
          <t>借势施工机器人 + 绿色低碳，不替代年包出海</t>
        </is>
      </c>
      <c r="G8" s="21" t="inlineStr"/>
      <c r="H8" s="21" t="n">
        <v>30</v>
      </c>
      <c r="I8" s="21" t="inlineStr">
        <is>
          <t>≤30%</t>
        </is>
      </c>
      <c r="J8" s="11" t="inlineStr">
        <is>
          <t>服中心执行</t>
        </is>
      </c>
      <c r="K8" s="11" t="inlineStr">
        <is>
          <t>带客/回访</t>
        </is>
      </c>
      <c r="L8" s="21" t="inlineStr">
        <is>
          <t>未启动</t>
        </is>
      </c>
      <c r="M8" s="21" t="inlineStr"/>
      <c r="N8" s="11" t="inlineStr"/>
    </row>
    <row r="9" ht="28" customHeight="1">
      <c r="A9" s="23" t="n">
        <v>6</v>
      </c>
      <c r="B9" s="23" t="inlineStr">
        <is>
          <t>A1</t>
        </is>
      </c>
      <c r="C9" s="23" t="inlineStr">
        <is>
          <t>2026.09</t>
        </is>
      </c>
      <c r="D9" s="24" t="inlineStr">
        <is>
          <t>智能建造</t>
        </is>
      </c>
      <c r="E9" s="9" t="inlineStr">
        <is>
          <t>施工机器人与智能装备一日营</t>
        </is>
      </c>
      <c r="F9" s="9" t="inlineStr">
        <is>
          <t>3F 能力线：装备可见、可体验</t>
        </is>
      </c>
      <c r="G9" s="23" t="inlineStr"/>
      <c r="H9" s="23" t="n">
        <v>30</v>
      </c>
      <c r="I9" s="23" t="inlineStr">
        <is>
          <t>≤30%</t>
        </is>
      </c>
      <c r="J9" s="9" t="inlineStr">
        <is>
          <t>服中心执行</t>
        </is>
      </c>
      <c r="K9" s="9" t="inlineStr">
        <is>
          <t>带客/回访</t>
        </is>
      </c>
      <c r="L9" s="23" t="inlineStr">
        <is>
          <t>未启动</t>
        </is>
      </c>
      <c r="M9" s="23" t="inlineStr"/>
      <c r="N9" s="9" t="inlineStr"/>
    </row>
    <row r="10" ht="28" customHeight="1">
      <c r="A10" s="21" t="n">
        <v>7</v>
      </c>
      <c r="B10" s="21" t="inlineStr">
        <is>
          <t>C1</t>
        </is>
      </c>
      <c r="C10" s="21" t="inlineStr">
        <is>
          <t>2026.09</t>
        </is>
      </c>
      <c r="D10" s="25" t="inlineStr">
        <is>
          <t>出海准备</t>
        </is>
      </c>
      <c r="E10" s="11" t="inlineStr">
        <is>
          <t>东南亚模块化建筑案例沙龙（国内场）</t>
        </is>
      </c>
      <c r="F10" s="11" t="inlineStr">
        <is>
          <t>讲案例与供应链，不含领事</t>
        </is>
      </c>
      <c r="G10" s="21" t="inlineStr"/>
      <c r="H10" s="21" t="n">
        <v>30</v>
      </c>
      <c r="I10" s="21" t="inlineStr">
        <is>
          <t>≤30%</t>
        </is>
      </c>
      <c r="J10" s="11" t="inlineStr">
        <is>
          <t>服中心执行</t>
        </is>
      </c>
      <c r="K10" s="11" t="inlineStr">
        <is>
          <t>带客/回访</t>
        </is>
      </c>
      <c r="L10" s="21" t="inlineStr">
        <is>
          <t>未启动</t>
        </is>
      </c>
      <c r="M10" s="21" t="inlineStr"/>
      <c r="N10" s="11" t="inlineStr"/>
    </row>
    <row r="11" ht="28" customHeight="1">
      <c r="A11" s="23" t="n">
        <v>8</v>
      </c>
      <c r="B11" s="23" t="inlineStr">
        <is>
          <t>B1</t>
        </is>
      </c>
      <c r="C11" s="23" t="inlineStr">
        <is>
          <t>2026.09</t>
        </is>
      </c>
      <c r="D11" s="26" t="inlineStr">
        <is>
          <t>政策</t>
        </is>
      </c>
      <c r="E11" s="9" t="inlineStr">
        <is>
          <t>智能建造企业高新认定路径沙龙</t>
        </is>
      </c>
      <c r="F11" s="9" t="inlineStr">
        <is>
          <t>经营范围写入智能施工 / 绿色节能</t>
        </is>
      </c>
      <c r="G11" s="23" t="inlineStr"/>
      <c r="H11" s="23" t="n">
        <v>30</v>
      </c>
      <c r="I11" s="23" t="inlineStr">
        <is>
          <t>≤30%</t>
        </is>
      </c>
      <c r="J11" s="9" t="inlineStr">
        <is>
          <t>服中心执行</t>
        </is>
      </c>
      <c r="K11" s="9" t="inlineStr">
        <is>
          <t>带客/回访</t>
        </is>
      </c>
      <c r="L11" s="23" t="inlineStr">
        <is>
          <t>未启动</t>
        </is>
      </c>
      <c r="M11" s="23" t="inlineStr"/>
      <c r="N11" s="9" t="inlineStr"/>
    </row>
    <row r="12" ht="28" customHeight="1">
      <c r="A12" s="21" t="n">
        <v>9</v>
      </c>
      <c r="B12" s="21" t="inlineStr">
        <is>
          <t>A2</t>
        </is>
      </c>
      <c r="C12" s="21" t="inlineStr">
        <is>
          <t>2026.10</t>
        </is>
      </c>
      <c r="D12" s="24" t="inlineStr">
        <is>
          <t>智能建造</t>
        </is>
      </c>
      <c r="E12" s="11" t="inlineStr">
        <is>
          <t>模块化 / 装配式建筑工作坊</t>
        </is>
      </c>
      <c r="F12" s="11" t="inlineStr">
        <is>
          <t>可出口产品与就地建厂逻辑</t>
        </is>
      </c>
      <c r="G12" s="21" t="inlineStr"/>
      <c r="H12" s="21" t="n">
        <v>30</v>
      </c>
      <c r="I12" s="21" t="inlineStr">
        <is>
          <t>≤30%</t>
        </is>
      </c>
      <c r="J12" s="11" t="inlineStr">
        <is>
          <t>服中心执行</t>
        </is>
      </c>
      <c r="K12" s="11" t="inlineStr">
        <is>
          <t>带客/回访</t>
        </is>
      </c>
      <c r="L12" s="21" t="inlineStr">
        <is>
          <t>未启动</t>
        </is>
      </c>
      <c r="M12" s="21" t="inlineStr"/>
      <c r="N12" s="11" t="inlineStr"/>
    </row>
    <row r="13" ht="28" customHeight="1">
      <c r="A13" s="23" t="n">
        <v>10</v>
      </c>
      <c r="B13" s="23" t="inlineStr">
        <is>
          <t>D1</t>
        </is>
      </c>
      <c r="C13" s="23" t="inlineStr">
        <is>
          <t>2026.10</t>
        </is>
      </c>
      <c r="D13" s="27" t="inlineStr">
        <is>
          <t>展示</t>
        </is>
      </c>
      <c r="E13" s="9" t="inlineStr">
        <is>
          <t>500㎡ 出海展厅共创工作坊</t>
        </is>
      </c>
      <c r="F13" s="9" t="inlineStr">
        <is>
          <t>把展陈从概念落到平面</t>
        </is>
      </c>
      <c r="G13" s="23" t="inlineStr"/>
      <c r="H13" s="23" t="n">
        <v>30</v>
      </c>
      <c r="I13" s="23" t="inlineStr">
        <is>
          <t>≤30%</t>
        </is>
      </c>
      <c r="J13" s="9" t="inlineStr">
        <is>
          <t>服中心执行</t>
        </is>
      </c>
      <c r="K13" s="9" t="inlineStr">
        <is>
          <t>带客/回访</t>
        </is>
      </c>
      <c r="L13" s="23" t="inlineStr">
        <is>
          <t>未启动</t>
        </is>
      </c>
      <c r="M13" s="23" t="inlineStr"/>
      <c r="N13" s="9" t="inlineStr"/>
    </row>
    <row r="14" ht="28" customHeight="1">
      <c r="A14" s="21" t="n">
        <v>11</v>
      </c>
      <c r="B14" s="21" t="inlineStr">
        <is>
          <t>B2</t>
        </is>
      </c>
      <c r="C14" s="21" t="inlineStr">
        <is>
          <t>2026.10</t>
        </is>
      </c>
      <c r="D14" s="26" t="inlineStr">
        <is>
          <t>政策</t>
        </is>
      </c>
      <c r="E14" s="11" t="inlineStr">
        <is>
          <t>创新券与数字化设计工具沙龙</t>
        </is>
      </c>
      <c r="F14" s="11" t="inlineStr">
        <is>
          <t>服中心作为服务机构的入口</t>
        </is>
      </c>
      <c r="G14" s="21" t="inlineStr"/>
      <c r="H14" s="21" t="n">
        <v>30</v>
      </c>
      <c r="I14" s="21" t="inlineStr">
        <is>
          <t>≤30%</t>
        </is>
      </c>
      <c r="J14" s="11" t="inlineStr">
        <is>
          <t>服中心执行</t>
        </is>
      </c>
      <c r="K14" s="11" t="inlineStr">
        <is>
          <t>带客/回访</t>
        </is>
      </c>
      <c r="L14" s="21" t="inlineStr">
        <is>
          <t>未启动</t>
        </is>
      </c>
      <c r="M14" s="21" t="inlineStr"/>
      <c r="N14" s="11" t="inlineStr"/>
    </row>
    <row r="15" ht="28" customHeight="1">
      <c r="A15" s="23" t="n">
        <v>12</v>
      </c>
      <c r="B15" s="23" t="inlineStr">
        <is>
          <t>A3</t>
        </is>
      </c>
      <c r="C15" s="23" t="inlineStr">
        <is>
          <t>2026.11</t>
        </is>
      </c>
      <c r="D15" s="24" t="inlineStr">
        <is>
          <t>智能建造</t>
        </is>
      </c>
      <c r="E15" s="9" t="inlineStr">
        <is>
          <t>绿色低碳与零碳工地实务营</t>
        </is>
      </c>
      <c r="F15" s="9" t="inlineStr">
        <is>
          <t>对接进博观察与越秀研学思路</t>
        </is>
      </c>
      <c r="G15" s="23" t="inlineStr"/>
      <c r="H15" s="23" t="n">
        <v>30</v>
      </c>
      <c r="I15" s="23" t="inlineStr">
        <is>
          <t>≤30%</t>
        </is>
      </c>
      <c r="J15" s="9" t="inlineStr">
        <is>
          <t>服中心执行</t>
        </is>
      </c>
      <c r="K15" s="9" t="inlineStr">
        <is>
          <t>带客/回访</t>
        </is>
      </c>
      <c r="L15" s="23" t="inlineStr">
        <is>
          <t>未启动</t>
        </is>
      </c>
      <c r="M15" s="23" t="inlineStr"/>
      <c r="N15" s="9" t="inlineStr"/>
    </row>
    <row r="16" ht="28" customHeight="1">
      <c r="A16" s="21" t="n">
        <v>13</v>
      </c>
      <c r="B16" s="21" t="inlineStr">
        <is>
          <t>B3</t>
        </is>
      </c>
      <c r="C16" s="21" t="inlineStr">
        <is>
          <t>2026.11</t>
        </is>
      </c>
      <c r="D16" s="26" t="inlineStr">
        <is>
          <t>政策</t>
        </is>
      </c>
      <c r="E16" s="11" t="inlineStr">
        <is>
          <t>YOUNG立方 · 智能建造政策沙龙</t>
        </is>
      </c>
      <c r="F16" s="11" t="inlineStr">
        <is>
          <t>活动经费申报的合规场次</t>
        </is>
      </c>
      <c r="G16" s="21" t="inlineStr"/>
      <c r="H16" s="21" t="n">
        <v>30</v>
      </c>
      <c r="I16" s="21" t="inlineStr">
        <is>
          <t>≤30%</t>
        </is>
      </c>
      <c r="J16" s="11" t="inlineStr">
        <is>
          <t>服中心执行</t>
        </is>
      </c>
      <c r="K16" s="11" t="inlineStr">
        <is>
          <t>带客/回访</t>
        </is>
      </c>
      <c r="L16" s="21" t="inlineStr">
        <is>
          <t>未启动</t>
        </is>
      </c>
      <c r="M16" s="21" t="inlineStr"/>
      <c r="N16" s="11" t="inlineStr"/>
    </row>
    <row r="17" ht="28" customHeight="1">
      <c r="A17" s="23" t="n">
        <v>14</v>
      </c>
      <c r="B17" s="23" t="inlineStr">
        <is>
          <t>A4</t>
        </is>
      </c>
      <c r="C17" s="23" t="inlineStr">
        <is>
          <t>2026.12</t>
        </is>
      </c>
      <c r="D17" s="24" t="inlineStr">
        <is>
          <t>智能建造</t>
        </is>
      </c>
      <c r="E17" s="9" t="inlineStr">
        <is>
          <t>智能测绘与数字设计对接</t>
        </is>
      </c>
      <c r="F17" s="9" t="inlineStr">
        <is>
          <t>同济设计资源协同，不替代复旦住房政策线</t>
        </is>
      </c>
      <c r="G17" s="23" t="inlineStr"/>
      <c r="H17" s="23" t="n">
        <v>30</v>
      </c>
      <c r="I17" s="23" t="inlineStr">
        <is>
          <t>≤30%</t>
        </is>
      </c>
      <c r="J17" s="9" t="inlineStr">
        <is>
          <t>服中心执行</t>
        </is>
      </c>
      <c r="K17" s="9" t="inlineStr">
        <is>
          <t>带客/回访</t>
        </is>
      </c>
      <c r="L17" s="23" t="inlineStr">
        <is>
          <t>未启动</t>
        </is>
      </c>
      <c r="M17" s="23" t="inlineStr"/>
      <c r="N17" s="9" t="inlineStr"/>
    </row>
    <row r="18" ht="28" customHeight="1">
      <c r="A18" s="21" t="n">
        <v>15</v>
      </c>
      <c r="B18" s="21" t="inlineStr">
        <is>
          <t>D2</t>
        </is>
      </c>
      <c r="C18" s="21" t="inlineStr">
        <is>
          <t>2026.12</t>
        </is>
      </c>
      <c r="D18" s="27" t="inlineStr">
        <is>
          <t>展示</t>
        </is>
      </c>
      <c r="E18" s="11" t="inlineStr">
        <is>
          <t>行业白皮书开题沙龙</t>
        </is>
      </c>
      <c r="F18" s="11" t="inlineStr">
        <is>
          <t>联合复旦形成可传播文本</t>
        </is>
      </c>
      <c r="G18" s="21" t="inlineStr"/>
      <c r="H18" s="21" t="n">
        <v>30</v>
      </c>
      <c r="I18" s="21" t="inlineStr">
        <is>
          <t>≤30%</t>
        </is>
      </c>
      <c r="J18" s="11" t="inlineStr">
        <is>
          <t>服中心执行</t>
        </is>
      </c>
      <c r="K18" s="11" t="inlineStr">
        <is>
          <t>带客/回访</t>
        </is>
      </c>
      <c r="L18" s="21" t="inlineStr">
        <is>
          <t>未启动</t>
        </is>
      </c>
      <c r="M18" s="21" t="inlineStr"/>
      <c r="N18" s="11" t="inlineStr"/>
    </row>
    <row r="19" ht="28" customHeight="1">
      <c r="A19" s="23" t="n">
        <v>16</v>
      </c>
      <c r="B19" s="23" t="inlineStr">
        <is>
          <t>F1</t>
        </is>
      </c>
      <c r="C19" s="23" t="inlineStr">
        <is>
          <t>2026.12</t>
        </is>
      </c>
      <c r="D19" s="28" t="inlineStr">
        <is>
          <t>收官</t>
        </is>
      </c>
      <c r="E19" s="9" t="inlineStr">
        <is>
          <t>智能建造年度 Demo Day</t>
        </is>
      </c>
      <c r="F19" s="9" t="inlineStr">
        <is>
          <t>年度成果可核验</t>
        </is>
      </c>
      <c r="G19" s="23" t="inlineStr"/>
      <c r="H19" s="23" t="n">
        <v>30</v>
      </c>
      <c r="I19" s="23" t="inlineStr">
        <is>
          <t>≤30%</t>
        </is>
      </c>
      <c r="J19" s="9" t="inlineStr">
        <is>
          <t>服中心执行</t>
        </is>
      </c>
      <c r="K19" s="9" t="inlineStr">
        <is>
          <t>带客/回访</t>
        </is>
      </c>
      <c r="L19" s="23" t="inlineStr">
        <is>
          <t>未启动</t>
        </is>
      </c>
      <c r="M19" s="23" t="inlineStr"/>
      <c r="N19" s="9" t="inlineStr"/>
    </row>
    <row r="20" ht="28" customHeight="1">
      <c r="A20" s="21" t="n">
        <v>17</v>
      </c>
      <c r="B20" s="21" t="inlineStr">
        <is>
          <t>A5</t>
        </is>
      </c>
      <c r="C20" s="21" t="inlineStr">
        <is>
          <t>2027.01</t>
        </is>
      </c>
      <c r="D20" s="24" t="inlineStr">
        <is>
          <t>智能建造</t>
        </is>
      </c>
      <c r="E20" s="11" t="inlineStr">
        <is>
          <t>建筑机器人场景体验日</t>
        </is>
      </c>
      <c r="F20" s="11" t="inlineStr">
        <is>
          <t>3F 体验与招商转化</t>
        </is>
      </c>
      <c r="G20" s="21" t="inlineStr"/>
      <c r="H20" s="21" t="n">
        <v>30</v>
      </c>
      <c r="I20" s="21" t="inlineStr">
        <is>
          <t>≤30%</t>
        </is>
      </c>
      <c r="J20" s="11" t="inlineStr">
        <is>
          <t>服中心执行</t>
        </is>
      </c>
      <c r="K20" s="11" t="inlineStr">
        <is>
          <t>带客/回访</t>
        </is>
      </c>
      <c r="L20" s="21" t="inlineStr">
        <is>
          <t>未启动</t>
        </is>
      </c>
      <c r="M20" s="21" t="inlineStr"/>
      <c r="N20" s="11" t="inlineStr"/>
    </row>
    <row r="21" ht="28" customHeight="1">
      <c r="A21" s="23" t="n">
        <v>18</v>
      </c>
      <c r="B21" s="23" t="inlineStr">
        <is>
          <t>C2</t>
        </is>
      </c>
      <c r="C21" s="23" t="inlineStr">
        <is>
          <t>2027.01</t>
        </is>
      </c>
      <c r="D21" s="25" t="inlineStr">
        <is>
          <t>出海准备</t>
        </is>
      </c>
      <c r="E21" s="9" t="inlineStr">
        <is>
          <t>高校成果转化 · 智能建造</t>
        </is>
      </c>
      <c r="F21" s="9" t="inlineStr">
        <is>
          <t>复旦住房政策 + 同济设计双校协同</t>
        </is>
      </c>
      <c r="G21" s="23" t="inlineStr"/>
      <c r="H21" s="23" t="n">
        <v>30</v>
      </c>
      <c r="I21" s="23" t="inlineStr">
        <is>
          <t>≤30%</t>
        </is>
      </c>
      <c r="J21" s="9" t="inlineStr">
        <is>
          <t>服中心执行</t>
        </is>
      </c>
      <c r="K21" s="9" t="inlineStr">
        <is>
          <t>带客/回访</t>
        </is>
      </c>
      <c r="L21" s="23" t="inlineStr">
        <is>
          <t>未启动</t>
        </is>
      </c>
      <c r="M21" s="23" t="inlineStr"/>
      <c r="N21" s="9" t="inlineStr"/>
    </row>
    <row r="22" ht="28" customHeight="1">
      <c r="A22" s="21" t="n">
        <v>19</v>
      </c>
      <c r="B22" s="21" t="inlineStr">
        <is>
          <t>B4</t>
        </is>
      </c>
      <c r="C22" s="21" t="inlineStr">
        <is>
          <t>2027.02</t>
        </is>
      </c>
      <c r="D22" s="26" t="inlineStr">
        <is>
          <t>政策</t>
        </is>
      </c>
      <c r="E22" s="11" t="inlineStr">
        <is>
          <t>高企认定冲刺（智能施工专场）</t>
        </is>
      </c>
      <c r="F22" s="11" t="inlineStr">
        <is>
          <t>企业自行申报，服中心辅导不承诺获批</t>
        </is>
      </c>
      <c r="G22" s="21" t="inlineStr"/>
      <c r="H22" s="21" t="n">
        <v>30</v>
      </c>
      <c r="I22" s="21" t="inlineStr">
        <is>
          <t>≤30%</t>
        </is>
      </c>
      <c r="J22" s="11" t="inlineStr">
        <is>
          <t>服中心执行</t>
        </is>
      </c>
      <c r="K22" s="11" t="inlineStr">
        <is>
          <t>带客/回访</t>
        </is>
      </c>
      <c r="L22" s="21" t="inlineStr">
        <is>
          <t>未启动</t>
        </is>
      </c>
      <c r="M22" s="21" t="inlineStr"/>
      <c r="N22" s="11" t="inlineStr"/>
    </row>
    <row r="23" ht="28" customHeight="1">
      <c r="A23" s="23" t="n">
        <v>20</v>
      </c>
      <c r="B23" s="23" t="inlineStr">
        <is>
          <t>D3</t>
        </is>
      </c>
      <c r="C23" s="23" t="inlineStr">
        <is>
          <t>2027.02</t>
        </is>
      </c>
      <c r="D23" s="27" t="inlineStr">
        <is>
          <t>展示</t>
        </is>
      </c>
      <c r="E23" s="9" t="inlineStr">
        <is>
          <t>零碳体验馆研学方案工作坊</t>
        </is>
      </c>
      <c r="F23" s="9" t="inlineStr">
        <is>
          <t>中小学生研学运营模型</t>
        </is>
      </c>
      <c r="G23" s="23" t="inlineStr"/>
      <c r="H23" s="23" t="n">
        <v>30</v>
      </c>
      <c r="I23" s="23" t="inlineStr">
        <is>
          <t>≤30%</t>
        </is>
      </c>
      <c r="J23" s="9" t="inlineStr">
        <is>
          <t>服中心执行</t>
        </is>
      </c>
      <c r="K23" s="9" t="inlineStr">
        <is>
          <t>带客/回访</t>
        </is>
      </c>
      <c r="L23" s="23" t="inlineStr">
        <is>
          <t>未启动</t>
        </is>
      </c>
      <c r="M23" s="23" t="inlineStr"/>
      <c r="N23" s="9" t="inlineStr"/>
    </row>
    <row r="24" ht="28" customHeight="1">
      <c r="A24" s="21" t="n">
        <v>21</v>
      </c>
      <c r="B24" s="21" t="inlineStr">
        <is>
          <t>A6</t>
        </is>
      </c>
      <c r="C24" s="21" t="inlineStr">
        <is>
          <t>2027.03</t>
        </is>
      </c>
      <c r="D24" s="24" t="inlineStr">
        <is>
          <t>智能建造</t>
        </is>
      </c>
      <c r="E24" s="11" t="inlineStr">
        <is>
          <t>建造科技黑客松（OPC 超级个体）</t>
        </is>
      </c>
      <c r="F24" s="11" t="inlineStr">
        <is>
          <t>保留科技社群带流，服务于新赛道</t>
        </is>
      </c>
      <c r="G24" s="21" t="inlineStr"/>
      <c r="H24" s="21" t="n">
        <v>30</v>
      </c>
      <c r="I24" s="21" t="inlineStr">
        <is>
          <t>≤30%</t>
        </is>
      </c>
      <c r="J24" s="11" t="inlineStr">
        <is>
          <t>服中心执行</t>
        </is>
      </c>
      <c r="K24" s="11" t="inlineStr">
        <is>
          <t>带客/回访</t>
        </is>
      </c>
      <c r="L24" s="21" t="inlineStr">
        <is>
          <t>未启动</t>
        </is>
      </c>
      <c r="M24" s="21" t="inlineStr"/>
      <c r="N24" s="11" t="inlineStr"/>
    </row>
    <row r="25" ht="28" customHeight="1">
      <c r="A25" s="23" t="n">
        <v>22</v>
      </c>
      <c r="B25" s="23" t="inlineStr">
        <is>
          <t>C3</t>
        </is>
      </c>
      <c r="C25" s="23" t="inlineStr">
        <is>
          <t>2027.03</t>
        </is>
      </c>
      <c r="D25" s="25" t="inlineStr">
        <is>
          <t>出海准备</t>
        </is>
      </c>
      <c r="E25" s="9" t="inlineStr">
        <is>
          <t>华东智能设计产业集群对接</t>
        </is>
      </c>
      <c r="F25" s="9" t="inlineStr">
        <is>
          <t>华东产能与设计优势</t>
        </is>
      </c>
      <c r="G25" s="23" t="inlineStr"/>
      <c r="H25" s="23" t="n">
        <v>30</v>
      </c>
      <c r="I25" s="23" t="inlineStr">
        <is>
          <t>≤30%</t>
        </is>
      </c>
      <c r="J25" s="9" t="inlineStr">
        <is>
          <t>服中心执行</t>
        </is>
      </c>
      <c r="K25" s="9" t="inlineStr">
        <is>
          <t>带客/回访</t>
        </is>
      </c>
      <c r="L25" s="23" t="inlineStr">
        <is>
          <t>未启动</t>
        </is>
      </c>
      <c r="M25" s="23" t="inlineStr"/>
      <c r="N25" s="9" t="inlineStr"/>
    </row>
    <row r="26" ht="28" customHeight="1">
      <c r="A26" s="21" t="n">
        <v>23</v>
      </c>
      <c r="B26" s="21" t="inlineStr">
        <is>
          <t>F2</t>
        </is>
      </c>
      <c r="C26" s="21" t="inlineStr">
        <is>
          <t>2027.03</t>
        </is>
      </c>
      <c r="D26" s="28" t="inlineStr">
        <is>
          <t>收官</t>
        </is>
      </c>
      <c r="E26" s="11" t="inlineStr">
        <is>
          <t>通往海外订单季度圆桌（国内）</t>
        </is>
      </c>
      <c r="F26" s="11" t="inlineStr">
        <is>
          <t>订单逻辑研讨，领事另计价</t>
        </is>
      </c>
      <c r="G26" s="21" t="inlineStr"/>
      <c r="H26" s="21" t="n">
        <v>30</v>
      </c>
      <c r="I26" s="21" t="inlineStr">
        <is>
          <t>≤30%</t>
        </is>
      </c>
      <c r="J26" s="11" t="inlineStr">
        <is>
          <t>服中心执行</t>
        </is>
      </c>
      <c r="K26" s="11" t="inlineStr">
        <is>
          <t>带客/回访</t>
        </is>
      </c>
      <c r="L26" s="21" t="inlineStr">
        <is>
          <t>未启动</t>
        </is>
      </c>
      <c r="M26" s="21" t="inlineStr"/>
      <c r="N26" s="11" t="inlineStr"/>
    </row>
    <row r="27" ht="28" customHeight="1">
      <c r="A27" s="23" t="n">
        <v>24</v>
      </c>
      <c r="B27" s="23" t="inlineStr">
        <is>
          <t>C4</t>
        </is>
      </c>
      <c r="C27" s="23" t="inlineStr">
        <is>
          <t>2027.04</t>
        </is>
      </c>
      <c r="D27" s="25" t="inlineStr">
        <is>
          <t>出海准备</t>
        </is>
      </c>
      <c r="E27" s="9" t="inlineStr">
        <is>
          <t>华南制造基地联动对接</t>
        </is>
      </c>
      <c r="F27" s="9" t="inlineStr">
        <is>
          <t>华东设计 × 华南制造</t>
        </is>
      </c>
      <c r="G27" s="23" t="inlineStr"/>
      <c r="H27" s="23" t="n">
        <v>30</v>
      </c>
      <c r="I27" s="23" t="inlineStr">
        <is>
          <t>≤30%</t>
        </is>
      </c>
      <c r="J27" s="9" t="inlineStr">
        <is>
          <t>服中心执行</t>
        </is>
      </c>
      <c r="K27" s="9" t="inlineStr">
        <is>
          <t>带客/回访</t>
        </is>
      </c>
      <c r="L27" s="23" t="inlineStr">
        <is>
          <t>未启动</t>
        </is>
      </c>
      <c r="M27" s="23" t="inlineStr"/>
      <c r="N27" s="9" t="inlineStr"/>
    </row>
    <row r="28" ht="28" customHeight="1">
      <c r="A28" s="21" t="n">
        <v>25</v>
      </c>
      <c r="B28" s="21" t="inlineStr">
        <is>
          <t>D4</t>
        </is>
      </c>
      <c r="C28" s="21" t="inlineStr">
        <is>
          <t>2027.04</t>
        </is>
      </c>
      <c r="D28" s="27" t="inlineStr">
        <is>
          <t>展示</t>
        </is>
      </c>
      <c r="E28" s="11" t="inlineStr">
        <is>
          <t>新材料与绿色建材联展</t>
        </is>
      </c>
      <c r="F28" s="11" t="inlineStr">
        <is>
          <t>5F 展陈轮换</t>
        </is>
      </c>
      <c r="G28" s="21" t="inlineStr"/>
      <c r="H28" s="21" t="n">
        <v>30</v>
      </c>
      <c r="I28" s="21" t="inlineStr">
        <is>
          <t>≤30%</t>
        </is>
      </c>
      <c r="J28" s="11" t="inlineStr">
        <is>
          <t>服中心执行</t>
        </is>
      </c>
      <c r="K28" s="11" t="inlineStr">
        <is>
          <t>带客/回访</t>
        </is>
      </c>
      <c r="L28" s="21" t="inlineStr">
        <is>
          <t>未启动</t>
        </is>
      </c>
      <c r="M28" s="21" t="inlineStr"/>
      <c r="N28" s="11" t="inlineStr"/>
    </row>
    <row r="29" ht="28" customHeight="1">
      <c r="A29" s="23" t="n">
        <v>26</v>
      </c>
      <c r="B29" s="23" t="inlineStr">
        <is>
          <t>C5</t>
        </is>
      </c>
      <c r="C29" s="23" t="inlineStr">
        <is>
          <t>2027.05</t>
        </is>
      </c>
      <c r="D29" s="25" t="inlineStr">
        <is>
          <t>出海准备</t>
        </is>
      </c>
      <c r="E29" s="9" t="inlineStr">
        <is>
          <t>专精特新 · 建造科技路演</t>
        </is>
      </c>
      <c r="F29" s="9" t="inlineStr">
        <is>
          <t>申报奖项节奏的企业侧入口</t>
        </is>
      </c>
      <c r="G29" s="23" t="inlineStr"/>
      <c r="H29" s="23" t="n">
        <v>30</v>
      </c>
      <c r="I29" s="23" t="inlineStr">
        <is>
          <t>≤30%</t>
        </is>
      </c>
      <c r="J29" s="9" t="inlineStr">
        <is>
          <t>服中心执行</t>
        </is>
      </c>
      <c r="K29" s="9" t="inlineStr">
        <is>
          <t>带客/回访</t>
        </is>
      </c>
      <c r="L29" s="23" t="inlineStr">
        <is>
          <t>未启动</t>
        </is>
      </c>
      <c r="M29" s="23" t="inlineStr"/>
      <c r="N29" s="9" t="inlineStr"/>
    </row>
    <row r="30" ht="28" customHeight="1">
      <c r="A30" s="21" t="n">
        <v>27</v>
      </c>
      <c r="B30" s="21" t="inlineStr">
        <is>
          <t>D5</t>
        </is>
      </c>
      <c r="C30" s="21" t="inlineStr">
        <is>
          <t>2027.05</t>
        </is>
      </c>
      <c r="D30" s="27" t="inlineStr">
        <is>
          <t>展示</t>
        </is>
      </c>
      <c r="E30" s="11" t="inlineStr">
        <is>
          <t>展厅内容迭代与市集体验日</t>
        </is>
      </c>
      <c r="F30" s="11" t="inlineStr">
        <is>
          <t>人气场，≤30 人核验口径</t>
        </is>
      </c>
      <c r="G30" s="21" t="inlineStr"/>
      <c r="H30" s="21" t="n">
        <v>30</v>
      </c>
      <c r="I30" s="21" t="inlineStr">
        <is>
          <t>≤30%</t>
        </is>
      </c>
      <c r="J30" s="11" t="inlineStr">
        <is>
          <t>服中心执行</t>
        </is>
      </c>
      <c r="K30" s="11" t="inlineStr">
        <is>
          <t>带客/回访</t>
        </is>
      </c>
      <c r="L30" s="21" t="inlineStr">
        <is>
          <t>未启动</t>
        </is>
      </c>
      <c r="M30" s="21" t="inlineStr"/>
      <c r="N30" s="11" t="inlineStr"/>
    </row>
    <row r="31" ht="28" customHeight="1">
      <c r="A31" s="23" t="n">
        <v>28</v>
      </c>
      <c r="B31" s="23" t="inlineStr">
        <is>
          <t>C6</t>
        </is>
      </c>
      <c r="C31" s="23" t="inlineStr">
        <is>
          <t>2027.06</t>
        </is>
      </c>
      <c r="D31" s="25" t="inlineStr">
        <is>
          <t>出海准备</t>
        </is>
      </c>
      <c r="E31" s="9" t="inlineStr">
        <is>
          <t>一带一路目标国产业地图沙龙</t>
        </is>
      </c>
      <c r="F31" s="9" t="inlineStr">
        <is>
          <t>城市化率&lt;50% 国家研究场</t>
        </is>
      </c>
      <c r="G31" s="23" t="inlineStr"/>
      <c r="H31" s="23" t="n">
        <v>30</v>
      </c>
      <c r="I31" s="23" t="inlineStr">
        <is>
          <t>≤30%</t>
        </is>
      </c>
      <c r="J31" s="9" t="inlineStr">
        <is>
          <t>服中心执行</t>
        </is>
      </c>
      <c r="K31" s="9" t="inlineStr">
        <is>
          <t>带客/回访</t>
        </is>
      </c>
      <c r="L31" s="23" t="inlineStr">
        <is>
          <t>未启动</t>
        </is>
      </c>
      <c r="M31" s="23" t="inlineStr"/>
      <c r="N31" s="9" t="inlineStr"/>
    </row>
    <row r="32" ht="28" customHeight="1">
      <c r="A32" s="21" t="n">
        <v>29</v>
      </c>
      <c r="B32" s="21" t="inlineStr">
        <is>
          <t>A7</t>
        </is>
      </c>
      <c r="C32" s="21" t="inlineStr">
        <is>
          <t>2027.06</t>
        </is>
      </c>
      <c r="D32" s="24" t="inlineStr">
        <is>
          <t>智能建造</t>
        </is>
      </c>
      <c r="E32" s="11" t="inlineStr">
        <is>
          <t>智能建造与智能家居交叉应用营</t>
        </is>
      </c>
      <c r="F32" s="11" t="inlineStr">
        <is>
          <t>产品出口与场景验证</t>
        </is>
      </c>
      <c r="G32" s="21" t="inlineStr"/>
      <c r="H32" s="21" t="n">
        <v>30</v>
      </c>
      <c r="I32" s="21" t="inlineStr">
        <is>
          <t>≤30%</t>
        </is>
      </c>
      <c r="J32" s="11" t="inlineStr">
        <is>
          <t>服中心执行</t>
        </is>
      </c>
      <c r="K32" s="11" t="inlineStr">
        <is>
          <t>带客/回访</t>
        </is>
      </c>
      <c r="L32" s="21" t="inlineStr">
        <is>
          <t>未启动</t>
        </is>
      </c>
      <c r="M32" s="21" t="inlineStr"/>
      <c r="N32" s="11" t="inlineStr"/>
    </row>
    <row r="33" ht="28" customHeight="1">
      <c r="A33" s="23" t="n">
        <v>30</v>
      </c>
      <c r="B33" s="23" t="inlineStr">
        <is>
          <t>F3</t>
        </is>
      </c>
      <c r="C33" s="23" t="inlineStr">
        <is>
          <t>2027.07</t>
        </is>
      </c>
      <c r="D33" s="28" t="inlineStr">
        <is>
          <t>收官</t>
        </is>
      </c>
      <c r="E33" s="9" t="inlineStr">
        <is>
          <t>年度收官 · 下一年度预热圆桌</t>
        </is>
      </c>
      <c r="F33" s="9" t="inlineStr">
        <is>
          <t>验收 30 场 + 预热 2027</t>
        </is>
      </c>
      <c r="G33" s="23" t="inlineStr"/>
      <c r="H33" s="23" t="n">
        <v>30</v>
      </c>
      <c r="I33" s="23" t="inlineStr">
        <is>
          <t>≤30%</t>
        </is>
      </c>
      <c r="J33" s="9" t="inlineStr">
        <is>
          <t>服中心执行</t>
        </is>
      </c>
      <c r="K33" s="9" t="inlineStr">
        <is>
          <t>带客/回访</t>
        </is>
      </c>
      <c r="L33" s="23" t="inlineStr">
        <is>
          <t>未启动</t>
        </is>
      </c>
      <c r="M33" s="23" t="inlineStr"/>
      <c r="N33" s="9" t="inlineStr"/>
    </row>
    <row r="35">
      <c r="A35" s="29" t="inlineStr">
        <is>
          <t>场次合计：30　｜　启动 5　智能建造 7　政策 4　出海准备 6　展示 5　收官 3　｜　另计价不计入本表</t>
        </is>
      </c>
    </row>
    <row r="37">
      <c r="A37" s="3" t="inlineStr">
        <is>
          <t>线条</t>
        </is>
      </c>
      <c r="B37" s="3" t="inlineStr">
        <is>
          <t>场次</t>
        </is>
      </c>
    </row>
    <row r="38">
      <c r="A38" s="30" t="inlineStr">
        <is>
          <t>启动 E</t>
        </is>
      </c>
      <c r="B38" s="31" t="n">
        <v>5</v>
      </c>
    </row>
    <row r="39">
      <c r="A39" s="30" t="inlineStr">
        <is>
          <t>智能建造 A</t>
        </is>
      </c>
      <c r="B39" s="31" t="n">
        <v>7</v>
      </c>
    </row>
    <row r="40">
      <c r="A40" s="30" t="inlineStr">
        <is>
          <t>政策 B</t>
        </is>
      </c>
      <c r="B40" s="31" t="n">
        <v>4</v>
      </c>
    </row>
    <row r="41">
      <c r="A41" s="30" t="inlineStr">
        <is>
          <t>出海准备 C</t>
        </is>
      </c>
      <c r="B41" s="31" t="n">
        <v>6</v>
      </c>
    </row>
    <row r="42">
      <c r="A42" s="30" t="inlineStr">
        <is>
          <t>展示 D</t>
        </is>
      </c>
      <c r="B42" s="31" t="n">
        <v>5</v>
      </c>
    </row>
    <row r="43">
      <c r="A43" s="30" t="inlineStr">
        <is>
          <t>收官 F</t>
        </is>
      </c>
      <c r="B43" s="31" t="n">
        <v>3</v>
      </c>
    </row>
  </sheetData>
  <mergeCells count="3">
    <mergeCell ref="A35:N35"/>
    <mergeCell ref="A2:N2"/>
    <mergeCell ref="A1:N1"/>
  </mergeCells>
  <dataValidations count="1">
    <dataValidation sqref="L4 L5 L6 L7 L8 L9 L10 L11 L12 L13 L14 L15 L16 L17 L18 L19 L20 L21 L22 L23 L24 L25 L26 L27 L28 L29 L30 L31 L32 L33" showDropDown="0" showInputMessage="0" showErrorMessage="0" allowBlank="1" type="list">
      <formula1>"未启动,策划中,名单确认,已执行,月报已交,延期,取消"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&amp;L机密 · 仅供同浦汇合作沟通，不作为对园区/投资方的承诺函&amp;R第 &amp;P 页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0" customWidth="1" min="3" max="3"/>
  </cols>
  <sheetData>
    <row r="1" ht="24" customHeight="1">
      <c r="A1" s="12" t="inlineStr">
        <is>
          <t>单场标准 / 转化 / 加购</t>
        </is>
      </c>
    </row>
    <row r="2" ht="32" customHeight="1">
      <c r="A2" s="13" t="inlineStr">
        <is>
          <t>T-14 策划邀约 → T-7 确认名单 → T-1 场地物料 → D 日执行 → T+1~7 建群 / 回访摘要</t>
        </is>
      </c>
    </row>
    <row r="3">
      <c r="A3" s="3" t="inlineStr">
        <is>
          <t>项目</t>
        </is>
      </c>
      <c r="B3" s="3" t="inlineStr">
        <is>
          <t>口径</t>
        </is>
      </c>
      <c r="C3" s="3" t="inlineStr">
        <is>
          <t>说明</t>
        </is>
      </c>
    </row>
    <row r="4" ht="32" customHeight="1">
      <c r="A4" s="20" t="inlineStr">
        <is>
          <t>人数</t>
        </is>
      </c>
      <c r="B4" s="16" t="inlineStr">
        <is>
          <t>每场 ≤30 人（可核验）</t>
        </is>
      </c>
      <c r="C4" s="16" t="inlineStr">
        <is>
          <t>签到表核验</t>
        </is>
      </c>
    </row>
    <row r="5" ht="32" customHeight="1">
      <c r="A5" s="8" t="inlineStr">
        <is>
          <t>负责人占比</t>
        </is>
      </c>
      <c r="B5" s="9" t="inlineStr">
        <is>
          <t>≤30%，不做 100% 承兑</t>
        </is>
      </c>
      <c r="C5" s="9" t="inlineStr">
        <is>
          <t>最后锁版，覆盖早期 50% 口径</t>
        </is>
      </c>
    </row>
    <row r="6" ht="32" customHeight="1">
      <c r="A6" s="20" t="inlineStr">
        <is>
          <t>全年触达</t>
        </is>
      </c>
      <c r="B6" s="16" t="inlineStr">
        <is>
          <t>全年约 600+ 人次</t>
        </is>
      </c>
      <c r="C6" s="16" t="inlineStr">
        <is>
          <t>30×约 20 人量级，不写千人场</t>
        </is>
      </c>
    </row>
    <row r="7" ht="32" customHeight="1">
      <c r="A7" s="8" t="inlineStr">
        <is>
          <t>执行节奏</t>
        </is>
      </c>
      <c r="B7" s="9" t="inlineStr">
        <is>
          <t>T-14 策划邀约 → T-7 确认名单 → T-1 场地物料 → D 日执行 → T+1~7 建群 / 回访摘要</t>
        </is>
      </c>
      <c r="C7" s="9" t="inlineStr">
        <is>
          <t>档期灵活，不是一个月一场</t>
        </is>
      </c>
    </row>
    <row r="8" ht="32" customHeight="1">
      <c r="A8" s="20" t="inlineStr">
        <is>
          <t>转化闭环</t>
        </is>
      </c>
      <c r="B8" s="16" t="inlineStr">
        <is>
          <t>到场 → 建群 → 看场 → 同浦汇回访 → 园区销售促成 → 复盘回流下一场</t>
        </is>
      </c>
      <c r="C8" s="16" t="inlineStr">
        <is>
          <t>活动不对租金去化对赌</t>
        </is>
      </c>
    </row>
    <row r="9" ht="32" customHeight="1">
      <c r="A9" s="8" t="inlineStr">
        <is>
          <t>交付物</t>
        </is>
      </c>
      <c r="B9" s="9" t="inlineStr">
        <is>
          <t>方案、签到、现场执行、月报；回访只交摘要知会，不要求园区逐户回访</t>
        </is>
      </c>
      <c r="C9" s="9" t="inlineStr">
        <is>
          <t>回访只交摘要</t>
        </is>
      </c>
    </row>
    <row r="11">
      <c r="A11" s="32" t="inlineStr">
        <is>
          <t>另计价（不进 30 万包）</t>
        </is>
      </c>
    </row>
    <row r="12">
      <c r="A12" s="33" t="inlineStr">
        <is>
          <t>项目</t>
        </is>
      </c>
      <c r="B12" s="33" t="inlineStr">
        <is>
          <t>内容</t>
        </is>
      </c>
      <c r="C12" s="33" t="inlineStr">
        <is>
          <t>计价原则</t>
        </is>
      </c>
    </row>
    <row r="13" ht="28" customHeight="1">
      <c r="A13" s="34" t="inlineStr">
        <is>
          <t>出海专题执行</t>
        </is>
      </c>
      <c r="B13" s="34" t="inlineStr">
        <is>
          <t>境外对接、订单撮合、海外考察</t>
        </is>
      </c>
      <c r="C13" s="34" t="inlineStr">
        <is>
          <t>10–20 万/场次或专项，一事一议</t>
        </is>
      </c>
    </row>
    <row r="14" ht="28" customHeight="1">
      <c r="A14" s="34" t="inlineStr">
        <is>
          <t>领事到访接待</t>
        </is>
      </c>
      <c r="B14" s="34" t="inlineStr">
        <is>
          <t>驻沪领馆匹配目标国</t>
        </is>
      </c>
      <c r="C14" s="34" t="inlineStr">
        <is>
          <t>按场次另计价，与挂牌分开</t>
        </is>
      </c>
    </row>
    <row r="15" ht="28" customHeight="1">
      <c r="A15" s="34" t="inlineStr">
        <is>
          <t>挂牌仪式</t>
        </is>
      </c>
      <c r="B15" s="34" t="inlineStr">
        <is>
          <t>服中心 / 复旦战略合作授牌</t>
        </is>
      </c>
      <c r="C15" s="34" t="inlineStr">
        <is>
          <t>3 万/个起，挂牌≠领事活动</t>
        </is>
      </c>
    </row>
    <row r="16" ht="28" customHeight="1">
      <c r="A16" s="34" t="inlineStr">
        <is>
          <t>战略签约大会升级</t>
        </is>
      </c>
      <c r="B16" s="34" t="inlineStr">
        <is>
          <t>媒体、会场、嘉宾规格升级</t>
        </is>
      </c>
      <c r="C16" s="34" t="inlineStr">
        <is>
          <t>在预热沙龙之外另报价</t>
        </is>
      </c>
    </row>
  </sheetData>
  <mergeCells count="3">
    <mergeCell ref="A1:C1"/>
    <mergeCell ref="A11:C11"/>
    <mergeCell ref="A2:C2"/>
  </mergeCells>
  <pageMargins left="0.75" right="0.75" top="1" bottom="1" header="0.5" footer="0.5"/>
  <pageSetup orientation="landscape" paperSize="9" fitToHeight="0" fitToWidth="1"/>
  <headerFooter>
    <oddHeader/>
    <oddFooter>&amp;L机密 · 仅供同浦汇合作沟通，不作为对园区/投资方的承诺函&amp;R第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6B5C"/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48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2" t="inlineStr">
        <is>
          <t>科技企业服务中心筹备 · 90 天</t>
        </is>
      </c>
    </row>
    <row r="2" ht="32" customHeight="1">
      <c r="A2" s="13" t="inlineStr">
        <is>
          <t>挂牌仪式另计价　｜　筹备不另向同浦汇收费</t>
        </is>
      </c>
    </row>
    <row r="3">
      <c r="A3" s="4" t="inlineStr">
        <is>
          <t>阶段</t>
        </is>
      </c>
      <c r="B3" s="4" t="inlineStr">
        <is>
          <t>窗口</t>
        </is>
      </c>
      <c r="C3" s="4" t="inlineStr">
        <is>
          <t>主题</t>
        </is>
      </c>
      <c r="D3" s="4" t="inlineStr">
        <is>
          <t>交付</t>
        </is>
      </c>
      <c r="E3" s="4" t="inlineStr">
        <is>
          <t>W1-2</t>
        </is>
      </c>
      <c r="F3" s="4" t="inlineStr">
        <is>
          <t>W3-6</t>
        </is>
      </c>
      <c r="G3" s="4" t="inlineStr">
        <is>
          <t>W7-10</t>
        </is>
      </c>
      <c r="H3" s="4" t="inlineStr">
        <is>
          <t>W11-12</t>
        </is>
      </c>
    </row>
    <row r="4" ht="40" customHeight="1">
      <c r="A4" s="21" t="inlineStr">
        <is>
          <t>1</t>
        </is>
      </c>
      <c r="B4" s="21" t="inlineStr">
        <is>
          <t>D0–15</t>
        </is>
      </c>
      <c r="C4" s="21" t="inlineStr">
        <is>
          <t>叙事与主体</t>
        </is>
      </c>
      <c r="D4" s="11" t="inlineStr">
        <is>
          <t>统一新赛道一页纸；确认挂牌主体、2 人配置、创智汇接待位 / 500㎡ 展区界面</t>
        </is>
      </c>
      <c r="E4" s="35" t="inlineStr">
        <is>
          <t>●</t>
        </is>
      </c>
      <c r="F4" s="36" t="inlineStr"/>
      <c r="G4" s="36" t="inlineStr"/>
      <c r="H4" s="36" t="inlineStr"/>
    </row>
    <row r="5" ht="40" customHeight="1">
      <c r="A5" s="23" t="inlineStr">
        <is>
          <t>2</t>
        </is>
      </c>
      <c r="B5" s="23" t="inlineStr">
        <is>
          <t>D16–45</t>
        </is>
      </c>
      <c r="C5" s="23" t="inlineStr">
        <is>
          <t>制度与申报</t>
        </is>
      </c>
      <c r="D5" s="9" t="inlineStr">
        <is>
          <t>服务制度、辅导 SOP、载体认定材料包、创新券机构申请、高新路径清单</t>
        </is>
      </c>
      <c r="E5" s="37" t="inlineStr"/>
      <c r="F5" s="35" t="inlineStr">
        <is>
          <t>●</t>
        </is>
      </c>
      <c r="G5" s="37" t="inlineStr"/>
      <c r="H5" s="37" t="inlineStr"/>
    </row>
    <row r="6" ht="40" customHeight="1">
      <c r="A6" s="21" t="inlineStr">
        <is>
          <t>3</t>
        </is>
      </c>
      <c r="B6" s="21" t="inlineStr">
        <is>
          <t>D46–75</t>
        </is>
      </c>
      <c r="C6" s="21" t="inlineStr">
        <is>
          <t>产品化</t>
        </is>
      </c>
      <c r="D6" s="11" t="inlineStr">
        <is>
          <t>展陈大纲、零碳研学模型、白皮书开题、首批可辅导企业名单</t>
        </is>
      </c>
      <c r="E6" s="36" t="inlineStr"/>
      <c r="F6" s="36" t="inlineStr"/>
      <c r="G6" s="35" t="inlineStr">
        <is>
          <t>●</t>
        </is>
      </c>
      <c r="H6" s="36" t="inlineStr"/>
    </row>
    <row r="7" ht="40" customHeight="1">
      <c r="A7" s="23" t="inlineStr">
        <is>
          <t>4</t>
        </is>
      </c>
      <c r="B7" s="23" t="inlineStr">
        <is>
          <t>D76–90</t>
        </is>
      </c>
      <c r="C7" s="23" t="inlineStr">
        <is>
          <t>可过审包</t>
        </is>
      </c>
      <c r="D7" s="9" t="inlineStr">
        <is>
          <t>给审核方工程部门的初步方案、挂牌仪式报价（另计价）、Q4 场次点火</t>
        </is>
      </c>
      <c r="E7" s="37" t="inlineStr"/>
      <c r="F7" s="37" t="inlineStr"/>
      <c r="G7" s="37" t="inlineStr"/>
      <c r="H7" s="35" t="inlineStr">
        <is>
          <t>●</t>
        </is>
      </c>
    </row>
    <row r="9">
      <c r="A9" s="38" t="inlineStr">
        <is>
          <t>前置条件（政策）</t>
        </is>
      </c>
    </row>
    <row r="10" ht="28" customHeight="1">
      <c r="A10" s="39" t="inlineStr">
        <is>
          <t>①项目成为经认定载体 / 成果转化服务平台　②服中心作为创新券服务机构</t>
        </is>
      </c>
    </row>
    <row r="12" ht="36" customHeight="1">
      <c r="A12" s="40" t="inlineStr">
        <is>
          <t>空间：创智汇（一期） 约 6600㎡　｜　3F 约 2850㎡　孵化器 + 办公　｜　5F 约 3670㎡　展厅 + 贸易　｜　专题 约 500㎡　建筑产业出海主题展示（会上口径）　｜　办公 3.3 元/㎡/天　物业 13.8 元/㎡/月</t>
        </is>
      </c>
    </row>
  </sheetData>
  <mergeCells count="5">
    <mergeCell ref="A9:H9"/>
    <mergeCell ref="A12:H12"/>
    <mergeCell ref="A2:H2"/>
    <mergeCell ref="A10:H10"/>
    <mergeCell ref="A1:H1"/>
  </mergeCells>
  <pageMargins left="0.75" right="0.75" top="1" bottom="1" header="0.5" footer="0.5"/>
  <pageSetup orientation="landscape" paperSize="9" fitToHeight="0" fitToWidth="1"/>
  <headerFooter>
    <oddHeader/>
    <oddFooter>&amp;L机密 · 仅供同浦汇合作沟通，不作为对园区/投资方的承诺函&amp;R第 &amp;P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24" customHeight="1">
      <c r="A1" s="12" t="inlineStr">
        <is>
          <t>商务付款与内部结算</t>
        </is>
      </c>
    </row>
    <row r="2" ht="32" customHeight="1">
      <c r="A2" s="13" t="inlineStr">
        <is>
          <t>对园区一口价　｜　内部两套分成互不混用</t>
        </is>
      </c>
    </row>
    <row r="3">
      <c r="A3" s="38" t="inlineStr">
        <is>
          <t>对园区 · 活动年包 30 万元拆分</t>
        </is>
      </c>
    </row>
    <row r="4">
      <c r="A4" s="3" t="inlineStr">
        <is>
          <t>节点</t>
        </is>
      </c>
      <c r="B4" s="3" t="inlineStr">
        <is>
          <t>比例</t>
        </is>
      </c>
      <c r="C4" s="3" t="inlineStr">
        <is>
          <t>金额（万元）</t>
        </is>
      </c>
      <c r="D4" s="3" t="inlineStr">
        <is>
          <t>累计（万元）</t>
        </is>
      </c>
      <c r="E4" s="3" t="inlineStr">
        <is>
          <t>挂钩条件</t>
        </is>
      </c>
      <c r="F4" s="3" t="inlineStr">
        <is>
          <t>备注</t>
        </is>
      </c>
    </row>
    <row r="5">
      <c r="A5" s="16" t="inlineStr">
        <is>
          <t>签约后 7 日内 · 启动款</t>
        </is>
      </c>
      <c r="B5" s="41" t="n">
        <v>0.5</v>
      </c>
      <c r="C5" s="42" t="n">
        <v>15</v>
      </c>
      <c r="D5" s="42" t="n">
        <v>15</v>
      </c>
      <c r="E5" s="16" t="inlineStr">
        <is>
          <t>启动策划与前 8 场</t>
        </is>
      </c>
      <c r="F5" s="16" t="inlineStr">
        <is>
          <t>到账后 T+14 交执行手册</t>
        </is>
      </c>
    </row>
    <row r="6">
      <c r="A6" s="9" t="inlineStr">
        <is>
          <t>2026 Q3</t>
        </is>
      </c>
      <c r="B6" s="43" t="n">
        <v>0.1</v>
      </c>
      <c r="C6" s="44" t="n">
        <v>3</v>
      </c>
      <c r="D6" s="44" t="n">
        <v>18</v>
      </c>
      <c r="E6" s="9" t="inlineStr">
        <is>
          <t>Q3 场次完成度 + 月报</t>
        </is>
      </c>
      <c r="F6" s="9" t="inlineStr">
        <is>
          <t>8–9 月为主</t>
        </is>
      </c>
    </row>
    <row r="7">
      <c r="A7" s="16" t="inlineStr">
        <is>
          <t>2026 Q4</t>
        </is>
      </c>
      <c r="B7" s="41" t="n">
        <v>0.1</v>
      </c>
      <c r="C7" s="42" t="n">
        <v>3</v>
      </c>
      <c r="D7" s="42" t="n">
        <v>21</v>
      </c>
      <c r="E7" s="16" t="inlineStr">
        <is>
          <t>Q4 场次完成度 + 月报</t>
        </is>
      </c>
      <c r="F7" s="16" t="inlineStr">
        <is>
          <t>10–12 月</t>
        </is>
      </c>
    </row>
    <row r="8">
      <c r="A8" s="9" t="inlineStr">
        <is>
          <t>2027 Q1</t>
        </is>
      </c>
      <c r="B8" s="43" t="n">
        <v>0.1</v>
      </c>
      <c r="C8" s="44" t="n">
        <v>3</v>
      </c>
      <c r="D8" s="44" t="n">
        <v>24</v>
      </c>
      <c r="E8" s="9" t="inlineStr">
        <is>
          <t>Q1 场次完成度 + 月报</t>
        </is>
      </c>
      <c r="F8" s="9" t="inlineStr">
        <is>
          <t>1–3 月</t>
        </is>
      </c>
    </row>
    <row r="9">
      <c r="A9" s="16" t="inlineStr">
        <is>
          <t>2027 Q2</t>
        </is>
      </c>
      <c r="B9" s="41" t="n">
        <v>0.1</v>
      </c>
      <c r="C9" s="42" t="n">
        <v>3</v>
      </c>
      <c r="D9" s="42" t="n">
        <v>27</v>
      </c>
      <c r="E9" s="16" t="inlineStr">
        <is>
          <t>Q2 场次完成度 + 月报</t>
        </is>
      </c>
      <c r="F9" s="16" t="inlineStr">
        <is>
          <t>4–6 月；7 月收官计入年终</t>
        </is>
      </c>
    </row>
    <row r="10">
      <c r="A10" s="9" t="inlineStr">
        <is>
          <t>年终收官尾款</t>
        </is>
      </c>
      <c r="B10" s="43" t="n">
        <v>0.1</v>
      </c>
      <c r="C10" s="44" t="n">
        <v>3</v>
      </c>
      <c r="D10" s="44" t="n">
        <v>30</v>
      </c>
      <c r="E10" s="9" t="inlineStr">
        <is>
          <t>30 场核验 + 年终月报</t>
        </is>
      </c>
      <c r="F10" s="9" t="inlineStr">
        <is>
          <t>完成后 15 日内</t>
        </is>
      </c>
    </row>
    <row r="11">
      <c r="A11" s="45" t="inlineStr">
        <is>
          <t>合计</t>
        </is>
      </c>
      <c r="B11" s="46" t="n">
        <v>1</v>
      </c>
      <c r="C11" s="47" t="n">
        <v>30</v>
      </c>
      <c r="D11" s="47" t="n">
        <v>30</v>
      </c>
      <c r="E11" s="47" t="n"/>
      <c r="F11" s="47" t="n"/>
    </row>
    <row r="13">
      <c r="A13" s="48" t="inlineStr">
        <is>
          <t>内部结算（建议，待同浦汇确认）</t>
        </is>
      </c>
    </row>
    <row r="14">
      <c r="A14" s="4" t="inlineStr">
        <is>
          <t>收入类型</t>
        </is>
      </c>
      <c r="B14" s="4" t="inlineStr">
        <is>
          <t>基数（万元）</t>
        </is>
      </c>
      <c r="C14" s="4" t="inlineStr">
        <is>
          <t>服中心</t>
        </is>
      </c>
      <c r="D14" s="4" t="inlineStr">
        <is>
          <t>同浦汇</t>
        </is>
      </c>
      <c r="E14" s="4" t="inlineStr">
        <is>
          <t>服中心金额</t>
        </is>
      </c>
      <c r="F14" s="4" t="inlineStr">
        <is>
          <t>同浦汇金额</t>
        </is>
      </c>
    </row>
    <row r="15">
      <c r="A15" s="11" t="inlineStr">
        <is>
          <t>活动年包</t>
        </is>
      </c>
      <c r="B15" s="49" t="n">
        <v>30</v>
      </c>
      <c r="C15" s="50" t="n">
        <v>0.7</v>
      </c>
      <c r="D15" s="50" t="n">
        <v>0.3</v>
      </c>
      <c r="E15" s="49">
        <f>B15*C15</f>
        <v/>
      </c>
      <c r="F15" s="49">
        <f>B15*D15</f>
        <v/>
      </c>
    </row>
    <row r="16">
      <c r="A16" s="11" t="inlineStr">
        <is>
          <t>政策收益（到账后，示例不作承诺）</t>
        </is>
      </c>
      <c r="B16" s="21" t="inlineStr"/>
      <c r="C16" s="50" t="n">
        <v>0.62</v>
      </c>
      <c r="D16" s="50" t="n">
        <v>0.38</v>
      </c>
      <c r="E16" s="21">
        <f>IF(B16="","待到账",B16*C16)</f>
        <v/>
      </c>
      <c r="F16" s="21">
        <f>IF(B16="","待到账",B16*D16)</f>
        <v/>
      </c>
    </row>
    <row r="17">
      <c r="A17" s="11" t="inlineStr">
        <is>
          <t>服中心筹备</t>
        </is>
      </c>
      <c r="B17" s="21" t="n">
        <v>0</v>
      </c>
      <c r="C17" s="21" t="inlineStr">
        <is>
          <t>不另收费</t>
        </is>
      </c>
      <c r="D17" s="21" t="inlineStr">
        <is>
          <t>—</t>
        </is>
      </c>
      <c r="E17" s="21" t="n">
        <v>0</v>
      </c>
      <c r="F17" s="21" t="n">
        <v>0</v>
      </c>
    </row>
    <row r="19" ht="32" customHeight="1">
      <c r="A19" s="51" t="inlineStr">
        <is>
          <t>招商佣金：2 个月净租金（首年不重复），由园区销售闭环触发，不计入上表。门票/赞助可冲抵活动成本，不替代 30 万打包价。</t>
        </is>
      </c>
    </row>
  </sheetData>
  <mergeCells count="5">
    <mergeCell ref="A2:F2"/>
    <mergeCell ref="A13:F13"/>
    <mergeCell ref="A19:F19"/>
    <mergeCell ref="A1:F1"/>
    <mergeCell ref="A3:F3"/>
  </mergeCells>
  <pageMargins left="0.75" right="0.75" top="1" bottom="1" header="0.5" footer="0.5"/>
  <pageSetup orientation="landscape" paperSize="9" fitToHeight="0" fitToWidth="1"/>
  <headerFooter>
    <oddHeader/>
    <oddFooter>&amp;L机密 · 仅供同浦汇合作沟通，不作为对园区/投资方的承诺函&amp;R第 &amp;P 页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8" customWidth="1" min="5" max="5"/>
    <col width="22" customWidth="1" min="6" max="6"/>
  </cols>
  <sheetData>
    <row r="1" ht="24" customHeight="1">
      <c r="A1" s="12" t="inlineStr">
        <is>
          <t>政策工具箱与分成（上限测算，非保证获批）</t>
        </is>
      </c>
    </row>
    <row r="2" ht="32" customHeight="1">
      <c r="A2" s="13" t="inlineStr">
        <is>
          <t>①项目成为经认定载体 / 成果转化服务平台　②服中心作为创新券服务机构</t>
        </is>
      </c>
    </row>
    <row r="3">
      <c r="A3" s="3" t="inlineStr">
        <is>
          <t>项目</t>
        </is>
      </c>
      <c r="B3" s="3" t="inlineStr">
        <is>
          <t>年上限（万元）</t>
        </is>
      </c>
      <c r="C3" s="3" t="inlineStr">
        <is>
          <t>十年（万元）</t>
        </is>
      </c>
      <c r="D3" s="3" t="inlineStr">
        <is>
          <t>同浦汇 38%</t>
        </is>
      </c>
      <c r="E3" s="3" t="inlineStr">
        <is>
          <t>服中心 62%</t>
        </is>
      </c>
      <c r="F3" s="3" t="inlineStr">
        <is>
          <t>备注</t>
        </is>
      </c>
    </row>
    <row r="4" ht="28" customHeight="1">
      <c r="A4" s="16" t="inlineStr">
        <is>
          <t>载体（平台 100+基地 10）</t>
        </is>
      </c>
      <c r="B4" s="52" t="n">
        <v>110</v>
      </c>
      <c r="C4" s="52" t="n">
        <v>1100</v>
      </c>
      <c r="D4" s="52" t="n">
        <v>418</v>
      </c>
      <c r="E4" s="52" t="n">
        <v>682</v>
      </c>
      <c r="F4" s="52" t="inlineStr">
        <is>
          <t>认定后才可申报</t>
        </is>
      </c>
    </row>
    <row r="5" ht="28" customHeight="1">
      <c r="A5" s="9" t="inlineStr">
        <is>
          <t>活动 YOUNG立方封顶</t>
        </is>
      </c>
      <c r="B5" s="23" t="n">
        <v>200</v>
      </c>
      <c r="C5" s="23" t="n">
        <v>2000</v>
      </c>
      <c r="D5" s="23" t="n">
        <v>760</v>
      </c>
      <c r="E5" s="23" t="n">
        <v>1240</v>
      </c>
      <c r="F5" s="23" t="inlineStr">
        <is>
          <t>投入×50%，年包 30 万大约对应约 15 万量级</t>
        </is>
      </c>
    </row>
    <row r="6" ht="28" customHeight="1">
      <c r="A6" s="16" t="inlineStr">
        <is>
          <t>申报奖项（培育节奏测算）</t>
        </is>
      </c>
      <c r="B6" s="52" t="inlineStr">
        <is>
          <t>80→530</t>
        </is>
      </c>
      <c r="C6" s="52" t="n">
        <v>3820</v>
      </c>
      <c r="D6" s="52" t="n">
        <v>1451.6</v>
      </c>
      <c r="E6" s="52" t="n">
        <v>2368.4</v>
      </c>
      <c r="F6" s="52" t="inlineStr">
        <is>
          <t>高企/专精特新/小巨人等，按到账</t>
        </is>
      </c>
    </row>
    <row r="7" ht="28" customHeight="1">
      <c r="A7" s="25" t="inlineStr">
        <is>
          <t>三部分合计上限</t>
        </is>
      </c>
      <c r="B7" s="3" t="inlineStr">
        <is>
          <t>390→840</t>
        </is>
      </c>
      <c r="C7" s="3" t="n">
        <v>6920</v>
      </c>
      <c r="D7" s="3" t="n">
        <v>2629.6</v>
      </c>
      <c r="E7" s="3" t="n">
        <v>4290.4</v>
      </c>
      <c r="F7" s="3" t="inlineStr">
        <is>
          <t>上限不是保底</t>
        </is>
      </c>
    </row>
    <row r="9">
      <c r="A9" s="53" t="inlineStr">
        <is>
          <t>服务业引导资金 ≤300 万为项目制，未计入十年年表。成功费以资金到账为准，不向企业承诺必然获批。</t>
        </is>
      </c>
    </row>
  </sheetData>
  <mergeCells count="3">
    <mergeCell ref="A2:F2"/>
    <mergeCell ref="A1:F1"/>
    <mergeCell ref="A9:F9"/>
  </mergeCells>
  <pageMargins left="0.75" right="0.75" top="1" bottom="1" header="0.5" footer="0.5"/>
  <pageSetup orientation="landscape" paperSize="9" fitToHeight="0" fitToWidth="1"/>
  <headerFooter>
    <oddHeader/>
    <oddFooter>&amp;L机密 · 仅供同浦汇合作沟通，不作为对园区/投资方的承诺函&amp;R第 &amp;P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8B2E2E"/>
    <outlinePr summaryBelow="1" summaryRight="1"/>
    <pageSetUpPr fitToPage="1"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4" customHeight="1">
      <c r="A1" s="12" t="inlineStr">
        <is>
          <t>不承诺清单与审核口径</t>
        </is>
      </c>
    </row>
    <row r="2" ht="32" customHeight="1">
      <c r="A2" s="13" t="inlineStr">
        <is>
          <t>转交审核方时建议原样保留第六章三句话</t>
        </is>
      </c>
    </row>
    <row r="3">
      <c r="A3" s="33" t="inlineStr">
        <is>
          <t>类型</t>
        </is>
      </c>
      <c r="B3" s="33" t="inlineStr">
        <is>
          <t>条文</t>
        </is>
      </c>
    </row>
    <row r="4" ht="28" customHeight="1">
      <c r="A4" s="3" t="inlineStr">
        <is>
          <t>不承接 / 不承诺</t>
        </is>
      </c>
      <c r="B4" s="11" t="inlineStr">
        <is>
          <t>不取代同浦汇作为园区产业招服入口与客户关系主人</t>
        </is>
      </c>
    </row>
    <row r="5" ht="28" customHeight="1">
      <c r="A5" s="3" t="inlineStr">
        <is>
          <t>不承接 / 不承诺</t>
        </is>
      </c>
      <c r="B5" s="9" t="inlineStr">
        <is>
          <t>不做租金去化对赌，也不做「必须租出去」的必要性条款（办公 3.3 元高于周边）</t>
        </is>
      </c>
    </row>
    <row r="6" ht="28" customHeight="1">
      <c r="A6" s="3" t="inlineStr">
        <is>
          <t>不承接 / 不承诺</t>
        </is>
      </c>
      <c r="B6" s="11" t="inlineStr">
        <is>
          <t>不承诺必带外资企业、不承诺领事必到场</t>
        </is>
      </c>
    </row>
    <row r="7" ht="28" customHeight="1">
      <c r="A7" s="3" t="inlineStr">
        <is>
          <t>不承接 / 不承诺</t>
        </is>
      </c>
      <c r="B7" s="9" t="inlineStr">
        <is>
          <t>不把出海专题、领事到访、挂牌仪式装进 30 万元年包</t>
        </is>
      </c>
    </row>
    <row r="8" ht="28" customHeight="1">
      <c r="A8" s="3" t="inlineStr">
        <is>
          <t>不承接 / 不承诺</t>
        </is>
      </c>
      <c r="B8" s="11" t="inlineStr">
        <is>
          <t>不向企业承诺高新/载体/补贴必然获批</t>
        </is>
      </c>
    </row>
    <row r="9" ht="28" customHeight="1">
      <c r="A9" s="3" t="inlineStr">
        <is>
          <t>不承接 / 不承诺</t>
        </is>
      </c>
      <c r="B9" s="9" t="inlineStr">
        <is>
          <t>园区销售促成仍由园区负责；我方与同浦汇负责带到场、建群、回访摘要</t>
        </is>
      </c>
    </row>
    <row r="10" ht="28" customHeight="1">
      <c r="A10" s="33" t="inlineStr">
        <is>
          <t>审核口径 1</t>
        </is>
      </c>
      <c r="B10" s="11" t="inlineStr">
        <is>
          <t>我们不是在招「付不起租金的施工队来租办公室」。</t>
        </is>
      </c>
    </row>
    <row r="11" ht="28" customHeight="1">
      <c r="A11" s="33" t="inlineStr">
        <is>
          <t>审核口径 2</t>
        </is>
      </c>
      <c r="B11" s="9" t="inlineStr">
        <is>
          <t>我们是在用科技企业服务中心，把智能建造产品、模块化建筑和绿色低碳能力组织成可出海的集群。</t>
        </is>
      </c>
    </row>
    <row r="12" ht="28" customHeight="1">
      <c r="A12" s="33" t="inlineStr">
        <is>
          <t>审核口径 3</t>
        </is>
      </c>
      <c r="B12" s="11" t="inlineStr">
        <is>
          <t>业主是杨浦科创集团；政府对接使用科技与产业服务口径，不以「中建」名义包装。</t>
        </is>
      </c>
    </row>
    <row r="13" ht="28" customHeight="1">
      <c r="A13" s="4" t="inlineStr">
        <is>
          <t>KPI 场次</t>
        </is>
      </c>
      <c r="B13" s="9" t="inlineStr">
        <is>
          <t>12 个月内完成 30 场可核验活动</t>
        </is>
      </c>
    </row>
    <row r="14" ht="28" customHeight="1">
      <c r="A14" s="4" t="inlineStr">
        <is>
          <t>KPI 人数</t>
        </is>
      </c>
      <c r="B14" s="11" t="inlineStr">
        <is>
          <t>单场签到 ≤30 人，全年触达约 600+</t>
        </is>
      </c>
    </row>
    <row r="15" ht="28" customHeight="1">
      <c r="A15" s="4" t="inlineStr">
        <is>
          <t>KPI 月报</t>
        </is>
      </c>
      <c r="B15" s="9" t="inlineStr">
        <is>
          <t>每月 1 份，含名单摘要、照片、线索条数</t>
        </is>
      </c>
    </row>
    <row r="16" ht="28" customHeight="1">
      <c r="A16" s="4" t="inlineStr">
        <is>
          <t>KPI 服中心</t>
        </is>
      </c>
      <c r="B16" s="11" t="inlineStr">
        <is>
          <t>90 天内完成挂牌材料与制度包，具备申报条件</t>
        </is>
      </c>
    </row>
    <row r="17" ht="28" customHeight="1">
      <c r="A17" s="4" t="inlineStr">
        <is>
          <t>KPI 转化</t>
        </is>
      </c>
      <c r="B17" s="9" t="inlineStr">
        <is>
          <t>每场输出看场线索，由同浦汇回访、园区促成；不设租金对赌</t>
        </is>
      </c>
    </row>
  </sheetData>
  <mergeCells count="2">
    <mergeCell ref="A2:B2"/>
    <mergeCell ref="A1:B1"/>
  </mergeCells>
  <pageMargins left="0.75" right="0.75" top="1" bottom="1" header="0.5" footer="0.5"/>
  <pageSetup orientation="landscape" paperSize="9" fitToHeight="0" fitToWidth="1"/>
  <headerFooter>
    <oddHeader/>
    <oddFooter>&amp;L机密 · 仅供同浦汇合作沟通，不作为对园区/投资方的承诺函&amp;R第 &amp;P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6" customWidth="1" min="3" max="3"/>
    <col width="28" customWidth="1" min="4" max="4"/>
  </cols>
  <sheetData>
    <row r="1" ht="24" customHeight="1">
      <c r="A1" s="12" t="inlineStr">
        <is>
          <t>请同浦汇确认</t>
        </is>
      </c>
    </row>
    <row r="2" ht="32" customHeight="1">
      <c r="A2" s="13" t="inlineStr">
        <is>
          <t>五件事确认后，启动款到账 14 日内交付细化执行手册</t>
        </is>
      </c>
    </row>
    <row r="3">
      <c r="A3" s="3" t="inlineStr">
        <is>
          <t>序号</t>
        </is>
      </c>
      <c r="B3" s="3" t="inlineStr">
        <is>
          <t>确认事项</t>
        </is>
      </c>
      <c r="C3" s="3" t="inlineStr">
        <is>
          <t>状态</t>
        </is>
      </c>
      <c r="D3" s="3" t="inlineStr">
        <is>
          <t>同浦汇意见</t>
        </is>
      </c>
    </row>
    <row r="4" ht="32" customHeight="1">
      <c r="A4" s="54" t="n">
        <v>1</v>
      </c>
      <c r="B4" s="55" t="inlineStr">
        <is>
          <t>同浦汇确认：承接范围（30 场 + 服中心筹备）与不承接边界无异议</t>
        </is>
      </c>
      <c r="C4" s="54" t="inlineStr">
        <is>
          <t>待确认</t>
        </is>
      </c>
      <c r="D4" s="54" t="inlineStr"/>
    </row>
    <row r="5" ht="32" customHeight="1">
      <c r="A5" s="54" t="n">
        <v>2</v>
      </c>
      <c r="B5" s="55" t="inlineStr">
        <is>
          <t>确认内部结算：活动年包 70/30、政策收益 38/62</t>
        </is>
      </c>
      <c r="C5" s="54" t="inlineStr">
        <is>
          <t>待确认</t>
        </is>
      </c>
      <c r="D5" s="54" t="inlineStr"/>
    </row>
    <row r="6" ht="32" customHeight="1">
      <c r="A6" s="54" t="n">
        <v>3</v>
      </c>
      <c r="B6" s="55" t="inlineStr">
        <is>
          <t>确认 8–9 月前 8 场档期与场地</t>
        </is>
      </c>
      <c r="C6" s="54" t="inlineStr">
        <is>
          <t>待确认</t>
        </is>
      </c>
      <c r="D6" s="54" t="inlineStr"/>
    </row>
    <row r="7" ht="32" customHeight="1">
      <c r="A7" s="54" t="n">
        <v>4</v>
      </c>
      <c r="B7" s="55" t="inlineStr">
        <is>
          <t>确认向审核方提交的业主口径（杨浦科创集团）与赛道叙事</t>
        </is>
      </c>
      <c r="C7" s="54" t="inlineStr">
        <is>
          <t>待确认</t>
        </is>
      </c>
      <c r="D7" s="54" t="inlineStr"/>
    </row>
    <row r="8" ht="32" customHeight="1">
      <c r="A8" s="54" t="n">
        <v>5</v>
      </c>
      <c r="B8" s="55" t="inlineStr">
        <is>
          <t>签约后 7 日内启动款到位，T+14 交付细化执行手册</t>
        </is>
      </c>
      <c r="C8" s="54" t="inlineStr">
        <is>
          <t>待确认</t>
        </is>
      </c>
      <c r="D8" s="54" t="inlineStr"/>
    </row>
    <row r="10">
      <c r="A10" s="56" t="inlineStr">
        <is>
          <t>联系人：高辰辰　15339617481　产业招服　｜　我方：上海市杨浦区科技企业服务中心　｜　2026年9月1日</t>
        </is>
      </c>
    </row>
  </sheetData>
  <mergeCells count="3">
    <mergeCell ref="A1:D1"/>
    <mergeCell ref="A10:D10"/>
    <mergeCell ref="A2:D2"/>
  </mergeCells>
  <dataValidations count="1">
    <dataValidation sqref="C4 C5 C6 C7 C8" showDropDown="0" showInputMessage="0" showErrorMessage="0" allowBlank="1" type="list">
      <formula1>"待确认,同意,调整后同意,不同意"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&amp;L机密 · 仅供同浦汇合作沟通，不作为对园区/投资方的承诺函&amp;R第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2026-09-01T03:34:47Z</dcterms:created>
  <dcterms:modified xmlns:dcterms="http://purl.org/dc/terms/" xmlns:xsi="http://www.w3.org/2001/XMLSchema-instance" xsi:type="dcterms:W3CDTF">2026-09-01T03:34:47Z</dcterms:modified>
</cp:coreProperties>
</file>