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总览Dashboard" sheetId="1" state="visible" r:id="rId1"/>
    <sheet xmlns:r="http://schemas.openxmlformats.org/officeDocument/2006/relationships" name="01 人群需求分析" sheetId="2" state="visible" r:id="rId2"/>
    <sheet xmlns:r="http://schemas.openxmlformats.org/officeDocument/2006/relationships" name="02 商业实习-大厂清单" sheetId="3" state="visible" r:id="rId3"/>
    <sheet xmlns:r="http://schemas.openxmlformats.org/officeDocument/2006/relationships" name="03 商业实习-科技机器人" sheetId="4" state="visible" r:id="rId4"/>
    <sheet xmlns:r="http://schemas.openxmlformats.org/officeDocument/2006/relationships" name="04 战略取舍-取消开证明" sheetId="5" state="visible" r:id="rId5"/>
    <sheet xmlns:r="http://schemas.openxmlformats.org/officeDocument/2006/relationships" name="05 收费标准与定价" sheetId="6" state="visible" r:id="rId6"/>
    <sheet xmlns:r="http://schemas.openxmlformats.org/officeDocument/2006/relationships" name="06 盈利测算" sheetId="7" state="visible" r:id="rId7"/>
    <sheet xmlns:r="http://schemas.openxmlformats.org/officeDocument/2006/relationships" name="07 落地实施计划" sheetId="8" state="visible" r:id="rId8"/>
    <sheet xmlns:r="http://schemas.openxmlformats.org/officeDocument/2006/relationships" name="08 风险与合规" sheetId="9" state="visible" r:id="rId9"/>
    <sheet xmlns:r="http://schemas.openxmlformats.org/officeDocument/2006/relationships" name="09 KPI跟踪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9">
    <font>
      <name val="Calibri"/>
      <family val="2"/>
      <color theme="1"/>
      <sz val="11"/>
      <scheme val="minor"/>
    </font>
    <font>
      <name val="微软雅黑"/>
      <b val="1"/>
      <color rgb="00FFFFFF"/>
      <sz val="18"/>
    </font>
    <font>
      <name val="微软雅黑"/>
      <i val="1"/>
      <color rgb="005A6A72"/>
      <sz val="10"/>
    </font>
    <font>
      <name val="微软雅黑"/>
      <b val="1"/>
      <color rgb="00FFFFFF"/>
      <sz val="12"/>
    </font>
    <font>
      <name val="微软雅黑"/>
      <b val="1"/>
      <color rgb="001A2A33"/>
      <sz val="10"/>
    </font>
    <font>
      <name val="微软雅黑"/>
      <color rgb="001A2A33"/>
      <sz val="10"/>
    </font>
    <font>
      <name val="微软雅黑"/>
      <b val="1"/>
      <color rgb="00FFFFFF"/>
      <sz val="11"/>
    </font>
    <font>
      <name val="微软雅黑"/>
      <b val="1"/>
      <color rgb="00FFFFFF"/>
    </font>
    <font>
      <name val="微软雅黑"/>
      <b val="1"/>
      <color rgb="001A2A33"/>
    </font>
  </fonts>
  <fills count="10">
    <fill>
      <patternFill/>
    </fill>
    <fill>
      <patternFill patternType="gray125"/>
    </fill>
    <fill>
      <patternFill patternType="solid">
        <fgColor rgb="000B3D5C"/>
      </patternFill>
    </fill>
    <fill>
      <patternFill patternType="solid">
        <fgColor rgb="00E8F3F1"/>
      </patternFill>
    </fill>
    <fill>
      <patternFill patternType="solid">
        <fgColor rgb="001A7A6D"/>
      </patternFill>
    </fill>
    <fill>
      <patternFill patternType="solid">
        <fgColor rgb="00B54A4A"/>
      </patternFill>
    </fill>
    <fill>
      <patternFill patternType="solid">
        <fgColor rgb="00F8D7DA"/>
      </patternFill>
    </fill>
    <fill>
      <patternFill patternType="solid">
        <fgColor rgb="00C06A2F"/>
      </patternFill>
    </fill>
    <fill>
      <patternFill patternType="solid">
        <fgColor rgb="00D0E8E4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0" fillId="2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left" vertical="center"/>
    </xf>
    <xf numFmtId="0" fontId="0" fillId="4" borderId="1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9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/>
    </xf>
    <xf numFmtId="0" fontId="0" fillId="5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5" fillId="3" borderId="0" applyAlignment="1" pivotButton="0" quotePrefix="0" xfId="0">
      <alignment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center" vertical="center"/>
    </xf>
    <xf numFmtId="0" fontId="8" fillId="8" borderId="1" pivotButton="0" quotePrefix="0" xfId="0"/>
    <xf numFmtId="164" fontId="8" fillId="8" borderId="1" pivotButton="0" quotePrefix="0" xfId="0"/>
    <xf numFmtId="0" fontId="5" fillId="9" borderId="1" applyAlignment="1" pivotButton="0" quotePrefix="0" xfId="0">
      <alignment horizontal="center" vertical="center" wrapText="1"/>
    </xf>
    <xf numFmtId="9" fontId="5" fillId="9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3" fontId="5" fillId="8" borderId="1" applyAlignment="1" pivotButton="0" quotePrefix="0" xfId="0">
      <alignment horizontal="center" vertical="center" wrapText="1"/>
    </xf>
    <xf numFmtId="165" fontId="5" fillId="8" borderId="1" applyAlignment="1" pivotButton="0" quotePrefix="0" xfId="0">
      <alignment horizontal="center" vertical="center" wrapText="1"/>
    </xf>
    <xf numFmtId="0" fontId="5" fillId="3" borderId="0" pivotButton="0" quotePrefix="0" xfId="0"/>
  </cellXfs>
  <cellStyles count="1">
    <cellStyle name="Normal" xfId="0" builtinId="0" hidden="0"/>
  </cellStyles>
  <dxfs count="2">
    <dxf>
      <font>
        <b val="1"/>
        <color rgb="00155724"/>
      </font>
      <fill>
        <patternFill patternType="solid">
          <fgColor rgb="00D4EDDA"/>
        </patternFill>
      </fill>
    </dxf>
    <dxf>
      <font>
        <b val="1"/>
        <color rgb="00721C24"/>
      </font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各产品线收入（元）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'00 总览Dashboard'!E16</f>
            </strRef>
          </tx>
          <spPr>
            <a:ln xmlns:a="http://schemas.openxmlformats.org/drawingml/2006/main">
              <a:prstDash val="solid"/>
            </a:ln>
          </spPr>
          <cat>
            <numRef>
              <f>'00 总览Dashboard'!$A$17:$A$19</f>
            </numRef>
          </cat>
          <val>
            <numRef>
              <f>'00 总览Dashboard'!$E$17:$E$19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收入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6" customHeight="1">
      <c r="A1" s="1" t="inlineStr">
        <is>
          <t>学生实习赋能计划 · 总览 Dashboard</t>
        </is>
      </c>
    </row>
    <row r="2" ht="20" customHeight="1">
      <c r="A2" s="2" t="inlineStr">
        <is>
          <t>高中生 / 大学生 / 毕业生  |  高价值商业实习 × 就业转化  |  已取消开证明低价档  |  V1.1</t>
        </is>
      </c>
    </row>
    <row r="4" ht="24" customHeight="1">
      <c r="A4" s="3" t="inlineStr">
        <is>
          <t>一、项目基本信息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>
      <c r="A5" s="5" t="inlineStr">
        <is>
          <t>项目名称</t>
        </is>
      </c>
      <c r="B5" s="6" t="inlineStr">
        <is>
          <t>学生实习赋能计划（商业企业课题 + 就业转化）</t>
        </is>
      </c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</row>
    <row r="6">
      <c r="A6" s="5" t="inlineStr">
        <is>
          <t>目标人群</t>
        </is>
      </c>
      <c r="B6" s="6" t="inlineStr">
        <is>
          <t>高中生（申请向）· 大学生（履历向）· 毕业生（就业转化向）</t>
        </is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>
      <c r="A7" s="5" t="inlineStr">
        <is>
          <t>核心目标</t>
        </is>
      </c>
      <c r="B7" s="6" t="inlineStr">
        <is>
          <t>辅助就业转化；提升考学与申报竞争力；建立可持续盈利模式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>
      <c r="A8" s="5" t="inlineStr">
        <is>
          <t>产品结构</t>
        </is>
      </c>
      <c r="B8" s="6" t="inlineStr">
        <is>
          <t>只做高价值：商业标准 / 商业进阶 / 就业转化（已停售开证明）</t>
        </is>
      </c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>
      <c r="A9" s="5" t="inlineStr">
        <is>
          <t>已停售</t>
        </is>
      </c>
      <c r="B9" s="6" t="inlineStr">
        <is>
          <t>199 / 699 / 1,680 开证明三档（费用低、成本与风险高）</t>
        </is>
      </c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>
      <c r="A10" s="5" t="inlineStr">
        <is>
          <t>试点周期</t>
        </is>
      </c>
      <c r="B10" s="6" t="inlineStr">
        <is>
          <t>6 个月（建议）</t>
        </is>
      </c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>
      <c r="A11" s="5" t="inlineStr">
        <is>
          <t>基准情景</t>
        </is>
      </c>
      <c r="B11" s="6" t="inlineStr">
        <is>
          <t>年付费 200 人 · 均客单 8,240 元 · 营收约 164.8 万 · 毛利率约 38%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>
      <c r="A12" s="5" t="inlineStr">
        <is>
          <t>盈亏平衡</t>
        </is>
      </c>
      <c r="B12" s="6" t="inlineStr">
        <is>
          <t>固定成本约 28–35 万/年；取消低价档后基准情景更易盈余</t>
        </is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>
      <c r="A13" s="5" t="inlineStr">
        <is>
          <t>配套交付</t>
        </is>
      </c>
      <c r="B13" s="6" t="inlineStr">
        <is>
          <t>论证 PPT + 流程专项 PPT + 本 Excel</t>
        </is>
      </c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5" ht="24" customHeight="1">
      <c r="A15" s="8" t="inlineStr">
        <is>
          <t>二、产品线收入结构（基准情景 · 已无开证明档）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9" t="n"/>
    </row>
    <row r="16" ht="26" customHeight="1">
      <c r="A16" s="10" t="inlineStr">
        <is>
          <t>产品线</t>
        </is>
      </c>
      <c r="B16" s="10" t="inlineStr">
        <is>
          <t>人数占比</t>
        </is>
      </c>
      <c r="C16" s="10" t="inlineStr">
        <is>
          <t>人数</t>
        </is>
      </c>
      <c r="D16" s="10" t="inlineStr">
        <is>
          <t>客单价(元)</t>
        </is>
      </c>
      <c r="E16" s="10" t="inlineStr">
        <is>
          <t>收入(元)</t>
        </is>
      </c>
      <c r="F16" s="10" t="inlineStr">
        <is>
          <t>收入占比</t>
        </is>
      </c>
      <c r="G16" s="10" t="inlineStr">
        <is>
          <t>毛利率</t>
        </is>
      </c>
      <c r="H16" s="10" t="inlineStr">
        <is>
          <t>毛利(元)</t>
        </is>
      </c>
    </row>
    <row r="17">
      <c r="A17" s="11" t="inlineStr">
        <is>
          <t>商业标准(科技/具身)</t>
        </is>
      </c>
      <c r="B17" s="12" t="n">
        <v>0.5</v>
      </c>
      <c r="C17" s="11" t="n">
        <v>100</v>
      </c>
      <c r="D17" s="11" t="n">
        <v>5480</v>
      </c>
      <c r="E17" s="11" t="n">
        <v>548000</v>
      </c>
      <c r="F17" s="13">
        <f>E17/SUM($E$17:$E$19)</f>
        <v/>
      </c>
      <c r="G17" s="12" t="n">
        <v>0.34</v>
      </c>
      <c r="H17" s="11" t="n">
        <v>186320</v>
      </c>
    </row>
    <row r="18">
      <c r="A18" s="14" t="inlineStr">
        <is>
          <t>商业进阶(上海AI/头部)</t>
        </is>
      </c>
      <c r="B18" s="15" t="n">
        <v>0.3</v>
      </c>
      <c r="C18" s="14" t="n">
        <v>60</v>
      </c>
      <c r="D18" s="14" t="n">
        <v>11800</v>
      </c>
      <c r="E18" s="14" t="n">
        <v>708000</v>
      </c>
      <c r="F18" s="16">
        <f>E18/SUM($E$17:$E$19)</f>
        <v/>
      </c>
      <c r="G18" s="15" t="n">
        <v>0.42</v>
      </c>
      <c r="H18" s="14" t="n">
        <v>297360</v>
      </c>
    </row>
    <row r="19">
      <c r="A19" s="11" t="inlineStr">
        <is>
          <t>毕业生就业转化包</t>
        </is>
      </c>
      <c r="B19" s="12" t="n">
        <v>0.2</v>
      </c>
      <c r="C19" s="11" t="n">
        <v>40</v>
      </c>
      <c r="D19" s="11" t="n">
        <v>9800</v>
      </c>
      <c r="E19" s="11" t="n">
        <v>392000</v>
      </c>
      <c r="F19" s="13">
        <f>E19/SUM($E$17:$E$19)</f>
        <v/>
      </c>
      <c r="G19" s="12" t="n">
        <v>0.4</v>
      </c>
      <c r="H19" s="11" t="n">
        <v>156800</v>
      </c>
    </row>
    <row r="20">
      <c r="A20" s="17" t="inlineStr">
        <is>
          <t>合计</t>
        </is>
      </c>
      <c r="B20" s="17" t="n"/>
      <c r="C20" s="17">
        <f>SUM(C17:C19)</f>
        <v/>
      </c>
      <c r="D20" s="17" t="n"/>
      <c r="E20" s="17">
        <f>SUM(E17:E19)</f>
        <v/>
      </c>
      <c r="F20" s="18" t="n">
        <v>1</v>
      </c>
      <c r="G20" s="17" t="n"/>
      <c r="H20" s="17">
        <f>SUM(H17:H19)</f>
        <v/>
      </c>
    </row>
    <row r="38" ht="24" customHeight="1">
      <c r="A38" s="3" t="inlineStr">
        <is>
          <t>三、三情景摘要（详见「06 盈利测算」）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</row>
    <row r="39" ht="26" customHeight="1">
      <c r="A39" s="10" t="inlineStr">
        <is>
          <t>情景</t>
        </is>
      </c>
      <c r="B39" s="10" t="inlineStr">
        <is>
          <t>付费人数</t>
        </is>
      </c>
      <c r="C39" s="10" t="inlineStr">
        <is>
          <t>均客单(元)</t>
        </is>
      </c>
      <c r="D39" s="10" t="inlineStr">
        <is>
          <t>营收(万元)</t>
        </is>
      </c>
      <c r="E39" s="10" t="inlineStr">
        <is>
          <t>毛利率</t>
        </is>
      </c>
      <c r="F39" s="10" t="inlineStr">
        <is>
          <t>毛利(万元)</t>
        </is>
      </c>
      <c r="G39" s="10" t="inlineStr">
        <is>
          <t>是否覆盖固定成本</t>
        </is>
      </c>
    </row>
    <row r="40">
      <c r="A40" s="14" t="inlineStr">
        <is>
          <t>保守</t>
        </is>
      </c>
      <c r="B40" s="14" t="n">
        <v>100</v>
      </c>
      <c r="C40" s="14" t="n">
        <v>7500</v>
      </c>
      <c r="D40" s="14" t="n">
        <v>75</v>
      </c>
      <c r="E40" s="14" t="inlineStr">
        <is>
          <t>35%</t>
        </is>
      </c>
      <c r="F40" s="14" t="n">
        <v>26.3</v>
      </c>
      <c r="G40" s="14" t="inlineStr">
        <is>
          <t>临界偏稳</t>
        </is>
      </c>
    </row>
    <row r="41">
      <c r="A41" s="11" t="inlineStr">
        <is>
          <t>基准</t>
        </is>
      </c>
      <c r="B41" s="11" t="n">
        <v>200</v>
      </c>
      <c r="C41" s="11" t="n">
        <v>8240</v>
      </c>
      <c r="D41" s="11" t="n">
        <v>164.8</v>
      </c>
      <c r="E41" s="11" t="inlineStr">
        <is>
          <t>38%</t>
        </is>
      </c>
      <c r="F41" s="11" t="n">
        <v>62.6</v>
      </c>
      <c r="G41" s="11" t="inlineStr">
        <is>
          <t>是</t>
        </is>
      </c>
    </row>
    <row r="42">
      <c r="A42" s="14" t="inlineStr">
        <is>
          <t>乐观</t>
        </is>
      </c>
      <c r="B42" s="14" t="n">
        <v>300</v>
      </c>
      <c r="C42" s="14" t="n">
        <v>9000</v>
      </c>
      <c r="D42" s="14" t="n">
        <v>270</v>
      </c>
      <c r="E42" s="14" t="inlineStr">
        <is>
          <t>42%</t>
        </is>
      </c>
      <c r="F42" s="14" t="n">
        <v>113.4</v>
      </c>
      <c r="G42" s="14" t="inlineStr">
        <is>
          <t>是，可扩张</t>
        </is>
      </c>
    </row>
  </sheetData>
  <mergeCells count="14">
    <mergeCell ref="A38:L38"/>
    <mergeCell ref="A2:L2"/>
    <mergeCell ref="B12:L12"/>
    <mergeCell ref="B13:L13"/>
    <mergeCell ref="A15:L15"/>
    <mergeCell ref="B6:L6"/>
    <mergeCell ref="B7:L7"/>
    <mergeCell ref="A1:L1"/>
    <mergeCell ref="B11:L11"/>
    <mergeCell ref="B5:L5"/>
    <mergeCell ref="B10:L10"/>
    <mergeCell ref="B9:L9"/>
    <mergeCell ref="A4:L4"/>
    <mergeCell ref="B8:L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8" customWidth="1" min="4" max="4"/>
    <col width="28" customWidth="1" min="5" max="5"/>
    <col width="12" customWidth="1" min="6" max="6"/>
    <col width="14" customWidth="1" min="7" max="7"/>
    <col width="16" customWidth="1" min="8" max="8"/>
    <col width="16" customWidth="1" min="9" max="9"/>
    <col width="18" customWidth="1" min="10" max="10"/>
  </cols>
  <sheetData>
    <row r="1" ht="36" customHeight="1">
      <c r="A1" s="1" t="inlineStr">
        <is>
          <t>三类目标人群需求分析</t>
        </is>
      </c>
    </row>
    <row r="2" ht="20" customHeight="1">
      <c r="A2" s="2" t="inlineStr">
        <is>
          <t>高中生 · 大学生 · 毕业生 — 痛点 / 诉求 / 交付 / 付费</t>
        </is>
      </c>
    </row>
    <row r="4" ht="24" customHeight="1">
      <c r="A4" s="3" t="inlineStr">
        <is>
          <t>一、人群对比总表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 ht="26" customHeight="1">
      <c r="A5" s="10" t="inlineStr">
        <is>
          <t>人群</t>
        </is>
      </c>
      <c r="B5" s="10" t="inlineStr">
        <is>
          <t>核心目标</t>
        </is>
      </c>
      <c r="C5" s="10" t="inlineStr">
        <is>
          <t>关键痛点</t>
        </is>
      </c>
      <c r="D5" s="10" t="inlineStr">
        <is>
          <t>关键交付物</t>
        </is>
      </c>
      <c r="E5" s="10" t="inlineStr">
        <is>
          <t>决策者</t>
        </is>
      </c>
      <c r="F5" s="10" t="inlineStr">
        <is>
          <t>付费意愿</t>
        </is>
      </c>
      <c r="G5" s="10" t="inlineStr">
        <is>
          <t>价格敏感带(元)</t>
        </is>
      </c>
      <c r="H5" s="10" t="inlineStr">
        <is>
          <t>转化出口</t>
        </is>
      </c>
      <c r="I5" s="10" t="inlineStr">
        <is>
          <t>推荐产品线</t>
        </is>
      </c>
      <c r="J5" s="10" t="inlineStr">
        <is>
          <t>备注</t>
        </is>
      </c>
    </row>
    <row r="6" ht="40" customHeight="1">
      <c r="A6" s="19" t="inlineStr">
        <is>
          <t>高中生</t>
        </is>
      </c>
      <c r="B6" s="19" t="inlineStr">
        <is>
          <t>海外/名校申请加分</t>
        </is>
      </c>
      <c r="C6" s="19" t="inlineStr">
        <is>
          <t>缺可核验实践；家长怕水经历</t>
        </is>
      </c>
      <c r="D6" s="19" t="inlineStr">
        <is>
          <t>真实企业课题+结业证明+可选推荐信</t>
        </is>
      </c>
      <c r="E6" s="19" t="inlineStr">
        <is>
          <t>家长为主</t>
        </is>
      </c>
      <c r="F6" s="19" t="inlineStr">
        <is>
          <t>中高</t>
        </is>
      </c>
      <c r="G6" s="19" t="inlineStr">
        <is>
          <t>5,480–11,800</t>
        </is>
      </c>
      <c r="H6" s="19" t="inlineStr">
        <is>
          <t>大学录取 / 活动列表</t>
        </is>
      </c>
      <c r="I6" s="19" t="inlineStr">
        <is>
          <t>商业标准/进阶</t>
        </is>
      </c>
      <c r="J6" s="19" t="inlineStr">
        <is>
          <t>不卖开证明；走项目档</t>
        </is>
      </c>
    </row>
    <row r="7" ht="40" customHeight="1">
      <c r="A7" s="6" t="inlineStr">
        <is>
          <t>大学生</t>
        </is>
      </c>
      <c r="B7" s="6" t="inlineStr">
        <is>
          <t>丰富履历、校招竞争力</t>
        </is>
      </c>
      <c r="C7" s="6" t="inlineStr">
        <is>
          <t>大厂难进；履历同质化</t>
        </is>
      </c>
      <c r="D7" s="6" t="inlineStr">
        <is>
          <t>品牌实习经历、项目成果、导师评价</t>
        </is>
      </c>
      <c r="E7" s="6" t="inlineStr">
        <is>
          <t>个人+家庭</t>
        </is>
      </c>
      <c r="F7" s="6" t="inlineStr">
        <is>
          <t>中</t>
        </is>
      </c>
      <c r="G7" s="6" t="inlineStr">
        <is>
          <t>5,480–15,800</t>
        </is>
      </c>
      <c r="H7" s="6" t="inlineStr">
        <is>
          <t>暑期转正 / 校招 Offer</t>
        </is>
      </c>
      <c r="I7" s="6" t="inlineStr">
        <is>
          <t>商业标准/进阶</t>
        </is>
      </c>
      <c r="J7" s="6" t="inlineStr">
        <is>
          <t>与专业匹配更重要</t>
        </is>
      </c>
    </row>
    <row r="8" ht="40" customHeight="1">
      <c r="A8" s="19" t="inlineStr">
        <is>
          <t>毕业生</t>
        </is>
      </c>
      <c r="B8" s="19" t="inlineStr">
        <is>
          <t>转入正式就业岗位</t>
        </is>
      </c>
      <c r="C8" s="19" t="inlineStr">
        <is>
          <t>空窗期；社招门槛高</t>
        </is>
      </c>
      <c r="D8" s="19" t="inlineStr">
        <is>
          <t>过渡实习+作品集+内推辅导</t>
        </is>
      </c>
      <c r="E8" s="19" t="inlineStr">
        <is>
          <t>个人</t>
        </is>
      </c>
      <c r="F8" s="19" t="inlineStr">
        <is>
          <t>中高（急切）</t>
        </is>
      </c>
      <c r="G8" s="19" t="inlineStr">
        <is>
          <t>6,800–12,800</t>
        </is>
      </c>
      <c r="H8" s="19" t="inlineStr">
        <is>
          <t>全职 Offer</t>
        </is>
      </c>
      <c r="I8" s="19" t="inlineStr">
        <is>
          <t>就业转化包</t>
        </is>
      </c>
      <c r="J8" s="19" t="inlineStr">
        <is>
          <t>强调转化率与售后</t>
        </is>
      </c>
    </row>
    <row r="10" ht="24" customHeight="1">
      <c r="A10" s="8" t="inlineStr">
        <is>
          <t>二、需求细分（可勾选落地优先级）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</row>
    <row r="11" ht="26" customHeight="1">
      <c r="A11" s="10" t="inlineStr">
        <is>
          <t>人群</t>
        </is>
      </c>
      <c r="B11" s="10" t="inlineStr">
        <is>
          <t>需求条目</t>
        </is>
      </c>
      <c r="C11" s="10" t="inlineStr">
        <is>
          <t>重要度(1-5)</t>
        </is>
      </c>
      <c r="D11" s="10" t="inlineStr">
        <is>
          <t>当前供给缺口</t>
        </is>
      </c>
      <c r="E11" s="10" t="inlineStr">
        <is>
          <t>建议动作</t>
        </is>
      </c>
      <c r="F11" s="10" t="inlineStr">
        <is>
          <t>优先级</t>
        </is>
      </c>
      <c r="G11" s="10" t="inlineStr">
        <is>
          <t>负责人</t>
        </is>
      </c>
      <c r="H11" s="10" t="inlineStr">
        <is>
          <t>状态</t>
        </is>
      </c>
    </row>
    <row r="12">
      <c r="A12" s="14" t="inlineStr">
        <is>
          <t>高中生</t>
        </is>
      </c>
      <c r="B12" s="19" t="inlineStr">
        <is>
          <t>海外申请真实课题经历</t>
        </is>
      </c>
      <c r="C12" s="14" t="n">
        <v>5</v>
      </c>
      <c r="D12" s="14" t="inlineStr">
        <is>
          <t>缺正规高价值通道</t>
        </is>
      </c>
      <c r="E12" s="19" t="inlineStr">
        <is>
          <t>导入商业标准/进阶项目档</t>
        </is>
      </c>
      <c r="F12" s="14" t="inlineStr">
        <is>
          <t>P0</t>
        </is>
      </c>
      <c r="G12" s="14" t="inlineStr"/>
      <c r="H12" s="14" t="inlineStr">
        <is>
          <t>未开始</t>
        </is>
      </c>
    </row>
    <row r="13">
      <c r="A13" s="11" t="inlineStr">
        <is>
          <t>高中生</t>
        </is>
      </c>
      <c r="B13" s="6" t="inlineStr">
        <is>
          <t>结业证明与推荐信</t>
        </is>
      </c>
      <c r="C13" s="11" t="n">
        <v>4</v>
      </c>
      <c r="D13" s="11" t="inlineStr">
        <is>
          <t>不可再靠低价开证明</t>
        </is>
      </c>
      <c r="E13" s="6" t="inlineStr">
        <is>
          <t>仅随项目交付；推荐信加购</t>
        </is>
      </c>
      <c r="F13" s="11" t="inlineStr">
        <is>
          <t>P0</t>
        </is>
      </c>
      <c r="G13" s="11" t="inlineStr"/>
      <c r="H13" s="11" t="inlineStr">
        <is>
          <t>未开始</t>
        </is>
      </c>
    </row>
    <row r="14">
      <c r="A14" s="14" t="inlineStr">
        <is>
          <t>大学生</t>
        </is>
      </c>
      <c r="B14" s="19" t="inlineStr">
        <is>
          <t>大厂/上海AI品牌经历</t>
        </is>
      </c>
      <c r="C14" s="14" t="n">
        <v>5</v>
      </c>
      <c r="D14" s="14" t="inlineStr">
        <is>
          <t>名额稀缺、信息不对称</t>
        </is>
      </c>
      <c r="E14" s="19" t="inlineStr">
        <is>
          <t>建立分层企业合作池</t>
        </is>
      </c>
      <c r="F14" s="14" t="inlineStr">
        <is>
          <t>P0</t>
        </is>
      </c>
      <c r="G14" s="14" t="inlineStr"/>
      <c r="H14" s="14" t="inlineStr">
        <is>
          <t>未开始</t>
        </is>
      </c>
    </row>
    <row r="15">
      <c r="A15" s="11" t="inlineStr">
        <is>
          <t>大学生</t>
        </is>
      </c>
      <c r="B15" s="6" t="inlineStr">
        <is>
          <t>科技/具身智能硬科技履历</t>
        </is>
      </c>
      <c r="C15" s="11" t="n">
        <v>5</v>
      </c>
      <c r="D15" s="11" t="inlineStr">
        <is>
          <t>学生不知如何进入</t>
        </is>
      </c>
      <c r="E15" s="6" t="inlineStr">
        <is>
          <t>上海具身智能清单优先签约</t>
        </is>
      </c>
      <c r="F15" s="11" t="inlineStr">
        <is>
          <t>P0</t>
        </is>
      </c>
      <c r="G15" s="11" t="inlineStr"/>
      <c r="H15" s="11" t="inlineStr">
        <is>
          <t>未开始</t>
        </is>
      </c>
    </row>
    <row r="16">
      <c r="A16" s="14" t="inlineStr">
        <is>
          <t>大学生</t>
        </is>
      </c>
      <c r="B16" s="19" t="inlineStr">
        <is>
          <t>简历与面试辅导</t>
        </is>
      </c>
      <c r="C16" s="14" t="n">
        <v>3</v>
      </c>
      <c r="D16" s="14" t="inlineStr">
        <is>
          <t>分散在其他机构</t>
        </is>
      </c>
      <c r="E16" s="19" t="inlineStr">
        <is>
          <t>作为项目内增值加购</t>
        </is>
      </c>
      <c r="F16" s="14" t="inlineStr">
        <is>
          <t>P2</t>
        </is>
      </c>
      <c r="G16" s="14" t="inlineStr"/>
      <c r="H16" s="14" t="inlineStr">
        <is>
          <t>未开始</t>
        </is>
      </c>
    </row>
    <row r="17">
      <c r="A17" s="11" t="inlineStr">
        <is>
          <t>毕业生</t>
        </is>
      </c>
      <c r="B17" s="6" t="inlineStr">
        <is>
          <t>过渡实习岗位</t>
        </is>
      </c>
      <c r="C17" s="11" t="n">
        <v>5</v>
      </c>
      <c r="D17" s="11" t="inlineStr">
        <is>
          <t>毕业后无人管</t>
        </is>
      </c>
      <c r="E17" s="6" t="inlineStr">
        <is>
          <t>就业转化包 4–12 周</t>
        </is>
      </c>
      <c r="F17" s="11" t="inlineStr">
        <is>
          <t>P0</t>
        </is>
      </c>
      <c r="G17" s="11" t="inlineStr"/>
      <c r="H17" s="11" t="inlineStr">
        <is>
          <t>未开始</t>
        </is>
      </c>
    </row>
    <row r="18">
      <c r="A18" s="14" t="inlineStr">
        <is>
          <t>毕业生</t>
        </is>
      </c>
      <c r="B18" s="19" t="inlineStr">
        <is>
          <t>内推与 Offer 转化</t>
        </is>
      </c>
      <c r="C18" s="14" t="n">
        <v>5</v>
      </c>
      <c r="D18" s="14" t="inlineStr">
        <is>
          <t>缺少闭环</t>
        </is>
      </c>
      <c r="E18" s="19" t="inlineStr">
        <is>
          <t>合作企业内推+复盘</t>
        </is>
      </c>
      <c r="F18" s="14" t="inlineStr">
        <is>
          <t>P0</t>
        </is>
      </c>
      <c r="G18" s="14" t="inlineStr"/>
      <c r="H18" s="14" t="inlineStr">
        <is>
          <t>未开始</t>
        </is>
      </c>
    </row>
    <row r="19">
      <c r="A19" s="11" t="inlineStr">
        <is>
          <t>战略</t>
        </is>
      </c>
      <c r="B19" s="6" t="inlineStr">
        <is>
          <t>停售开证明低价档</t>
        </is>
      </c>
      <c r="C19" s="11" t="n">
        <v>5</v>
      </c>
      <c r="D19" s="11" t="inlineStr">
        <is>
          <t>费用低风险高</t>
        </is>
      </c>
      <c r="E19" s="6" t="inlineStr">
        <is>
          <t>199/699/1680 一律停售</t>
        </is>
      </c>
      <c r="F19" s="11" t="inlineStr">
        <is>
          <t>P0</t>
        </is>
      </c>
      <c r="G19" s="11" t="inlineStr"/>
      <c r="H19" s="11" t="inlineStr">
        <is>
          <t>进行中</t>
        </is>
      </c>
    </row>
    <row r="20">
      <c r="A20" s="14" t="inlineStr">
        <is>
          <t>共性</t>
        </is>
      </c>
      <c r="B20" s="19" t="inlineStr">
        <is>
          <t>真实课题可核验</t>
        </is>
      </c>
      <c r="C20" s="14" t="n">
        <v>5</v>
      </c>
      <c r="D20" s="14" t="inlineStr">
        <is>
          <t>行业信任危机</t>
        </is>
      </c>
      <c r="E20" s="19" t="inlineStr">
        <is>
          <t>过程材料留存+企业评语</t>
        </is>
      </c>
      <c r="F20" s="14" t="inlineStr">
        <is>
          <t>P0</t>
        </is>
      </c>
      <c r="G20" s="14" t="inlineStr"/>
      <c r="H20" s="14" t="inlineStr">
        <is>
          <t>未开始</t>
        </is>
      </c>
    </row>
  </sheetData>
  <mergeCells count="4">
    <mergeCell ref="A1:J1"/>
    <mergeCell ref="A4:J4"/>
    <mergeCell ref="A10:J10"/>
    <mergeCell ref="A2:J2"/>
  </mergeCells>
  <dataValidations count="1">
    <dataValidation sqref="H12:H20" showDropDown="0" showInputMessage="0" showErrorMessage="0" allowBlank="1" type="list">
      <formula1>"未开始,进行中,已完成,延期,取消"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14" customWidth="1" min="3" max="3"/>
    <col width="12" customWidth="1" min="4" max="4"/>
    <col width="20" customWidth="1" min="5" max="5"/>
    <col width="18" customWidth="1" min="6" max="6"/>
    <col width="14" customWidth="1" min="7" max="7"/>
    <col width="10" customWidth="1" min="8" max="8"/>
    <col width="10" customWidth="1" min="9" max="9"/>
    <col width="18" customWidth="1" min="10" max="10"/>
    <col width="28" customWidth="1" min="11" max="11"/>
  </cols>
  <sheetData>
    <row r="1" ht="36" customHeight="1">
      <c r="A1" s="1" t="inlineStr">
        <is>
          <t>商业实习项目 · 世界500强与知名大厂合作池</t>
        </is>
      </c>
    </row>
    <row r="2" ht="20" customHeight="1">
      <c r="A2" s="2" t="inlineStr">
        <is>
          <t>论证用清单：落地需商务签约；状态可下拉更新</t>
        </is>
      </c>
    </row>
    <row r="4" ht="24" customHeight="1">
      <c r="A4" s="3" t="inlineStr">
        <is>
          <t>企业清单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 ht="26" customHeight="1">
      <c r="A5" s="10" t="inlineStr">
        <is>
          <t>序号</t>
        </is>
      </c>
      <c r="B5" s="10" t="inlineStr">
        <is>
          <t>层级</t>
        </is>
      </c>
      <c r="C5" s="10" t="inlineStr">
        <is>
          <t>企业名称</t>
        </is>
      </c>
      <c r="D5" s="10" t="inlineStr">
        <is>
          <t>类型</t>
        </is>
      </c>
      <c r="E5" s="10" t="inlineStr">
        <is>
          <t>方向示例</t>
        </is>
      </c>
      <c r="F5" s="10" t="inlineStr">
        <is>
          <t>建议产品形态</t>
        </is>
      </c>
      <c r="G5" s="10" t="inlineStr">
        <is>
          <t>适合人群</t>
        </is>
      </c>
      <c r="H5" s="10" t="inlineStr">
        <is>
          <t>合作难度</t>
        </is>
      </c>
      <c r="I5" s="10" t="inlineStr">
        <is>
          <t>对接状态</t>
        </is>
      </c>
      <c r="J5" s="10" t="inlineStr">
        <is>
          <t>预估通道成本(元/人)</t>
        </is>
      </c>
      <c r="K5" s="10" t="inlineStr">
        <is>
          <t>备注</t>
        </is>
      </c>
    </row>
    <row r="6">
      <c r="A6" s="14" t="n">
        <v>1</v>
      </c>
      <c r="B6" s="14" t="inlineStr">
        <is>
          <t>S</t>
        </is>
      </c>
      <c r="C6" s="14" t="inlineStr">
        <is>
          <t>Google</t>
        </is>
      </c>
      <c r="D6" s="14" t="inlineStr">
        <is>
          <t>全球科技</t>
        </is>
      </c>
      <c r="E6" s="19" t="inlineStr">
        <is>
          <t>产品/数据/工程</t>
        </is>
      </c>
      <c r="F6" s="14" t="inlineStr">
        <is>
          <t>远程课题+导师营</t>
        </is>
      </c>
      <c r="G6" s="14" t="inlineStr">
        <is>
          <t>大学生/优生</t>
        </is>
      </c>
      <c r="H6" s="14" t="inlineStr">
        <is>
          <t>高</t>
        </is>
      </c>
      <c r="I6" s="14" t="inlineStr">
        <is>
          <t>未开始</t>
        </is>
      </c>
      <c r="J6" s="14" t="n">
        <v>4500</v>
      </c>
      <c r="K6" s="19" t="inlineStr">
        <is>
          <t>需合规表述为合作课题/合作方</t>
        </is>
      </c>
    </row>
    <row r="7">
      <c r="A7" s="11" t="n">
        <v>2</v>
      </c>
      <c r="B7" s="11" t="inlineStr">
        <is>
          <t>S</t>
        </is>
      </c>
      <c r="C7" s="11" t="inlineStr">
        <is>
          <t>Microsoft</t>
        </is>
      </c>
      <c r="D7" s="11" t="inlineStr">
        <is>
          <t>全球科技</t>
        </is>
      </c>
      <c r="E7" s="6" t="inlineStr">
        <is>
          <t>云/开发/数据分析</t>
        </is>
      </c>
      <c r="F7" s="11" t="inlineStr">
        <is>
          <t>远程课题+导师营</t>
        </is>
      </c>
      <c r="G7" s="11" t="inlineStr">
        <is>
          <t>大学生</t>
        </is>
      </c>
      <c r="H7" s="11" t="inlineStr">
        <is>
          <t>高</t>
        </is>
      </c>
      <c r="I7" s="11" t="inlineStr">
        <is>
          <t>未开始</t>
        </is>
      </c>
      <c r="J7" s="11" t="n">
        <v>4200</v>
      </c>
      <c r="K7" s="6" t="inlineStr"/>
    </row>
    <row r="8">
      <c r="A8" s="14" t="n">
        <v>3</v>
      </c>
      <c r="B8" s="14" t="inlineStr">
        <is>
          <t>S</t>
        </is>
      </c>
      <c r="C8" s="14" t="inlineStr">
        <is>
          <t>Amazon</t>
        </is>
      </c>
      <c r="D8" s="14" t="inlineStr">
        <is>
          <t>全球科技</t>
        </is>
      </c>
      <c r="E8" s="19" t="inlineStr">
        <is>
          <t>运营/数据/云</t>
        </is>
      </c>
      <c r="F8" s="14" t="inlineStr">
        <is>
          <t>项目制</t>
        </is>
      </c>
      <c r="G8" s="14" t="inlineStr">
        <is>
          <t>大学生</t>
        </is>
      </c>
      <c r="H8" s="14" t="inlineStr">
        <is>
          <t>高</t>
        </is>
      </c>
      <c r="I8" s="14" t="inlineStr">
        <is>
          <t>未开始</t>
        </is>
      </c>
      <c r="J8" s="14" t="n">
        <v>4000</v>
      </c>
      <c r="K8" s="19" t="inlineStr"/>
    </row>
    <row r="9">
      <c r="A9" s="11" t="n">
        <v>4</v>
      </c>
      <c r="B9" s="11" t="inlineStr">
        <is>
          <t>S</t>
        </is>
      </c>
      <c r="C9" s="11" t="inlineStr">
        <is>
          <t>Meta</t>
        </is>
      </c>
      <c r="D9" s="11" t="inlineStr">
        <is>
          <t>全球科技</t>
        </is>
      </c>
      <c r="E9" s="6" t="inlineStr">
        <is>
          <t>产品/增长/内容</t>
        </is>
      </c>
      <c r="F9" s="11" t="inlineStr">
        <is>
          <t>远程课题</t>
        </is>
      </c>
      <c r="G9" s="11" t="inlineStr">
        <is>
          <t>大学生</t>
        </is>
      </c>
      <c r="H9" s="11" t="inlineStr">
        <is>
          <t>高</t>
        </is>
      </c>
      <c r="I9" s="11" t="inlineStr">
        <is>
          <t>未开始</t>
        </is>
      </c>
      <c r="J9" s="11" t="n">
        <v>4500</v>
      </c>
      <c r="K9" s="6" t="inlineStr"/>
    </row>
    <row r="10">
      <c r="A10" s="14" t="n">
        <v>5</v>
      </c>
      <c r="B10" s="14" t="inlineStr">
        <is>
          <t>S</t>
        </is>
      </c>
      <c r="C10" s="14" t="inlineStr">
        <is>
          <t>腾讯</t>
        </is>
      </c>
      <c r="D10" s="14" t="inlineStr">
        <is>
          <t>互联网大厂</t>
        </is>
      </c>
      <c r="E10" s="19" t="inlineStr">
        <is>
          <t>产品运营/研发/市场</t>
        </is>
      </c>
      <c r="F10" s="14" t="inlineStr">
        <is>
          <t>暑期营/项目制</t>
        </is>
      </c>
      <c r="G10" s="14" t="inlineStr">
        <is>
          <t>大学生</t>
        </is>
      </c>
      <c r="H10" s="14" t="inlineStr">
        <is>
          <t>中高</t>
        </is>
      </c>
      <c r="I10" s="14" t="inlineStr">
        <is>
          <t>未开始</t>
        </is>
      </c>
      <c r="J10" s="14" t="n">
        <v>3500</v>
      </c>
      <c r="K10" s="19" t="inlineStr">
        <is>
          <t>优先拓展</t>
        </is>
      </c>
    </row>
    <row r="11">
      <c r="A11" s="11" t="n">
        <v>6</v>
      </c>
      <c r="B11" s="11" t="inlineStr">
        <is>
          <t>S</t>
        </is>
      </c>
      <c r="C11" s="11" t="inlineStr">
        <is>
          <t>阿里巴巴</t>
        </is>
      </c>
      <c r="D11" s="11" t="inlineStr">
        <is>
          <t>互联网大厂</t>
        </is>
      </c>
      <c r="E11" s="6" t="inlineStr">
        <is>
          <t>电商运营/技术/数据</t>
        </is>
      </c>
      <c r="F11" s="11" t="inlineStr">
        <is>
          <t>项目制</t>
        </is>
      </c>
      <c r="G11" s="11" t="inlineStr">
        <is>
          <t>大学生</t>
        </is>
      </c>
      <c r="H11" s="11" t="inlineStr">
        <is>
          <t>中高</t>
        </is>
      </c>
      <c r="I11" s="11" t="inlineStr">
        <is>
          <t>未开始</t>
        </is>
      </c>
      <c r="J11" s="11" t="n">
        <v>3500</v>
      </c>
      <c r="K11" s="6" t="inlineStr"/>
    </row>
    <row r="12">
      <c r="A12" s="14" t="n">
        <v>7</v>
      </c>
      <c r="B12" s="14" t="inlineStr">
        <is>
          <t>S</t>
        </is>
      </c>
      <c r="C12" s="14" t="inlineStr">
        <is>
          <t>字节跳动</t>
        </is>
      </c>
      <c r="D12" s="14" t="inlineStr">
        <is>
          <t>互联网大厂</t>
        </is>
      </c>
      <c r="E12" s="19" t="inlineStr">
        <is>
          <t>内容/产品/算法应用</t>
        </is>
      </c>
      <c r="F12" s="14" t="inlineStr">
        <is>
          <t>项目制</t>
        </is>
      </c>
      <c r="G12" s="14" t="inlineStr">
        <is>
          <t>大学生</t>
        </is>
      </c>
      <c r="H12" s="14" t="inlineStr">
        <is>
          <t>中高</t>
        </is>
      </c>
      <c r="I12" s="14" t="inlineStr">
        <is>
          <t>未开始</t>
        </is>
      </c>
      <c r="J12" s="14" t="n">
        <v>3800</v>
      </c>
      <c r="K12" s="19" t="inlineStr">
        <is>
          <t>含火山引擎协同</t>
        </is>
      </c>
    </row>
    <row r="13">
      <c r="A13" s="11" t="n">
        <v>8</v>
      </c>
      <c r="B13" s="11" t="inlineStr">
        <is>
          <t>S</t>
        </is>
      </c>
      <c r="C13" s="11" t="inlineStr">
        <is>
          <t>美团</t>
        </is>
      </c>
      <c r="D13" s="11" t="inlineStr">
        <is>
          <t>互联网大厂</t>
        </is>
      </c>
      <c r="E13" s="6" t="inlineStr">
        <is>
          <t>本地生活运营/数据</t>
        </is>
      </c>
      <c r="F13" s="11" t="inlineStr">
        <is>
          <t>项目制</t>
        </is>
      </c>
      <c r="G13" s="11" t="inlineStr">
        <is>
          <t>大学生</t>
        </is>
      </c>
      <c r="H13" s="11" t="inlineStr">
        <is>
          <t>中</t>
        </is>
      </c>
      <c r="I13" s="11" t="inlineStr">
        <is>
          <t>未开始</t>
        </is>
      </c>
      <c r="J13" s="11" t="n">
        <v>2800</v>
      </c>
      <c r="K13" s="6" t="inlineStr"/>
    </row>
    <row r="14">
      <c r="A14" s="14" t="n">
        <v>9</v>
      </c>
      <c r="B14" s="14" t="inlineStr">
        <is>
          <t>A</t>
        </is>
      </c>
      <c r="C14" s="14" t="inlineStr">
        <is>
          <t>火山引擎</t>
        </is>
      </c>
      <c r="D14" s="14" t="inlineStr">
        <is>
          <t>云与AI</t>
        </is>
      </c>
      <c r="E14" s="19" t="inlineStr">
        <is>
          <t>大模型应用/数据</t>
        </is>
      </c>
      <c r="F14" s="14" t="inlineStr">
        <is>
          <t>课题实训营</t>
        </is>
      </c>
      <c r="G14" s="14" t="inlineStr">
        <is>
          <t>大学生</t>
        </is>
      </c>
      <c r="H14" s="14" t="inlineStr">
        <is>
          <t>中</t>
        </is>
      </c>
      <c r="I14" s="14" t="inlineStr">
        <is>
          <t>未开始</t>
        </is>
      </c>
      <c r="J14" s="14" t="n">
        <v>3000</v>
      </c>
      <c r="K14" s="19" t="inlineStr">
        <is>
          <t>重点开拓</t>
        </is>
      </c>
    </row>
    <row r="15">
      <c r="A15" s="11" t="n">
        <v>10</v>
      </c>
      <c r="B15" s="11" t="inlineStr">
        <is>
          <t>A</t>
        </is>
      </c>
      <c r="C15" s="11" t="inlineStr">
        <is>
          <t>阿里云</t>
        </is>
      </c>
      <c r="D15" s="11" t="inlineStr">
        <is>
          <t>云与AI</t>
        </is>
      </c>
      <c r="E15" s="6" t="inlineStr">
        <is>
          <t>云原生/解决方案</t>
        </is>
      </c>
      <c r="F15" s="11" t="inlineStr">
        <is>
          <t>课题实训营</t>
        </is>
      </c>
      <c r="G15" s="11" t="inlineStr">
        <is>
          <t>理工大学生</t>
        </is>
      </c>
      <c r="H15" s="11" t="inlineStr">
        <is>
          <t>中</t>
        </is>
      </c>
      <c r="I15" s="11" t="inlineStr">
        <is>
          <t>未开始</t>
        </is>
      </c>
      <c r="J15" s="11" t="n">
        <v>3000</v>
      </c>
      <c r="K15" s="6" t="inlineStr"/>
    </row>
    <row r="16">
      <c r="A16" s="14" t="n">
        <v>11</v>
      </c>
      <c r="B16" s="14" t="inlineStr">
        <is>
          <t>A</t>
        </is>
      </c>
      <c r="C16" s="14" t="inlineStr">
        <is>
          <t>腾讯云</t>
        </is>
      </c>
      <c r="D16" s="14" t="inlineStr">
        <is>
          <t>云与AI</t>
        </is>
      </c>
      <c r="E16" s="19" t="inlineStr">
        <is>
          <t>云与安全</t>
        </is>
      </c>
      <c r="F16" s="14" t="inlineStr">
        <is>
          <t>课题实训营</t>
        </is>
      </c>
      <c r="G16" s="14" t="inlineStr">
        <is>
          <t>理工大学生</t>
        </is>
      </c>
      <c r="H16" s="14" t="inlineStr">
        <is>
          <t>中</t>
        </is>
      </c>
      <c r="I16" s="14" t="inlineStr">
        <is>
          <t>未开始</t>
        </is>
      </c>
      <c r="J16" s="14" t="n">
        <v>3000</v>
      </c>
      <c r="K16" s="19" t="inlineStr"/>
    </row>
    <row r="17">
      <c r="A17" s="11" t="n">
        <v>12</v>
      </c>
      <c r="B17" s="11" t="inlineStr">
        <is>
          <t>A</t>
        </is>
      </c>
      <c r="C17" s="11" t="inlineStr">
        <is>
          <t>华为云</t>
        </is>
      </c>
      <c r="D17" s="11" t="inlineStr">
        <is>
          <t>云与AI</t>
        </is>
      </c>
      <c r="E17" s="6" t="inlineStr">
        <is>
          <t>云/鸿蒙生态应用</t>
        </is>
      </c>
      <c r="F17" s="11" t="inlineStr">
        <is>
          <t>课题实训营</t>
        </is>
      </c>
      <c r="G17" s="11" t="inlineStr">
        <is>
          <t>理工大学生</t>
        </is>
      </c>
      <c r="H17" s="11" t="inlineStr">
        <is>
          <t>中高</t>
        </is>
      </c>
      <c r="I17" s="11" t="inlineStr">
        <is>
          <t>未开始</t>
        </is>
      </c>
      <c r="J17" s="11" t="n">
        <v>3200</v>
      </c>
      <c r="K17" s="6" t="inlineStr"/>
    </row>
    <row r="18">
      <c r="A18" s="14" t="n">
        <v>13</v>
      </c>
      <c r="B18" s="14" t="inlineStr">
        <is>
          <t>A</t>
        </is>
      </c>
      <c r="C18" s="14" t="inlineStr">
        <is>
          <t>小米</t>
        </is>
      </c>
      <c r="D18" s="14" t="inlineStr">
        <is>
          <t>消费电子</t>
        </is>
      </c>
      <c r="E18" s="19" t="inlineStr">
        <is>
          <t>市场/用户研究</t>
        </is>
      </c>
      <c r="F18" s="14" t="inlineStr">
        <is>
          <t>短期项目实习</t>
        </is>
      </c>
      <c r="G18" s="14" t="inlineStr">
        <is>
          <t>大学生</t>
        </is>
      </c>
      <c r="H18" s="14" t="inlineStr">
        <is>
          <t>中</t>
        </is>
      </c>
      <c r="I18" s="14" t="inlineStr">
        <is>
          <t>未开始</t>
        </is>
      </c>
      <c r="J18" s="14" t="n">
        <v>2500</v>
      </c>
      <c r="K18" s="19" t="inlineStr"/>
    </row>
    <row r="19">
      <c r="A19" s="11" t="n">
        <v>14</v>
      </c>
      <c r="B19" s="11" t="inlineStr">
        <is>
          <t>A</t>
        </is>
      </c>
      <c r="C19" s="11" t="inlineStr">
        <is>
          <t>OPPO</t>
        </is>
      </c>
      <c r="D19" s="11" t="inlineStr">
        <is>
          <t>消费电子</t>
        </is>
      </c>
      <c r="E19" s="6" t="inlineStr">
        <is>
          <t>产品市场</t>
        </is>
      </c>
      <c r="F19" s="11" t="inlineStr">
        <is>
          <t>短期项目实习</t>
        </is>
      </c>
      <c r="G19" s="11" t="inlineStr">
        <is>
          <t>大学生</t>
        </is>
      </c>
      <c r="H19" s="11" t="inlineStr">
        <is>
          <t>中</t>
        </is>
      </c>
      <c r="I19" s="11" t="inlineStr">
        <is>
          <t>未开始</t>
        </is>
      </c>
      <c r="J19" s="11" t="n">
        <v>2400</v>
      </c>
      <c r="K19" s="6" t="inlineStr"/>
    </row>
    <row r="20">
      <c r="A20" s="14" t="n">
        <v>15</v>
      </c>
      <c r="B20" s="14" t="inlineStr">
        <is>
          <t>A</t>
        </is>
      </c>
      <c r="C20" s="14" t="inlineStr">
        <is>
          <t>vivo</t>
        </is>
      </c>
      <c r="D20" s="14" t="inlineStr">
        <is>
          <t>消费电子</t>
        </is>
      </c>
      <c r="E20" s="19" t="inlineStr">
        <is>
          <t>品牌/用户洞察</t>
        </is>
      </c>
      <c r="F20" s="14" t="inlineStr">
        <is>
          <t>短期项目实习</t>
        </is>
      </c>
      <c r="G20" s="14" t="inlineStr">
        <is>
          <t>大学生</t>
        </is>
      </c>
      <c r="H20" s="14" t="inlineStr">
        <is>
          <t>中</t>
        </is>
      </c>
      <c r="I20" s="14" t="inlineStr">
        <is>
          <t>未开始</t>
        </is>
      </c>
      <c r="J20" s="14" t="n">
        <v>2400</v>
      </c>
      <c r="K20" s="19" t="inlineStr"/>
    </row>
    <row r="21">
      <c r="A21" s="11" t="n">
        <v>16</v>
      </c>
      <c r="B21" s="11" t="inlineStr">
        <is>
          <t>B</t>
        </is>
      </c>
      <c r="C21" s="11" t="inlineStr">
        <is>
          <t>IBM</t>
        </is>
      </c>
      <c r="D21" s="11" t="inlineStr">
        <is>
          <t>综合500强</t>
        </is>
      </c>
      <c r="E21" s="6" t="inlineStr">
        <is>
          <t>咨询/数字化</t>
        </is>
      </c>
      <c r="F21" s="11" t="inlineStr">
        <is>
          <t>校企联合课题</t>
        </is>
      </c>
      <c r="G21" s="11" t="inlineStr">
        <is>
          <t>大学生/毕业生</t>
        </is>
      </c>
      <c r="H21" s="11" t="inlineStr">
        <is>
          <t>中</t>
        </is>
      </c>
      <c r="I21" s="11" t="inlineStr">
        <is>
          <t>未开始</t>
        </is>
      </c>
      <c r="J21" s="11" t="n">
        <v>2200</v>
      </c>
      <c r="K21" s="6" t="inlineStr"/>
    </row>
    <row r="22">
      <c r="A22" s="14" t="n">
        <v>17</v>
      </c>
      <c r="B22" s="14" t="inlineStr">
        <is>
          <t>B</t>
        </is>
      </c>
      <c r="C22" s="14" t="inlineStr">
        <is>
          <t>SAP</t>
        </is>
      </c>
      <c r="D22" s="14" t="inlineStr">
        <is>
          <t>综合500强</t>
        </is>
      </c>
      <c r="E22" s="19" t="inlineStr">
        <is>
          <t>企业软件实施</t>
        </is>
      </c>
      <c r="F22" s="14" t="inlineStr">
        <is>
          <t>项目助理</t>
        </is>
      </c>
      <c r="G22" s="14" t="inlineStr">
        <is>
          <t>信息管理/商科</t>
        </is>
      </c>
      <c r="H22" s="14" t="inlineStr">
        <is>
          <t>中</t>
        </is>
      </c>
      <c r="I22" s="14" t="inlineStr">
        <is>
          <t>未开始</t>
        </is>
      </c>
      <c r="J22" s="14" t="n">
        <v>2200</v>
      </c>
      <c r="K22" s="19" t="inlineStr"/>
    </row>
    <row r="23">
      <c r="A23" s="11" t="n">
        <v>18</v>
      </c>
      <c r="B23" s="11" t="inlineStr">
        <is>
          <t>B</t>
        </is>
      </c>
      <c r="C23" s="11" t="inlineStr">
        <is>
          <t>西门子</t>
        </is>
      </c>
      <c r="D23" s="11" t="inlineStr">
        <is>
          <t>综合500强</t>
        </is>
      </c>
      <c r="E23" s="6" t="inlineStr">
        <is>
          <t>工业数字化</t>
        </is>
      </c>
      <c r="F23" s="11" t="inlineStr">
        <is>
          <t>课题实习</t>
        </is>
      </c>
      <c r="G23" s="11" t="inlineStr">
        <is>
          <t>理工</t>
        </is>
      </c>
      <c r="H23" s="11" t="inlineStr">
        <is>
          <t>中高</t>
        </is>
      </c>
      <c r="I23" s="11" t="inlineStr">
        <is>
          <t>未开始</t>
        </is>
      </c>
      <c r="J23" s="11" t="n">
        <v>2500</v>
      </c>
      <c r="K23" s="6" t="inlineStr"/>
    </row>
    <row r="24">
      <c r="A24" s="14" t="n">
        <v>19</v>
      </c>
      <c r="B24" s="14" t="inlineStr">
        <is>
          <t>B</t>
        </is>
      </c>
      <c r="C24" s="14" t="inlineStr">
        <is>
          <t>联合利华</t>
        </is>
      </c>
      <c r="D24" s="14" t="inlineStr">
        <is>
          <t>综合500强</t>
        </is>
      </c>
      <c r="E24" s="19" t="inlineStr">
        <is>
          <t>品牌/市场</t>
        </is>
      </c>
      <c r="F24" s="14" t="inlineStr">
        <is>
          <t>项目制</t>
        </is>
      </c>
      <c r="G24" s="14" t="inlineStr">
        <is>
          <t>商科</t>
        </is>
      </c>
      <c r="H24" s="14" t="inlineStr">
        <is>
          <t>中</t>
        </is>
      </c>
      <c r="I24" s="14" t="inlineStr">
        <is>
          <t>未开始</t>
        </is>
      </c>
      <c r="J24" s="14" t="n">
        <v>2000</v>
      </c>
      <c r="K24" s="19" t="inlineStr"/>
    </row>
    <row r="25">
      <c r="A25" s="11" t="n">
        <v>20</v>
      </c>
      <c r="B25" s="11" t="inlineStr">
        <is>
          <t>B</t>
        </is>
      </c>
      <c r="C25" s="11" t="inlineStr">
        <is>
          <t>宝洁</t>
        </is>
      </c>
      <c r="D25" s="11" t="inlineStr">
        <is>
          <t>综合500强</t>
        </is>
      </c>
      <c r="E25" s="6" t="inlineStr">
        <is>
          <t>品牌管理</t>
        </is>
      </c>
      <c r="F25" s="11" t="inlineStr">
        <is>
          <t>项目制</t>
        </is>
      </c>
      <c r="G25" s="11" t="inlineStr">
        <is>
          <t>商科</t>
        </is>
      </c>
      <c r="H25" s="11" t="inlineStr">
        <is>
          <t>中高</t>
        </is>
      </c>
      <c r="I25" s="11" t="inlineStr">
        <is>
          <t>未开始</t>
        </is>
      </c>
      <c r="J25" s="11" t="n">
        <v>2200</v>
      </c>
      <c r="K25" s="6" t="inlineStr"/>
    </row>
    <row r="26">
      <c r="A26" s="14" t="n">
        <v>21</v>
      </c>
      <c r="B26" s="14" t="inlineStr">
        <is>
          <t>B</t>
        </is>
      </c>
      <c r="C26" s="14" t="inlineStr">
        <is>
          <t>蚂蚁集团</t>
        </is>
      </c>
      <c r="D26" s="14" t="inlineStr">
        <is>
          <t>金融科技</t>
        </is>
      </c>
      <c r="E26" s="19" t="inlineStr">
        <is>
          <t>风控/运营/数据</t>
        </is>
      </c>
      <c r="F26" s="14" t="inlineStr">
        <is>
          <t>远程项目实习</t>
        </is>
      </c>
      <c r="G26" s="14" t="inlineStr">
        <is>
          <t>大学生/毕业生</t>
        </is>
      </c>
      <c r="H26" s="14" t="inlineStr">
        <is>
          <t>中高</t>
        </is>
      </c>
      <c r="I26" s="14" t="inlineStr">
        <is>
          <t>未开始</t>
        </is>
      </c>
      <c r="J26" s="14" t="n">
        <v>3000</v>
      </c>
      <c r="K26" s="19" t="inlineStr"/>
    </row>
    <row r="27">
      <c r="A27" s="11" t="n">
        <v>22</v>
      </c>
      <c r="B27" s="11" t="inlineStr">
        <is>
          <t>B</t>
        </is>
      </c>
      <c r="C27" s="11" t="inlineStr">
        <is>
          <t>京东科技</t>
        </is>
      </c>
      <c r="D27" s="11" t="inlineStr">
        <is>
          <t>金融科技</t>
        </is>
      </c>
      <c r="E27" s="6" t="inlineStr">
        <is>
          <t>数科产品/运营</t>
        </is>
      </c>
      <c r="F27" s="11" t="inlineStr">
        <is>
          <t>项目制</t>
        </is>
      </c>
      <c r="G27" s="11" t="inlineStr">
        <is>
          <t>大学生</t>
        </is>
      </c>
      <c r="H27" s="11" t="inlineStr">
        <is>
          <t>中</t>
        </is>
      </c>
      <c r="I27" s="11" t="inlineStr">
        <is>
          <t>未开始</t>
        </is>
      </c>
      <c r="J27" s="11" t="n">
        <v>2600</v>
      </c>
      <c r="K27" s="6" t="inlineStr"/>
    </row>
    <row r="28">
      <c r="A28" s="14" t="n">
        <v>23</v>
      </c>
      <c r="B28" s="14" t="inlineStr">
        <is>
          <t>B</t>
        </is>
      </c>
      <c r="C28" s="14" t="inlineStr">
        <is>
          <t>平安科技</t>
        </is>
      </c>
      <c r="D28" s="14" t="inlineStr">
        <is>
          <t>金融科技</t>
        </is>
      </c>
      <c r="E28" s="19" t="inlineStr">
        <is>
          <t>科技赋能/数据</t>
        </is>
      </c>
      <c r="F28" s="14" t="inlineStr">
        <is>
          <t>项目制</t>
        </is>
      </c>
      <c r="G28" s="14" t="inlineStr">
        <is>
          <t>大学生</t>
        </is>
      </c>
      <c r="H28" s="14" t="inlineStr">
        <is>
          <t>中</t>
        </is>
      </c>
      <c r="I28" s="14" t="inlineStr">
        <is>
          <t>未开始</t>
        </is>
      </c>
      <c r="J28" s="14" t="n">
        <v>2400</v>
      </c>
      <c r="K28" s="19" t="inlineStr"/>
    </row>
    <row r="31" ht="24" customHeight="1">
      <c r="A31" s="8" t="inlineStr">
        <is>
          <t>分层定价挂钩建议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 ht="26" customHeight="1">
      <c r="A32" s="10" t="inlineStr">
        <is>
          <t>层级</t>
        </is>
      </c>
      <c r="B32" s="10" t="inlineStr">
        <is>
          <t>建议学员报价(元)</t>
        </is>
      </c>
      <c r="C32" s="10" t="inlineStr">
        <is>
          <t>通道成本占比目标</t>
        </is>
      </c>
      <c r="D32" s="10" t="inlineStr">
        <is>
          <t>产品名称建议</t>
        </is>
      </c>
      <c r="E32" s="10" t="inlineStr">
        <is>
          <t>最短周期</t>
        </is>
      </c>
      <c r="F32" s="10" t="inlineStr">
        <is>
          <t>是否含导师答辩</t>
        </is>
      </c>
    </row>
    <row r="33">
      <c r="A33" s="11" t="inlineStr">
        <is>
          <t>S 级</t>
        </is>
      </c>
      <c r="B33" s="11" t="inlineStr">
        <is>
          <t>8,800–15,800</t>
        </is>
      </c>
      <c r="C33" s="11" t="inlineStr">
        <is>
          <t>≤40%</t>
        </is>
      </c>
      <c r="D33" s="11" t="inlineStr">
        <is>
          <t>大厂/全球科技通道营</t>
        </is>
      </c>
      <c r="E33" s="11" t="inlineStr">
        <is>
          <t>4–6 周</t>
        </is>
      </c>
      <c r="F33" s="11" t="inlineStr">
        <is>
          <t>是</t>
        </is>
      </c>
    </row>
    <row r="34">
      <c r="A34" s="14" t="inlineStr">
        <is>
          <t>A 级</t>
        </is>
      </c>
      <c r="B34" s="14" t="inlineStr">
        <is>
          <t>5,980–9,800</t>
        </is>
      </c>
      <c r="C34" s="14" t="inlineStr">
        <is>
          <t>≤35%</t>
        </is>
      </c>
      <c r="D34" s="14" t="inlineStr">
        <is>
          <t>云与 AI / 消费电子项目营</t>
        </is>
      </c>
      <c r="E34" s="14" t="inlineStr">
        <is>
          <t>4 周</t>
        </is>
      </c>
      <c r="F34" s="14" t="inlineStr">
        <is>
          <t>是</t>
        </is>
      </c>
    </row>
    <row r="35">
      <c r="A35" s="11" t="inlineStr">
        <is>
          <t>B 级</t>
        </is>
      </c>
      <c r="B35" s="11" t="inlineStr">
        <is>
          <t>3,980–6,980</t>
        </is>
      </c>
      <c r="C35" s="11" t="inlineStr">
        <is>
          <t>≤30%</t>
        </is>
      </c>
      <c r="D35" s="11" t="inlineStr">
        <is>
          <t>综合 500 强 / 金科项目实习</t>
        </is>
      </c>
      <c r="E35" s="11" t="inlineStr">
        <is>
          <t>4 周</t>
        </is>
      </c>
      <c r="F35" s="11" t="inlineStr">
        <is>
          <t>可选</t>
        </is>
      </c>
    </row>
  </sheetData>
  <mergeCells count="4">
    <mergeCell ref="A2:K2"/>
    <mergeCell ref="A1:K1"/>
    <mergeCell ref="A4:K4"/>
    <mergeCell ref="A31:K31"/>
  </mergeCells>
  <dataValidations count="2">
    <dataValidation sqref="I6:I28" showDropDown="0" showInputMessage="0" showErrorMessage="0" allowBlank="1" type="list">
      <formula1>"未开始,进行中,已完成,延期,取消"</formula1>
    </dataValidation>
    <dataValidation sqref="H6:H28" showDropDown="0" showInputMessage="0" showErrorMessage="0" allowBlank="1" type="list">
      <formula1>"低,中,中高,高"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14" customWidth="1" min="4" max="4"/>
    <col width="2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16" customWidth="1" min="11" max="11"/>
  </cols>
  <sheetData>
    <row r="1" ht="36" customHeight="1">
      <c r="A1" s="1" t="inlineStr">
        <is>
          <t>商业实习项目 · 机器人及其他科技公司</t>
        </is>
      </c>
    </row>
    <row r="2" ht="20" customHeight="1">
      <c r="A2" s="2" t="inlineStr">
        <is>
          <t>硬科技差异化履历；适合理工与交叉背景学生</t>
        </is>
      </c>
    </row>
    <row r="4" ht="24" customHeight="1">
      <c r="A4" s="3" t="inlineStr">
        <is>
          <t>企业与课题清单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 ht="26" customHeight="1">
      <c r="A5" s="10" t="inlineStr">
        <is>
          <t>序号</t>
        </is>
      </c>
      <c r="B5" s="10" t="inlineStr">
        <is>
          <t>类别</t>
        </is>
      </c>
      <c r="C5" s="10" t="inlineStr">
        <is>
          <t>企业名称</t>
        </is>
      </c>
      <c r="D5" s="10" t="inlineStr">
        <is>
          <t>适合人群</t>
        </is>
      </c>
      <c r="E5" s="10" t="inlineStr">
        <is>
          <t>岗位/课题方向</t>
        </is>
      </c>
      <c r="F5" s="10" t="inlineStr">
        <is>
          <t>产品形态</t>
        </is>
      </c>
      <c r="G5" s="10" t="inlineStr">
        <is>
          <t>建议定价(元)</t>
        </is>
      </c>
      <c r="H5" s="10" t="inlineStr">
        <is>
          <t>合作难度</t>
        </is>
      </c>
      <c r="I5" s="10" t="inlineStr">
        <is>
          <t>对接状态</t>
        </is>
      </c>
      <c r="J5" s="10" t="inlineStr">
        <is>
          <t>城市/远程</t>
        </is>
      </c>
      <c r="K5" s="10" t="inlineStr">
        <is>
          <t>备注</t>
        </is>
      </c>
    </row>
    <row r="6">
      <c r="A6" s="14" t="n">
        <v>1</v>
      </c>
      <c r="B6" s="14" t="inlineStr">
        <is>
          <t>人形/工业机器人</t>
        </is>
      </c>
      <c r="C6" s="14" t="inlineStr">
        <is>
          <t>优必选</t>
        </is>
      </c>
      <c r="D6" s="14" t="inlineStr">
        <is>
          <t>理工大学生</t>
        </is>
      </c>
      <c r="E6" s="19" t="inlineStr">
        <is>
          <t>算法/机械/测试</t>
        </is>
      </c>
      <c r="F6" s="14" t="inlineStr">
        <is>
          <t>实岗或课题</t>
        </is>
      </c>
      <c r="G6" s="14" t="n">
        <v>5980</v>
      </c>
      <c r="H6" s="14" t="inlineStr">
        <is>
          <t>中</t>
        </is>
      </c>
      <c r="I6" s="14" t="inlineStr">
        <is>
          <t>未开始</t>
        </is>
      </c>
      <c r="J6" s="14" t="inlineStr">
        <is>
          <t>深圳/混合</t>
        </is>
      </c>
      <c r="K6" s="14" t="inlineStr"/>
    </row>
    <row r="7">
      <c r="A7" s="11" t="n">
        <v>2</v>
      </c>
      <c r="B7" s="11" t="inlineStr">
        <is>
          <t>人形/工业机器人</t>
        </is>
      </c>
      <c r="C7" s="11" t="inlineStr">
        <is>
          <t>宇树科技</t>
        </is>
      </c>
      <c r="D7" s="11" t="inlineStr">
        <is>
          <t>理工大学生</t>
        </is>
      </c>
      <c r="E7" s="6" t="inlineStr">
        <is>
          <t>嵌入式/运动控制</t>
        </is>
      </c>
      <c r="F7" s="11" t="inlineStr">
        <is>
          <t>课题实训</t>
        </is>
      </c>
      <c r="G7" s="11" t="n">
        <v>6480</v>
      </c>
      <c r="H7" s="11" t="inlineStr">
        <is>
          <t>中高</t>
        </is>
      </c>
      <c r="I7" s="11" t="inlineStr">
        <is>
          <t>未开始</t>
        </is>
      </c>
      <c r="J7" s="11" t="inlineStr">
        <is>
          <t>杭州/混合</t>
        </is>
      </c>
      <c r="K7" s="11" t="inlineStr">
        <is>
          <t>热门，名额紧</t>
        </is>
      </c>
    </row>
    <row r="8">
      <c r="A8" s="14" t="n">
        <v>3</v>
      </c>
      <c r="B8" s="14" t="inlineStr">
        <is>
          <t>人形/工业机器人</t>
        </is>
      </c>
      <c r="C8" s="14" t="inlineStr">
        <is>
          <t>节卡机器人</t>
        </is>
      </c>
      <c r="D8" s="14" t="inlineStr">
        <is>
          <t>机械/自动化</t>
        </is>
      </c>
      <c r="E8" s="19" t="inlineStr">
        <is>
          <t>应用工程师助理</t>
        </is>
      </c>
      <c r="F8" s="14" t="inlineStr">
        <is>
          <t>项目制</t>
        </is>
      </c>
      <c r="G8" s="14" t="n">
        <v>4980</v>
      </c>
      <c r="H8" s="14" t="inlineStr">
        <is>
          <t>中</t>
        </is>
      </c>
      <c r="I8" s="14" t="inlineStr">
        <is>
          <t>未开始</t>
        </is>
      </c>
      <c r="J8" s="14" t="inlineStr">
        <is>
          <t>上海</t>
        </is>
      </c>
      <c r="K8" s="14" t="inlineStr"/>
    </row>
    <row r="9">
      <c r="A9" s="11" t="n">
        <v>4</v>
      </c>
      <c r="B9" s="11" t="inlineStr">
        <is>
          <t>人形/工业机器人</t>
        </is>
      </c>
      <c r="C9" s="11" t="inlineStr">
        <is>
          <t>埃斯顿</t>
        </is>
      </c>
      <c r="D9" s="11" t="inlineStr">
        <is>
          <t>自动化相关</t>
        </is>
      </c>
      <c r="E9" s="6" t="inlineStr">
        <is>
          <t>工业机器人应用</t>
        </is>
      </c>
      <c r="F9" s="11" t="inlineStr">
        <is>
          <t>项目制</t>
        </is>
      </c>
      <c r="G9" s="11" t="n">
        <v>4980</v>
      </c>
      <c r="H9" s="11" t="inlineStr">
        <is>
          <t>中</t>
        </is>
      </c>
      <c r="I9" s="11" t="inlineStr">
        <is>
          <t>未开始</t>
        </is>
      </c>
      <c r="J9" s="11" t="inlineStr">
        <is>
          <t>南京</t>
        </is>
      </c>
      <c r="K9" s="11" t="inlineStr"/>
    </row>
    <row r="10">
      <c r="A10" s="14" t="n">
        <v>5</v>
      </c>
      <c r="B10" s="14" t="inlineStr">
        <is>
          <t>自动驾驶/出行</t>
        </is>
      </c>
      <c r="C10" s="14" t="inlineStr">
        <is>
          <t>小马智行</t>
        </is>
      </c>
      <c r="D10" s="14" t="inlineStr">
        <is>
          <t>计算机/车辆</t>
        </is>
      </c>
      <c r="E10" s="19" t="inlineStr">
        <is>
          <t>感知标注/仿真支持</t>
        </is>
      </c>
      <c r="F10" s="14" t="inlineStr">
        <is>
          <t>远程+驻场</t>
        </is>
      </c>
      <c r="G10" s="14" t="n">
        <v>6800</v>
      </c>
      <c r="H10" s="14" t="inlineStr">
        <is>
          <t>中高</t>
        </is>
      </c>
      <c r="I10" s="14" t="inlineStr">
        <is>
          <t>未开始</t>
        </is>
      </c>
      <c r="J10" s="14" t="inlineStr">
        <is>
          <t>广州/远程</t>
        </is>
      </c>
      <c r="K10" s="14" t="inlineStr"/>
    </row>
    <row r="11">
      <c r="A11" s="11" t="n">
        <v>6</v>
      </c>
      <c r="B11" s="11" t="inlineStr">
        <is>
          <t>自动驾驶/出行</t>
        </is>
      </c>
      <c r="C11" s="11" t="inlineStr">
        <is>
          <t>文远知行</t>
        </is>
      </c>
      <c r="D11" s="11" t="inlineStr">
        <is>
          <t>计算机相关</t>
        </is>
      </c>
      <c r="E11" s="6" t="inlineStr">
        <is>
          <t>运营支持/数据</t>
        </is>
      </c>
      <c r="F11" s="11" t="inlineStr">
        <is>
          <t>项目制</t>
        </is>
      </c>
      <c r="G11" s="11" t="n">
        <v>6500</v>
      </c>
      <c r="H11" s="11" t="inlineStr">
        <is>
          <t>中高</t>
        </is>
      </c>
      <c r="I11" s="11" t="inlineStr">
        <is>
          <t>未开始</t>
        </is>
      </c>
      <c r="J11" s="11" t="inlineStr">
        <is>
          <t>广州</t>
        </is>
      </c>
      <c r="K11" s="11" t="inlineStr"/>
    </row>
    <row r="12">
      <c r="A12" s="14" t="n">
        <v>7</v>
      </c>
      <c r="B12" s="14" t="inlineStr">
        <is>
          <t>自动驾驶/出行</t>
        </is>
      </c>
      <c r="C12" s="14" t="inlineStr">
        <is>
          <t>Momenta</t>
        </is>
      </c>
      <c r="D12" s="14" t="inlineStr">
        <is>
          <t>算法相关</t>
        </is>
      </c>
      <c r="E12" s="19" t="inlineStr">
        <is>
          <t>数据闭环支持</t>
        </is>
      </c>
      <c r="F12" s="14" t="inlineStr">
        <is>
          <t>课题</t>
        </is>
      </c>
      <c r="G12" s="14" t="n">
        <v>6800</v>
      </c>
      <c r="H12" s="14" t="inlineStr">
        <is>
          <t>高</t>
        </is>
      </c>
      <c r="I12" s="14" t="inlineStr">
        <is>
          <t>未开始</t>
        </is>
      </c>
      <c r="J12" s="14" t="inlineStr">
        <is>
          <t>苏州/远程</t>
        </is>
      </c>
      <c r="K12" s="14" t="inlineStr"/>
    </row>
    <row r="13">
      <c r="A13" s="11" t="n">
        <v>8</v>
      </c>
      <c r="B13" s="11" t="inlineStr">
        <is>
          <t>具身智能/AI硬件</t>
        </is>
      </c>
      <c r="C13" s="11" t="inlineStr">
        <is>
          <t>智元机器人</t>
        </is>
      </c>
      <c r="D13" s="11" t="inlineStr">
        <is>
          <t>硕本交叉</t>
        </is>
      </c>
      <c r="E13" s="6" t="inlineStr">
        <is>
          <t>数据采集/应用demo</t>
        </is>
      </c>
      <c r="F13" s="11" t="inlineStr">
        <is>
          <t>课题营</t>
        </is>
      </c>
      <c r="G13" s="11" t="n">
        <v>7200</v>
      </c>
      <c r="H13" s="11" t="inlineStr">
        <is>
          <t>中高</t>
        </is>
      </c>
      <c r="I13" s="11" t="inlineStr">
        <is>
          <t>未开始</t>
        </is>
      </c>
      <c r="J13" s="11" t="inlineStr">
        <is>
          <t>上海</t>
        </is>
      </c>
      <c r="K13" s="11" t="inlineStr"/>
    </row>
    <row r="14">
      <c r="A14" s="14" t="n">
        <v>9</v>
      </c>
      <c r="B14" s="14" t="inlineStr">
        <is>
          <t>具身智能/AI硬件</t>
        </is>
      </c>
      <c r="C14" s="14" t="inlineStr">
        <is>
          <t>银河通用</t>
        </is>
      </c>
      <c r="D14" s="14" t="inlineStr">
        <is>
          <t>AI/机器人</t>
        </is>
      </c>
      <c r="E14" s="19" t="inlineStr">
        <is>
          <t>具身数据与评测</t>
        </is>
      </c>
      <c r="F14" s="14" t="inlineStr">
        <is>
          <t>课题</t>
        </is>
      </c>
      <c r="G14" s="14" t="n">
        <v>7000</v>
      </c>
      <c r="H14" s="14" t="inlineStr">
        <is>
          <t>中高</t>
        </is>
      </c>
      <c r="I14" s="14" t="inlineStr">
        <is>
          <t>未开始</t>
        </is>
      </c>
      <c r="J14" s="14" t="inlineStr">
        <is>
          <t>北京</t>
        </is>
      </c>
      <c r="K14" s="14" t="inlineStr"/>
    </row>
    <row r="15">
      <c r="A15" s="11" t="n">
        <v>10</v>
      </c>
      <c r="B15" s="11" t="inlineStr">
        <is>
          <t>具身智能/AI硬件</t>
        </is>
      </c>
      <c r="C15" s="11" t="inlineStr">
        <is>
          <t>云深处科技</t>
        </is>
      </c>
      <c r="D15" s="11" t="inlineStr">
        <is>
          <t>机械/控制</t>
        </is>
      </c>
      <c r="E15" s="6" t="inlineStr">
        <is>
          <t>四足机器人应用</t>
        </is>
      </c>
      <c r="F15" s="11" t="inlineStr">
        <is>
          <t>项目制</t>
        </is>
      </c>
      <c r="G15" s="11" t="n">
        <v>5800</v>
      </c>
      <c r="H15" s="11" t="inlineStr">
        <is>
          <t>中</t>
        </is>
      </c>
      <c r="I15" s="11" t="inlineStr">
        <is>
          <t>未开始</t>
        </is>
      </c>
      <c r="J15" s="11" t="inlineStr">
        <is>
          <t>杭州</t>
        </is>
      </c>
      <c r="K15" s="11" t="inlineStr"/>
    </row>
    <row r="16">
      <c r="A16" s="14" t="n">
        <v>11</v>
      </c>
      <c r="B16" s="14" t="inlineStr">
        <is>
          <t>企业服务SaaS</t>
        </is>
      </c>
      <c r="C16" s="14" t="inlineStr">
        <is>
          <t>用友</t>
        </is>
      </c>
      <c r="D16" s="14" t="inlineStr">
        <is>
          <t>商科/信管</t>
        </is>
      </c>
      <c r="E16" s="19" t="inlineStr">
        <is>
          <t>实施助理/客户成功</t>
        </is>
      </c>
      <c r="F16" s="14" t="inlineStr">
        <is>
          <t>项目制</t>
        </is>
      </c>
      <c r="G16" s="14" t="n">
        <v>3980</v>
      </c>
      <c r="H16" s="14" t="inlineStr">
        <is>
          <t>低</t>
        </is>
      </c>
      <c r="I16" s="14" t="inlineStr">
        <is>
          <t>未开始</t>
        </is>
      </c>
      <c r="J16" s="14" t="inlineStr">
        <is>
          <t>远程/北京</t>
        </is>
      </c>
      <c r="K16" s="14" t="inlineStr">
        <is>
          <t>易起量</t>
        </is>
      </c>
    </row>
    <row r="17">
      <c r="A17" s="11" t="n">
        <v>12</v>
      </c>
      <c r="B17" s="11" t="inlineStr">
        <is>
          <t>企业服务SaaS</t>
        </is>
      </c>
      <c r="C17" s="11" t="inlineStr">
        <is>
          <t>金蝶</t>
        </is>
      </c>
      <c r="D17" s="11" t="inlineStr">
        <is>
          <t>商科/信管</t>
        </is>
      </c>
      <c r="E17" s="6" t="inlineStr">
        <is>
          <t>实施/支持</t>
        </is>
      </c>
      <c r="F17" s="11" t="inlineStr">
        <is>
          <t>项目制</t>
        </is>
      </c>
      <c r="G17" s="11" t="n">
        <v>3980</v>
      </c>
      <c r="H17" s="11" t="inlineStr">
        <is>
          <t>低</t>
        </is>
      </c>
      <c r="I17" s="11" t="inlineStr">
        <is>
          <t>未开始</t>
        </is>
      </c>
      <c r="J17" s="11" t="inlineStr">
        <is>
          <t>远程/深圳</t>
        </is>
      </c>
      <c r="K17" s="11" t="inlineStr"/>
    </row>
    <row r="18">
      <c r="A18" s="14" t="n">
        <v>13</v>
      </c>
      <c r="B18" s="14" t="inlineStr">
        <is>
          <t>企业服务SaaS</t>
        </is>
      </c>
      <c r="C18" s="14" t="inlineStr">
        <is>
          <t>销售易</t>
        </is>
      </c>
      <c r="D18" s="14" t="inlineStr">
        <is>
          <t>市场营销/信管</t>
        </is>
      </c>
      <c r="E18" s="19" t="inlineStr">
        <is>
          <t>售前支持/运营</t>
        </is>
      </c>
      <c r="F18" s="14" t="inlineStr">
        <is>
          <t>远程实习</t>
        </is>
      </c>
      <c r="G18" s="14" t="n">
        <v>4200</v>
      </c>
      <c r="H18" s="14" t="inlineStr">
        <is>
          <t>中</t>
        </is>
      </c>
      <c r="I18" s="14" t="inlineStr">
        <is>
          <t>未开始</t>
        </is>
      </c>
      <c r="J18" s="14" t="inlineStr">
        <is>
          <t>远程</t>
        </is>
      </c>
      <c r="K18" s="14" t="inlineStr"/>
    </row>
    <row r="19">
      <c r="A19" s="11" t="n">
        <v>14</v>
      </c>
      <c r="B19" s="11" t="inlineStr">
        <is>
          <t>企业服务SaaS</t>
        </is>
      </c>
      <c r="C19" s="11" t="inlineStr">
        <is>
          <t>北森</t>
        </is>
      </c>
      <c r="D19" s="11" t="inlineStr">
        <is>
          <t>人力/心理/信管</t>
        </is>
      </c>
      <c r="E19" s="6" t="inlineStr">
        <is>
          <t>HR SaaS 运营支持</t>
        </is>
      </c>
      <c r="F19" s="11" t="inlineStr">
        <is>
          <t>远程实习</t>
        </is>
      </c>
      <c r="G19" s="11" t="n">
        <v>4200</v>
      </c>
      <c r="H19" s="11" t="inlineStr">
        <is>
          <t>中</t>
        </is>
      </c>
      <c r="I19" s="11" t="inlineStr">
        <is>
          <t>未开始</t>
        </is>
      </c>
      <c r="J19" s="11" t="inlineStr">
        <is>
          <t>远程</t>
        </is>
      </c>
      <c r="K19" s="11" t="inlineStr"/>
    </row>
    <row r="20">
      <c r="A20" s="14" t="n">
        <v>15</v>
      </c>
      <c r="B20" s="14" t="inlineStr">
        <is>
          <t>半导体/芯片生态</t>
        </is>
      </c>
      <c r="C20" s="14" t="inlineStr">
        <is>
          <t>寒武纪</t>
        </is>
      </c>
      <c r="D20" s="14" t="inlineStr">
        <is>
          <t>电子信息</t>
        </is>
      </c>
      <c r="E20" s="19" t="inlineStr">
        <is>
          <t>工具链文档/资料研究</t>
        </is>
      </c>
      <c r="F20" s="14" t="inlineStr">
        <is>
          <t>课题研究</t>
        </is>
      </c>
      <c r="G20" s="14" t="n">
        <v>5500</v>
      </c>
      <c r="H20" s="14" t="inlineStr">
        <is>
          <t>高</t>
        </is>
      </c>
      <c r="I20" s="14" t="inlineStr">
        <is>
          <t>未开始</t>
        </is>
      </c>
      <c r="J20" s="14" t="inlineStr">
        <is>
          <t>北京/远程</t>
        </is>
      </c>
      <c r="K20" s="14" t="inlineStr">
        <is>
          <t>表述需谨慎</t>
        </is>
      </c>
    </row>
    <row r="21">
      <c r="A21" s="11" t="n">
        <v>16</v>
      </c>
      <c r="B21" s="11" t="inlineStr">
        <is>
          <t>半导体/芯片生态</t>
        </is>
      </c>
      <c r="C21" s="11" t="inlineStr">
        <is>
          <t>地平线</t>
        </is>
      </c>
      <c r="D21" s="11" t="inlineStr">
        <is>
          <t>电子/计算机</t>
        </is>
      </c>
      <c r="E21" s="6" t="inlineStr">
        <is>
          <t>嵌入式工具支持</t>
        </is>
      </c>
      <c r="F21" s="11" t="inlineStr">
        <is>
          <t>课题</t>
        </is>
      </c>
      <c r="G21" s="11" t="n">
        <v>5800</v>
      </c>
      <c r="H21" s="11" t="inlineStr">
        <is>
          <t>高</t>
        </is>
      </c>
      <c r="I21" s="11" t="inlineStr">
        <is>
          <t>未开始</t>
        </is>
      </c>
      <c r="J21" s="11" t="inlineStr">
        <is>
          <t>上海/远程</t>
        </is>
      </c>
      <c r="K21" s="11" t="inlineStr"/>
    </row>
    <row r="22">
      <c r="A22" s="14" t="n">
        <v>17</v>
      </c>
      <c r="B22" s="14" t="inlineStr">
        <is>
          <t>生物科技/医疗AI</t>
        </is>
      </c>
      <c r="C22" s="14" t="inlineStr">
        <is>
          <t>联影智能</t>
        </is>
      </c>
      <c r="D22" s="14" t="inlineStr">
        <is>
          <t>生医/AI交叉</t>
        </is>
      </c>
      <c r="E22" s="19" t="inlineStr">
        <is>
          <t>标注/产品助理</t>
        </is>
      </c>
      <c r="F22" s="14" t="inlineStr">
        <is>
          <t>项目制</t>
        </is>
      </c>
      <c r="G22" s="14" t="n">
        <v>5200</v>
      </c>
      <c r="H22" s="14" t="inlineStr">
        <is>
          <t>中</t>
        </is>
      </c>
      <c r="I22" s="14" t="inlineStr">
        <is>
          <t>未开始</t>
        </is>
      </c>
      <c r="J22" s="14" t="inlineStr">
        <is>
          <t>上海</t>
        </is>
      </c>
      <c r="K22" s="14" t="inlineStr"/>
    </row>
    <row r="23">
      <c r="A23" s="11" t="n">
        <v>18</v>
      </c>
      <c r="B23" s="11" t="inlineStr">
        <is>
          <t>生物科技/医疗AI</t>
        </is>
      </c>
      <c r="C23" s="11" t="inlineStr">
        <is>
          <t>推想科技</t>
        </is>
      </c>
      <c r="D23" s="11" t="inlineStr">
        <is>
          <t>生医/AI</t>
        </is>
      </c>
      <c r="E23" s="6" t="inlineStr">
        <is>
          <t>文献/数据标注</t>
        </is>
      </c>
      <c r="F23" s="11" t="inlineStr">
        <is>
          <t>远程项目</t>
        </is>
      </c>
      <c r="G23" s="11" t="n">
        <v>4800</v>
      </c>
      <c r="H23" s="11" t="inlineStr">
        <is>
          <t>中</t>
        </is>
      </c>
      <c r="I23" s="11" t="inlineStr">
        <is>
          <t>未开始</t>
        </is>
      </c>
      <c r="J23" s="11" t="inlineStr">
        <is>
          <t>远程</t>
        </is>
      </c>
      <c r="K23" s="11" t="inlineStr"/>
    </row>
    <row r="24">
      <c r="A24" s="14" t="n">
        <v>19</v>
      </c>
      <c r="B24" s="14" t="inlineStr">
        <is>
          <t>生物科技/医疗AI</t>
        </is>
      </c>
      <c r="C24" s="14" t="inlineStr">
        <is>
          <t>数坤科技</t>
        </is>
      </c>
      <c r="D24" s="14" t="inlineStr">
        <is>
          <t>生医交叉</t>
        </is>
      </c>
      <c r="E24" s="19" t="inlineStr">
        <is>
          <t>产品助理支持</t>
        </is>
      </c>
      <c r="F24" s="14" t="inlineStr">
        <is>
          <t>项目制</t>
        </is>
      </c>
      <c r="G24" s="14" t="n">
        <v>5000</v>
      </c>
      <c r="H24" s="14" t="inlineStr">
        <is>
          <t>中</t>
        </is>
      </c>
      <c r="I24" s="14" t="inlineStr">
        <is>
          <t>未开始</t>
        </is>
      </c>
      <c r="J24" s="14" t="inlineStr">
        <is>
          <t>北京</t>
        </is>
      </c>
      <c r="K24" s="14" t="inlineStr"/>
    </row>
    <row r="27" ht="24" customHeight="1">
      <c r="A27" s="8" t="inlineStr">
        <is>
          <t>赛道组合建议（试点优先）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 ht="26" customHeight="1">
      <c r="A28" s="10" t="inlineStr">
        <is>
          <t>优先级</t>
        </is>
      </c>
      <c r="B28" s="10" t="inlineStr">
        <is>
          <t>赛道</t>
        </is>
      </c>
      <c r="C28" s="10" t="inlineStr">
        <is>
          <t>首批目标签约数</t>
        </is>
      </c>
      <c r="D28" s="10" t="inlineStr">
        <is>
          <t>理由</t>
        </is>
      </c>
      <c r="E28" s="10" t="inlineStr">
        <is>
          <t>主要客群</t>
        </is>
      </c>
    </row>
    <row r="29">
      <c r="A29" s="11" t="inlineStr">
        <is>
          <t>P0</t>
        </is>
      </c>
      <c r="B29" s="11" t="inlineStr">
        <is>
          <t>企业服务 SaaS</t>
        </is>
      </c>
      <c r="C29" s="11" t="n">
        <v>4</v>
      </c>
      <c r="D29" s="6" t="inlineStr">
        <is>
          <t>合作门槛低、远程友好、易标准化交付</t>
        </is>
      </c>
      <c r="E29" s="11" t="inlineStr">
        <is>
          <t>商科/综合类大学生</t>
        </is>
      </c>
    </row>
    <row r="30">
      <c r="A30" s="14" t="inlineStr">
        <is>
          <t>P0</t>
        </is>
      </c>
      <c r="B30" s="14" t="inlineStr">
        <is>
          <t>人形/工业机器人</t>
        </is>
      </c>
      <c r="C30" s="14" t="n">
        <v>3</v>
      </c>
      <c r="D30" s="19" t="inlineStr">
        <is>
          <t>履历辨识度高、家长与学生兴趣强</t>
        </is>
      </c>
      <c r="E30" s="14" t="inlineStr">
        <is>
          <t>理工大学生</t>
        </is>
      </c>
    </row>
    <row r="31">
      <c r="A31" s="11" t="inlineStr">
        <is>
          <t>P1</t>
        </is>
      </c>
      <c r="B31" s="11" t="inlineStr">
        <is>
          <t>具身智能/AI 硬件</t>
        </is>
      </c>
      <c r="C31" s="11" t="n">
        <v>2</v>
      </c>
      <c r="D31" s="6" t="inlineStr">
        <is>
          <t>热点赛道，支撑进阶定价</t>
        </is>
      </c>
      <c r="E31" s="11" t="inlineStr">
        <is>
          <t>优生/交叉背景</t>
        </is>
      </c>
    </row>
    <row r="32">
      <c r="A32" s="14" t="inlineStr">
        <is>
          <t>P1</t>
        </is>
      </c>
      <c r="B32" s="14" t="inlineStr">
        <is>
          <t>医疗 AI</t>
        </is>
      </c>
      <c r="C32" s="14" t="n">
        <v>2</v>
      </c>
      <c r="D32" s="19" t="inlineStr">
        <is>
          <t>差异化，适合生医交叉</t>
        </is>
      </c>
      <c r="E32" s="14" t="inlineStr">
        <is>
          <t>相关专业</t>
        </is>
      </c>
    </row>
    <row r="33">
      <c r="A33" s="11" t="inlineStr">
        <is>
          <t>P2</t>
        </is>
      </c>
      <c r="B33" s="11" t="inlineStr">
        <is>
          <t>自动驾驶/芯片</t>
        </is>
      </c>
      <c r="C33" s="11" t="n">
        <v>2</v>
      </c>
      <c r="D33" s="6" t="inlineStr">
        <is>
          <t>品牌强但对接周期长</t>
        </is>
      </c>
      <c r="E33" s="11" t="inlineStr">
        <is>
          <t>对口专业</t>
        </is>
      </c>
    </row>
  </sheetData>
  <mergeCells count="4">
    <mergeCell ref="A2:K2"/>
    <mergeCell ref="A1:K1"/>
    <mergeCell ref="A4:K4"/>
    <mergeCell ref="A27:K27"/>
  </mergeCells>
  <dataValidations count="1">
    <dataValidation sqref="I6:I24" showDropDown="0" showInputMessage="0" showErrorMessage="0" allowBlank="1" type="list">
      <formula1>"未开始,进行中,已完成,延期,取消"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36" customWidth="1" min="4" max="4"/>
    <col width="22" customWidth="1" min="5" max="5"/>
    <col width="16" customWidth="1" min="6" max="6"/>
    <col width="12" customWidth="1" min="7" max="7"/>
    <col width="12" customWidth="1" min="8" max="8"/>
    <col width="12" customWidth="1" min="9" max="9"/>
  </cols>
  <sheetData>
    <row r="1" ht="36" customHeight="1">
      <c r="A1" s="1" t="inlineStr">
        <is>
          <t>战略取舍：取消「开证明」业务</t>
        </is>
      </c>
    </row>
    <row r="2" ht="20" customHeight="1">
      <c r="A2" s="2" t="inlineStr">
        <is>
          <t>费用低 · 成本与风险高 → 一律停售 199 / 699 / 1,680，聚焦高价值商业与就业档</t>
        </is>
      </c>
    </row>
    <row r="4" ht="24" customHeight="1">
      <c r="A4" s="20" t="inlineStr">
        <is>
          <t>一、已停售产品（不再报价、不再交付）</t>
        </is>
      </c>
      <c r="B4" s="21" t="n"/>
      <c r="C4" s="21" t="n"/>
      <c r="D4" s="21" t="n"/>
      <c r="E4" s="21" t="n"/>
      <c r="F4" s="21" t="n"/>
      <c r="G4" s="21" t="n"/>
      <c r="H4" s="21" t="n"/>
      <c r="I4" s="21" t="n"/>
    </row>
    <row r="5" ht="26" customHeight="1">
      <c r="A5" s="22" t="inlineStr">
        <is>
          <t>原产品代码</t>
        </is>
      </c>
      <c r="B5" s="22" t="inlineStr">
        <is>
          <t>原产品名称</t>
        </is>
      </c>
      <c r="C5" s="22" t="inlineStr">
        <is>
          <t>原定价(元)</t>
        </is>
      </c>
      <c r="D5" s="22" t="inlineStr">
        <is>
          <t>停售原因</t>
        </is>
      </c>
      <c r="E5" s="22" t="inlineStr">
        <is>
          <t>替代方案</t>
        </is>
      </c>
      <c r="F5" s="22" t="inlineStr">
        <is>
          <t>状态</t>
        </is>
      </c>
    </row>
    <row r="6" ht="32" customHeight="1">
      <c r="A6" s="23" t="inlineStr">
        <is>
          <t>GW-01</t>
        </is>
      </c>
      <c r="B6" s="23" t="inlineStr">
        <is>
          <t>线上实习·证明版</t>
        </is>
      </c>
      <c r="C6" s="23" t="n">
        <v>199</v>
      </c>
      <c r="D6" s="24" t="inlineStr">
        <is>
          <t>客单过低；核验/舆情成本高</t>
        </is>
      </c>
      <c r="E6" s="24" t="inlineStr">
        <is>
          <t>导入商业标准项目 5,480</t>
        </is>
      </c>
      <c r="F6" s="23" t="inlineStr">
        <is>
          <t>已停售</t>
        </is>
      </c>
    </row>
    <row r="7" ht="32" customHeight="1">
      <c r="A7" s="23" t="inlineStr">
        <is>
          <t>GW-02</t>
        </is>
      </c>
      <c r="B7" s="23" t="inlineStr">
        <is>
          <t>证明+申报支持</t>
        </is>
      </c>
      <c r="C7" s="23" t="n">
        <v>699</v>
      </c>
      <c r="D7" s="24" t="inlineStr">
        <is>
          <t>费用低、运营带宽占用大</t>
        </is>
      </c>
      <c r="E7" s="24" t="inlineStr">
        <is>
          <t>随项目交付结业证明</t>
        </is>
      </c>
      <c r="F7" s="23" t="inlineStr">
        <is>
          <t>已停售</t>
        </is>
      </c>
    </row>
    <row r="8" ht="32" customHeight="1">
      <c r="A8" s="23" t="inlineStr">
        <is>
          <t>GW-03</t>
        </is>
      </c>
      <c r="B8" s="23" t="inlineStr">
        <is>
          <t>证明+推荐信协助</t>
        </is>
      </c>
      <c r="C8" s="23" t="n">
        <v>1680</v>
      </c>
      <c r="D8" s="24" t="inlineStr">
        <is>
          <t>单独售卖风险高、易被质疑水经历</t>
        </is>
      </c>
      <c r="E8" s="24" t="inlineStr">
        <is>
          <t>仅项目学员加购 +1,500</t>
        </is>
      </c>
      <c r="F8" s="23" t="inlineStr">
        <is>
          <t>已停售</t>
        </is>
      </c>
    </row>
    <row r="10" ht="24" customHeight="1">
      <c r="A10" s="25" t="inlineStr">
        <is>
          <t>二、为什么取消（决策依据）</t>
        </is>
      </c>
      <c r="B10" s="26" t="n"/>
      <c r="C10" s="26" t="n"/>
      <c r="D10" s="26" t="n"/>
      <c r="E10" s="26" t="n"/>
      <c r="F10" s="26" t="n"/>
      <c r="G10" s="26" t="n"/>
      <c r="H10" s="26" t="n"/>
      <c r="I10" s="26" t="n"/>
    </row>
    <row r="11" ht="26" customHeight="1">
      <c r="A11" s="10" t="inlineStr">
        <is>
          <t>维度</t>
        </is>
      </c>
      <c r="B11" s="10" t="inlineStr">
        <is>
          <t>说明</t>
        </is>
      </c>
    </row>
    <row r="12">
      <c r="A12" s="19" t="inlineStr">
        <is>
          <t>客单价</t>
        </is>
      </c>
      <c r="B12" s="19" t="inlineStr">
        <is>
          <t>199–1,680 元档难以覆盖真实企业对接与合规成本</t>
        </is>
      </c>
    </row>
    <row r="13">
      <c r="A13" s="6" t="inlineStr">
        <is>
          <t>风险</t>
        </is>
      </c>
      <c r="B13" s="6" t="inlineStr">
        <is>
          <t>「开证明」易引发不实经历质疑，品牌与舆情风险不对等</t>
        </is>
      </c>
    </row>
    <row r="14">
      <c r="A14" s="19" t="inlineStr">
        <is>
          <t>机会成本</t>
        </is>
      </c>
      <c r="B14" s="19" t="inlineStr">
        <is>
          <t>同样教务/企业带宽可售 5,480–11,800 高价值档</t>
        </is>
      </c>
    </row>
    <row r="15">
      <c r="A15" s="6" t="inlineStr">
        <is>
          <t>战略聚焦</t>
        </is>
      </c>
      <c r="B15" s="6" t="inlineStr">
        <is>
          <t>三类人群需求改由真实企业课题满足，证明只作交付物</t>
        </is>
      </c>
    </row>
    <row r="17" ht="24" customHeight="1">
      <c r="A17" s="8" t="inlineStr">
        <is>
          <t>三、在售高价值产品（替代组合）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</row>
    <row r="18" ht="26" customHeight="1">
      <c r="A18" s="10" t="inlineStr">
        <is>
          <t>产品代码</t>
        </is>
      </c>
      <c r="B18" s="10" t="inlineStr">
        <is>
          <t>产品名称</t>
        </is>
      </c>
      <c r="C18" s="10" t="inlineStr">
        <is>
          <t>标准价(元)</t>
        </is>
      </c>
      <c r="D18" s="10" t="inlineStr">
        <is>
          <t>交付物</t>
        </is>
      </c>
      <c r="E18" s="10" t="inlineStr">
        <is>
          <t>周期</t>
        </is>
      </c>
      <c r="F18" s="10" t="inlineStr">
        <is>
          <t>主要人群</t>
        </is>
      </c>
      <c r="G18" s="10" t="inlineStr">
        <is>
          <t>备注</t>
        </is>
      </c>
    </row>
    <row r="19">
      <c r="A19" s="11" t="inlineStr">
        <is>
          <t>BZ-01</t>
        </is>
      </c>
      <c r="B19" s="11" t="inlineStr">
        <is>
          <t>科技/具身智能项目实习</t>
        </is>
      </c>
      <c r="C19" s="11" t="n">
        <v>5480</v>
      </c>
      <c r="D19" s="11" t="inlineStr">
        <is>
          <t>真实课题+周报+结业证明</t>
        </is>
      </c>
      <c r="E19" s="11" t="inlineStr">
        <is>
          <t>4–6 周</t>
        </is>
      </c>
      <c r="F19" s="11" t="inlineStr">
        <is>
          <t>高中优生/大学生</t>
        </is>
      </c>
      <c r="G19" s="11" t="inlineStr">
        <is>
          <t>主推</t>
        </is>
      </c>
    </row>
    <row r="20">
      <c r="A20" s="14" t="inlineStr">
        <is>
          <t>BZ-02</t>
        </is>
      </c>
      <c r="B20" s="14" t="inlineStr">
        <is>
          <t>上海 AI / 头部通道营</t>
        </is>
      </c>
      <c r="C20" s="14" t="n">
        <v>11800</v>
      </c>
      <c r="D20" s="14" t="inlineStr">
        <is>
          <t>品牌项目+导师+答辩+证明</t>
        </is>
      </c>
      <c r="E20" s="14" t="inlineStr">
        <is>
          <t>4–6 周</t>
        </is>
      </c>
      <c r="F20" s="14" t="inlineStr">
        <is>
          <t>大学生优生</t>
        </is>
      </c>
      <c r="G20" s="14" t="inlineStr">
        <is>
          <t>高毛利</t>
        </is>
      </c>
    </row>
    <row r="21">
      <c r="A21" s="11" t="inlineStr">
        <is>
          <t>JY-01</t>
        </is>
      </c>
      <c r="B21" s="11" t="inlineStr">
        <is>
          <t>毕业生就业转化包</t>
        </is>
      </c>
      <c r="C21" s="11" t="n">
        <v>9800</v>
      </c>
      <c r="D21" s="11" t="inlineStr">
        <is>
          <t>过渡实习+内推辅导+证明</t>
        </is>
      </c>
      <c r="E21" s="11" t="inlineStr">
        <is>
          <t>6–12 周</t>
        </is>
      </c>
      <c r="F21" s="11" t="inlineStr">
        <is>
          <t>毕业生</t>
        </is>
      </c>
      <c r="G21" s="11" t="inlineStr">
        <is>
          <t>转化出口</t>
        </is>
      </c>
    </row>
    <row r="22">
      <c r="A22" s="14" t="inlineStr">
        <is>
          <t>ZZ-01</t>
        </is>
      </c>
      <c r="B22" s="14" t="inlineStr">
        <is>
          <t>推荐信加购（不可单卖）</t>
        </is>
      </c>
      <c r="C22" s="14" t="n">
        <v>1500</v>
      </c>
      <c r="D22" s="14" t="inlineStr">
        <is>
          <t>中/英推荐信</t>
        </is>
      </c>
      <c r="E22" s="14" t="inlineStr">
        <is>
          <t>随项目</t>
        </is>
      </c>
      <c r="F22" s="14" t="inlineStr">
        <is>
          <t>在营学员</t>
        </is>
      </c>
      <c r="G22" s="14" t="inlineStr">
        <is>
          <t>可选</t>
        </is>
      </c>
    </row>
    <row r="24" ht="24" customHeight="1">
      <c r="A24" s="3" t="inlineStr">
        <is>
          <t>四、对外话术红线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</row>
    <row r="25" ht="28" customHeight="1">
      <c r="A25" s="27" t="inlineStr">
        <is>
          <t>• 不得再宣传或报价任何「开证明 / 盖章证明 / 低价实习证明」单独产品。</t>
        </is>
      </c>
    </row>
    <row r="26" ht="28" customHeight="1">
      <c r="A26" s="27" t="inlineStr">
        <is>
          <t>• 结业证明仅作为高价值项目履约交付物，须基于真实课题完成情况出具。</t>
        </is>
      </c>
    </row>
    <row r="27" ht="28" customHeight="1">
      <c r="A27" s="27" t="inlineStr">
        <is>
          <t>• 推荐信不得单独售卖；仅可对已参加项目的学员加购，且内容须基于真实表现。</t>
        </is>
      </c>
    </row>
  </sheetData>
  <mergeCells count="9">
    <mergeCell ref="A25:I25"/>
    <mergeCell ref="A2:I2"/>
    <mergeCell ref="A10:I10"/>
    <mergeCell ref="A1:I1"/>
    <mergeCell ref="A17:I17"/>
    <mergeCell ref="A27:I27"/>
    <mergeCell ref="A4:I4"/>
    <mergeCell ref="A26:I26"/>
    <mergeCell ref="A24:I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32" customWidth="1" min="6" max="6"/>
    <col width="18" customWidth="1" min="7" max="7"/>
    <col width="14" customWidth="1" min="8" max="8"/>
    <col width="10" customWidth="1" min="9" max="9"/>
    <col width="22" customWidth="1" min="10" max="10"/>
    <col width="12" customWidth="1" min="11" max="11"/>
    <col width="10" customWidth="1" min="12" max="12"/>
  </cols>
  <sheetData>
    <row r="1" ht="36" customHeight="1">
      <c r="A1" s="1" t="inlineStr">
        <is>
          <t>收费标准与定价机制</t>
        </is>
      </c>
    </row>
    <row r="2" ht="20" customHeight="1">
      <c r="A2" s="2" t="inlineStr">
        <is>
          <t>仅高价值档 · 成本加成 · 支付节奏 · 折扣政策 · 已取消开证明</t>
        </is>
      </c>
    </row>
    <row r="4" ht="24" customHeight="1">
      <c r="A4" s="3" t="inlineStr">
        <is>
          <t>一、面向 C 端标准价目表（在售）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</row>
    <row r="5" ht="26" customHeight="1">
      <c r="A5" s="10" t="inlineStr">
        <is>
          <t>产品线</t>
        </is>
      </c>
      <c r="B5" s="10" t="inlineStr">
        <is>
          <t>套餐名称</t>
        </is>
      </c>
      <c r="C5" s="10" t="inlineStr">
        <is>
          <t>建议定价下限</t>
        </is>
      </c>
      <c r="D5" s="10" t="inlineStr">
        <is>
          <t>建议定价上限</t>
        </is>
      </c>
      <c r="E5" s="10" t="inlineStr">
        <is>
          <t>标准价(用于测算)</t>
        </is>
      </c>
      <c r="F5" s="10" t="inlineStr">
        <is>
          <t>包含内容</t>
        </is>
      </c>
      <c r="G5" s="10" t="inlineStr">
        <is>
          <t>不含内容</t>
        </is>
      </c>
      <c r="H5" s="10" t="inlineStr">
        <is>
          <t>目标人群</t>
        </is>
      </c>
      <c r="I5" s="10" t="inlineStr">
        <is>
          <t>最短周期</t>
        </is>
      </c>
      <c r="J5" s="10" t="inlineStr">
        <is>
          <t>退费政策要点</t>
        </is>
      </c>
      <c r="K5" s="10" t="inlineStr">
        <is>
          <t>推荐渠道</t>
        </is>
      </c>
      <c r="L5" s="10" t="inlineStr">
        <is>
          <t>上架优先级</t>
        </is>
      </c>
    </row>
    <row r="6" ht="36" customHeight="1">
      <c r="A6" s="14" t="inlineStr">
        <is>
          <t>商业</t>
        </is>
      </c>
      <c r="B6" s="14" t="inlineStr">
        <is>
          <t>科技/具身智能项目实习</t>
        </is>
      </c>
      <c r="C6" s="14" t="n">
        <v>3980</v>
      </c>
      <c r="D6" s="14" t="n">
        <v>6980</v>
      </c>
      <c r="E6" s="14" t="n">
        <v>5480</v>
      </c>
      <c r="F6" s="19" t="inlineStr">
        <is>
          <t>4–6周真实课题+周报+结业证明</t>
        </is>
      </c>
      <c r="G6" s="19" t="inlineStr">
        <is>
          <t>包录取/包转正</t>
        </is>
      </c>
      <c r="H6" s="14" t="inlineStr">
        <is>
          <t>高中优生/大学生</t>
        </is>
      </c>
      <c r="I6" s="14" t="inlineStr">
        <is>
          <t>4 周</t>
        </is>
      </c>
      <c r="J6" s="14" t="inlineStr">
        <is>
          <t>定金不退，企业未确认前可协商</t>
        </is>
      </c>
      <c r="K6" s="14" t="inlineStr">
        <is>
          <t>高校社团</t>
        </is>
      </c>
      <c r="L6" s="14" t="inlineStr">
        <is>
          <t>P0</t>
        </is>
      </c>
    </row>
    <row r="7" ht="36" customHeight="1">
      <c r="A7" s="11" t="inlineStr">
        <is>
          <t>商业</t>
        </is>
      </c>
      <c r="B7" s="11" t="inlineStr">
        <is>
          <t>上海AI/头部通道营</t>
        </is>
      </c>
      <c r="C7" s="11" t="n">
        <v>8800</v>
      </c>
      <c r="D7" s="11" t="n">
        <v>15800</v>
      </c>
      <c r="E7" s="11" t="n">
        <v>11800</v>
      </c>
      <c r="F7" s="6" t="inlineStr">
        <is>
          <t>品牌项目+导师+答辩+证明</t>
        </is>
      </c>
      <c r="G7" s="6" t="inlineStr">
        <is>
          <t>包转正</t>
        </is>
      </c>
      <c r="H7" s="11" t="inlineStr">
        <is>
          <t>大学生/优生</t>
        </is>
      </c>
      <c r="I7" s="11" t="inlineStr">
        <is>
          <t>4–6 周</t>
        </is>
      </c>
      <c r="J7" s="11" t="inlineStr">
        <is>
          <t>分期节点退费</t>
        </is>
      </c>
      <c r="K7" s="11" t="inlineStr">
        <is>
          <t>KOL/机构</t>
        </is>
      </c>
      <c r="L7" s="11" t="inlineStr">
        <is>
          <t>P0</t>
        </is>
      </c>
    </row>
    <row r="8" ht="36" customHeight="1">
      <c r="A8" s="14" t="inlineStr">
        <is>
          <t>就业</t>
        </is>
      </c>
      <c r="B8" s="14" t="inlineStr">
        <is>
          <t>毕业生过渡实习包</t>
        </is>
      </c>
      <c r="C8" s="14" t="n">
        <v>6800</v>
      </c>
      <c r="D8" s="14" t="n">
        <v>12800</v>
      </c>
      <c r="E8" s="14" t="n">
        <v>9800</v>
      </c>
      <c r="F8" s="19" t="inlineStr">
        <is>
          <t>实习+内推辅导+复盘+证明</t>
        </is>
      </c>
      <c r="G8" s="19" t="inlineStr">
        <is>
          <t>包 Offer</t>
        </is>
      </c>
      <c r="H8" s="14" t="inlineStr">
        <is>
          <t>毕业生</t>
        </is>
      </c>
      <c r="I8" s="14" t="inlineStr">
        <is>
          <t>6–12 周</t>
        </is>
      </c>
      <c r="J8" s="14" t="inlineStr">
        <is>
          <t>入营评估后按阶段退</t>
        </is>
      </c>
      <c r="K8" s="14" t="inlineStr">
        <is>
          <t>社招渠道</t>
        </is>
      </c>
      <c r="L8" s="14" t="inlineStr">
        <is>
          <t>P0</t>
        </is>
      </c>
    </row>
    <row r="9" ht="36" customHeight="1">
      <c r="A9" s="11" t="inlineStr">
        <is>
          <t>增值</t>
        </is>
      </c>
      <c r="B9" s="11" t="inlineStr">
        <is>
          <t>推荐信加购</t>
        </is>
      </c>
      <c r="C9" s="11" t="n">
        <v>1500</v>
      </c>
      <c r="D9" s="11" t="n">
        <v>1500</v>
      </c>
      <c r="E9" s="11" t="n">
        <v>1500</v>
      </c>
      <c r="F9" s="6" t="inlineStr">
        <is>
          <t>中/英推荐信（仅项目学员）</t>
        </is>
      </c>
      <c r="G9" s="6" t="inlineStr">
        <is>
          <t>不可单独购买</t>
        </is>
      </c>
      <c r="H9" s="11" t="inlineStr">
        <is>
          <t>在营/结业学员</t>
        </is>
      </c>
      <c r="I9" s="11" t="inlineStr">
        <is>
          <t>随项目</t>
        </is>
      </c>
      <c r="J9" s="11" t="inlineStr">
        <is>
          <t>启动后不退</t>
        </is>
      </c>
      <c r="K9" s="11" t="inlineStr">
        <is>
          <t>项目内转化</t>
        </is>
      </c>
      <c r="L9" s="11" t="inlineStr">
        <is>
          <t>P1</t>
        </is>
      </c>
    </row>
    <row r="10" ht="36" customHeight="1">
      <c r="A10" s="14" t="inlineStr">
        <is>
          <t>B端</t>
        </is>
      </c>
      <c r="B10" s="14" t="inlineStr">
        <is>
          <t>学校/教培团购</t>
        </is>
      </c>
      <c r="C10" s="14" t="inlineStr">
        <is>
          <t>标准价×0.6</t>
        </is>
      </c>
      <c r="D10" s="14" t="inlineStr">
        <is>
          <t>标准价×0.8</t>
        </is>
      </c>
      <c r="E10" s="14" t="inlineStr">
        <is>
          <t>按协议</t>
        </is>
      </c>
      <c r="F10" s="19" t="inlineStr">
        <is>
          <t>批量名额+统一课题交付</t>
        </is>
      </c>
      <c r="G10" s="19" t="inlineStr">
        <is>
          <t>开证明/造假包装</t>
        </is>
      </c>
      <c r="H10" s="14" t="inlineStr">
        <is>
          <t>学校/机构</t>
        </is>
      </c>
      <c r="I10" s="14" t="inlineStr">
        <is>
          <t>按学期</t>
        </is>
      </c>
      <c r="J10" s="14" t="inlineStr">
        <is>
          <t>合同约定</t>
        </is>
      </c>
      <c r="K10" s="14" t="inlineStr">
        <is>
          <t>商务BD</t>
        </is>
      </c>
      <c r="L10" s="14" t="inlineStr">
        <is>
          <t>P1</t>
        </is>
      </c>
    </row>
    <row r="12" ht="24" customHeight="1">
      <c r="A12" s="20" t="inlineStr">
        <is>
          <t>二、已停售（勿再对外报价）</t>
        </is>
      </c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</row>
    <row r="13" ht="26" customHeight="1">
      <c r="A13" s="22" t="inlineStr">
        <is>
          <t>原套餐</t>
        </is>
      </c>
      <c r="B13" s="22" t="inlineStr">
        <is>
          <t>原标准价</t>
        </is>
      </c>
      <c r="C13" s="22" t="inlineStr">
        <is>
          <t>状态</t>
        </is>
      </c>
      <c r="D13" s="22" t="inlineStr">
        <is>
          <t>说明</t>
        </is>
      </c>
    </row>
    <row r="14">
      <c r="A14" s="23" t="inlineStr">
        <is>
          <t>线上实习·证明版</t>
        </is>
      </c>
      <c r="B14" s="23" t="n">
        <v>199</v>
      </c>
      <c r="C14" s="23" t="inlineStr">
        <is>
          <t>已停售</t>
        </is>
      </c>
      <c r="D14" s="23" t="inlineStr">
        <is>
          <t>开证明低价档取消</t>
        </is>
      </c>
    </row>
    <row r="15">
      <c r="A15" s="23" t="inlineStr">
        <is>
          <t>证明+申报支持</t>
        </is>
      </c>
      <c r="B15" s="23" t="n">
        <v>699</v>
      </c>
      <c r="C15" s="23" t="inlineStr">
        <is>
          <t>已停售</t>
        </is>
      </c>
      <c r="D15" s="23" t="inlineStr">
        <is>
          <t>开证明低价档取消</t>
        </is>
      </c>
    </row>
    <row r="16">
      <c r="A16" s="23" t="inlineStr">
        <is>
          <t>证明+推荐信协助</t>
        </is>
      </c>
      <c r="B16" s="23" t="n">
        <v>1680</v>
      </c>
      <c r="C16" s="23" t="inlineStr">
        <is>
          <t>已停售</t>
        </is>
      </c>
      <c r="D16" s="23" t="inlineStr">
        <is>
          <t>开证明低价档取消</t>
        </is>
      </c>
    </row>
    <row r="18" ht="24" customHeight="1">
      <c r="A18" s="8" t="inlineStr">
        <is>
          <t>三、定价公式与机制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</row>
    <row r="19" ht="26" customHeight="1">
      <c r="A19" s="10" t="inlineStr">
        <is>
          <t>机制</t>
        </is>
      </c>
      <c r="B19" s="10" t="inlineStr">
        <is>
          <t>说明</t>
        </is>
      </c>
      <c r="C19" s="10" t="inlineStr">
        <is>
          <t>参数/规则</t>
        </is>
      </c>
      <c r="D19" s="10" t="inlineStr">
        <is>
          <t>示例</t>
        </is>
      </c>
    </row>
    <row r="20" ht="30" customHeight="1">
      <c r="A20" s="19" t="inlineStr">
        <is>
          <t>成本加成</t>
        </is>
      </c>
      <c r="B20" s="19" t="inlineStr">
        <is>
          <t>学员价 ≥ 通道成本 + 运营分摊 + 目标毛利</t>
        </is>
      </c>
      <c r="C20" s="19" t="inlineStr">
        <is>
          <t>商业线目标毛利 34–42%</t>
        </is>
      </c>
      <c r="D20" s="19" t="inlineStr">
        <is>
          <t>通道 2400 → 学员价约 5,480</t>
        </is>
      </c>
    </row>
    <row r="21" ht="30" customHeight="1">
      <c r="A21" s="6" t="inlineStr">
        <is>
          <t>三维锚点</t>
        </is>
      </c>
      <c r="B21" s="6" t="inlineStr">
        <is>
          <t>企业品牌 × 课题真实度 × 辅导强度</t>
        </is>
      </c>
      <c r="C21" s="6" t="inlineStr">
        <is>
          <t>每维 1–5 分加权</t>
        </is>
      </c>
      <c r="D21" s="6" t="inlineStr">
        <is>
          <t>上海AI头部+强导师 → 进阶价</t>
        </is>
      </c>
    </row>
    <row r="22" ht="30" customHeight="1">
      <c r="A22" s="19" t="inlineStr">
        <is>
          <t>交付绑定</t>
        </is>
      </c>
      <c r="B22" s="19" t="inlineStr">
        <is>
          <t>结业证明随项目交付，不单卖</t>
        </is>
      </c>
      <c r="C22" s="19" t="inlineStr">
        <is>
          <t>禁止开证明产品线</t>
        </is>
      </c>
      <c r="D22" s="19" t="inlineStr">
        <is>
          <t>证明=履约结果</t>
        </is>
      </c>
    </row>
    <row r="23" ht="30" customHeight="1">
      <c r="A23" s="6" t="inlineStr">
        <is>
          <t>支付节奏</t>
        </is>
      </c>
      <c r="B23" s="6" t="inlineStr">
        <is>
          <t>定金 30% + 企业确认 40% + 结业 30%</t>
        </is>
      </c>
      <c r="C23" s="6" t="inlineStr">
        <is>
          <t>与交付物绑定</t>
        </is>
      </c>
      <c r="D23" s="6" t="inlineStr">
        <is>
          <t>降低纠纷与坏账</t>
        </is>
      </c>
    </row>
    <row r="24" ht="30" customHeight="1">
      <c r="A24" s="19" t="inlineStr">
        <is>
          <t>折扣纪律</t>
        </is>
      </c>
      <c r="B24" s="19" t="inlineStr">
        <is>
          <t>早鸟/团购折扣 ≤ 20%</t>
        </is>
      </c>
      <c r="C24" s="19" t="inlineStr">
        <is>
          <t>需审批</t>
        </is>
      </c>
      <c r="D24" s="19" t="inlineStr">
        <is>
          <t>保护品牌与单价</t>
        </is>
      </c>
    </row>
    <row r="25" ht="30" customHeight="1">
      <c r="A25" s="6" t="inlineStr">
        <is>
          <t>动态调价</t>
        </is>
      </c>
      <c r="B25" s="6" t="inlineStr">
        <is>
          <t>旺季（寒暑假）上浮 10–15%</t>
        </is>
      </c>
      <c r="C25" s="6" t="inlineStr">
        <is>
          <t>淡季赠增值不降标价</t>
        </is>
      </c>
      <c r="D25" s="6" t="inlineStr">
        <is>
          <t>暑假通道营可上浮</t>
        </is>
      </c>
    </row>
    <row r="27" ht="24" customHeight="1">
      <c r="A27" s="3" t="inlineStr">
        <is>
          <t>四、单人成本拆解（商业标准套餐示意，标准价 5,480）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</row>
    <row r="28" ht="26" customHeight="1">
      <c r="A28" s="10" t="inlineStr">
        <is>
          <t>成本项</t>
        </is>
      </c>
      <c r="B28" s="10" t="inlineStr">
        <is>
          <t>金额(元)</t>
        </is>
      </c>
      <c r="C28" s="10" t="inlineStr">
        <is>
          <t>占比</t>
        </is>
      </c>
      <c r="D28" s="10" t="inlineStr">
        <is>
          <t>备注</t>
        </is>
      </c>
    </row>
    <row r="29">
      <c r="A29" s="28" t="inlineStr">
        <is>
          <t>企业通道/课题合作费</t>
        </is>
      </c>
      <c r="B29" s="29" t="n">
        <v>1800</v>
      </c>
      <c r="C29" s="30">
        <f>B29/5480</f>
        <v/>
      </c>
      <c r="D29" s="29" t="inlineStr"/>
    </row>
    <row r="30">
      <c r="A30" s="31" t="inlineStr">
        <is>
          <t>导师辅导与批改</t>
        </is>
      </c>
      <c r="B30" s="32" t="n">
        <v>600</v>
      </c>
      <c r="C30" s="33">
        <f>B30/5480</f>
        <v/>
      </c>
      <c r="D30" s="32" t="inlineStr"/>
    </row>
    <row r="31">
      <c r="A31" s="28" t="inlineStr">
        <is>
          <t>运营与客服分摊</t>
        </is>
      </c>
      <c r="B31" s="29" t="n">
        <v>450</v>
      </c>
      <c r="C31" s="30">
        <f>B31/5480</f>
        <v/>
      </c>
      <c r="D31" s="29" t="inlineStr"/>
    </row>
    <row r="32">
      <c r="A32" s="31" t="inlineStr">
        <is>
          <t>获客 CAC</t>
        </is>
      </c>
      <c r="B32" s="32" t="n">
        <v>900</v>
      </c>
      <c r="C32" s="33">
        <f>B32/5480</f>
        <v/>
      </c>
      <c r="D32" s="32" t="inlineStr"/>
    </row>
    <row r="33">
      <c r="A33" s="28" t="inlineStr">
        <is>
          <t>平台与合规</t>
        </is>
      </c>
      <c r="B33" s="29" t="n">
        <v>250</v>
      </c>
      <c r="C33" s="30">
        <f>B33/5480</f>
        <v/>
      </c>
      <c r="D33" s="29" t="inlineStr"/>
    </row>
    <row r="34">
      <c r="A34" s="31" t="inlineStr">
        <is>
          <t>其他/预备费</t>
        </is>
      </c>
      <c r="B34" s="32" t="n">
        <v>200</v>
      </c>
      <c r="C34" s="33">
        <f>B34/5480</f>
        <v/>
      </c>
      <c r="D34" s="32" t="inlineStr"/>
    </row>
    <row r="35">
      <c r="A35" s="17" t="inlineStr">
        <is>
          <t>成本合计</t>
        </is>
      </c>
      <c r="B35" s="17">
        <f>SUM(B29:B34)</f>
        <v/>
      </c>
      <c r="C35" s="34">
        <f>B35/5480</f>
        <v/>
      </c>
      <c r="D35" s="17" t="inlineStr">
        <is>
          <t>毛利 ≈ 标准价 − 成本合计</t>
        </is>
      </c>
    </row>
    <row r="37">
      <c r="A37" s="35" t="inlineStr">
        <is>
          <t>单人毛利(元)</t>
        </is>
      </c>
      <c r="B37" s="35">
        <f>5480-B35</f>
        <v/>
      </c>
    </row>
    <row r="38">
      <c r="A38" s="35" t="inlineStr">
        <is>
          <t>单人毛利率</t>
        </is>
      </c>
      <c r="B38" s="36">
        <f>B37/5480</f>
        <v/>
      </c>
    </row>
  </sheetData>
  <mergeCells count="6">
    <mergeCell ref="A2:L2"/>
    <mergeCell ref="A1:L1"/>
    <mergeCell ref="A18:L18"/>
    <mergeCell ref="A27:L27"/>
    <mergeCell ref="A12:L12"/>
    <mergeCell ref="A4:L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36" customHeight="1">
      <c r="A1" s="1" t="inlineStr">
        <is>
          <t>盈利模型与财务测算</t>
        </is>
      </c>
    </row>
    <row r="2" ht="20" customHeight="1">
      <c r="A2" s="2" t="inlineStr">
        <is>
          <t>可调参数区（改黄色单元格）→ 自动汇总三情景｜已取消开证明，仅高价值三档</t>
        </is>
      </c>
    </row>
    <row r="4" ht="24" customHeight="1">
      <c r="A4" s="3" t="inlineStr">
        <is>
          <t>一、可调假设参数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 ht="26" customHeight="1">
      <c r="A5" s="10" t="inlineStr">
        <is>
          <t>参数</t>
        </is>
      </c>
      <c r="B5" s="10" t="inlineStr">
        <is>
          <t>保守</t>
        </is>
      </c>
      <c r="C5" s="10" t="inlineStr">
        <is>
          <t>基准</t>
        </is>
      </c>
      <c r="D5" s="10" t="inlineStr">
        <is>
          <t>乐观</t>
        </is>
      </c>
      <c r="E5" s="10" t="inlineStr">
        <is>
          <t>单位</t>
        </is>
      </c>
      <c r="F5" s="10" t="inlineStr">
        <is>
          <t>说明</t>
        </is>
      </c>
    </row>
    <row r="6">
      <c r="A6" s="31" t="inlineStr">
        <is>
          <t>付费总人数</t>
        </is>
      </c>
      <c r="B6" s="37" t="n">
        <v>100</v>
      </c>
      <c r="C6" s="37" t="n">
        <v>200</v>
      </c>
      <c r="D6" s="37" t="n">
        <v>300</v>
      </c>
      <c r="E6" s="11" t="inlineStr">
        <is>
          <t>人</t>
        </is>
      </c>
      <c r="F6" s="11" t="inlineStr">
        <is>
          <t>年度或滚动 12 个月</t>
        </is>
      </c>
    </row>
    <row r="7">
      <c r="A7" s="31" t="inlineStr">
        <is>
          <t>商业标准人数占比</t>
        </is>
      </c>
      <c r="B7" s="38" t="n">
        <v>0.55</v>
      </c>
      <c r="C7" s="38" t="n">
        <v>0.5</v>
      </c>
      <c r="D7" s="38" t="n">
        <v>0.45</v>
      </c>
      <c r="E7" s="11" t="inlineStr">
        <is>
          <t>%</t>
        </is>
      </c>
      <c r="F7" s="11" t="inlineStr">
        <is>
          <t>科技/具身项目</t>
        </is>
      </c>
    </row>
    <row r="8">
      <c r="A8" s="31" t="inlineStr">
        <is>
          <t>商业进阶人数占比</t>
        </is>
      </c>
      <c r="B8" s="38" t="n">
        <v>0.25</v>
      </c>
      <c r="C8" s="38" t="n">
        <v>0.3</v>
      </c>
      <c r="D8" s="38" t="n">
        <v>0.35</v>
      </c>
      <c r="E8" s="11" t="inlineStr">
        <is>
          <t>%</t>
        </is>
      </c>
      <c r="F8" s="11" t="inlineStr">
        <is>
          <t>上海AI/头部通道</t>
        </is>
      </c>
    </row>
    <row r="9">
      <c r="A9" s="31" t="inlineStr">
        <is>
          <t>就业包人数占比</t>
        </is>
      </c>
      <c r="B9" s="38" t="n">
        <v>0.2</v>
      </c>
      <c r="C9" s="38" t="n">
        <v>0.2</v>
      </c>
      <c r="D9" s="38" t="n">
        <v>0.2</v>
      </c>
      <c r="E9" s="11" t="inlineStr">
        <is>
          <t>%</t>
        </is>
      </c>
      <c r="F9" s="11" t="inlineStr">
        <is>
          <t>毕业生</t>
        </is>
      </c>
    </row>
    <row r="10">
      <c r="A10" s="31" t="inlineStr">
        <is>
          <t>商业标准客单</t>
        </is>
      </c>
      <c r="B10" s="37" t="n">
        <v>5200</v>
      </c>
      <c r="C10" s="37" t="n">
        <v>5480</v>
      </c>
      <c r="D10" s="37" t="n">
        <v>6200</v>
      </c>
      <c r="E10" s="11" t="inlineStr">
        <is>
          <t>元</t>
        </is>
      </c>
      <c r="F10" s="11" t="inlineStr"/>
    </row>
    <row r="11">
      <c r="A11" s="31" t="inlineStr">
        <is>
          <t>商业进阶客单</t>
        </is>
      </c>
      <c r="B11" s="37" t="n">
        <v>10800</v>
      </c>
      <c r="C11" s="37" t="n">
        <v>11800</v>
      </c>
      <c r="D11" s="37" t="n">
        <v>13000</v>
      </c>
      <c r="E11" s="11" t="inlineStr">
        <is>
          <t>元</t>
        </is>
      </c>
      <c r="F11" s="11" t="inlineStr"/>
    </row>
    <row r="12">
      <c r="A12" s="31" t="inlineStr">
        <is>
          <t>就业包客单</t>
        </is>
      </c>
      <c r="B12" s="37" t="n">
        <v>9000</v>
      </c>
      <c r="C12" s="37" t="n">
        <v>9800</v>
      </c>
      <c r="D12" s="37" t="n">
        <v>11000</v>
      </c>
      <c r="E12" s="11" t="inlineStr">
        <is>
          <t>元</t>
        </is>
      </c>
      <c r="F12" s="11" t="inlineStr"/>
    </row>
    <row r="13">
      <c r="A13" s="31" t="inlineStr">
        <is>
          <t>综合毛利率</t>
        </is>
      </c>
      <c r="B13" s="38" t="n">
        <v>0.35</v>
      </c>
      <c r="C13" s="38" t="n">
        <v>0.38</v>
      </c>
      <c r="D13" s="38" t="n">
        <v>0.42</v>
      </c>
      <c r="E13" s="11" t="inlineStr">
        <is>
          <t>%</t>
        </is>
      </c>
      <c r="F13" s="11" t="inlineStr">
        <is>
          <t>收入结构加权后</t>
        </is>
      </c>
    </row>
    <row r="14">
      <c r="A14" s="31" t="inlineStr">
        <is>
          <t>固定成本</t>
        </is>
      </c>
      <c r="B14" s="37" t="n">
        <v>280000</v>
      </c>
      <c r="C14" s="37" t="n">
        <v>320000</v>
      </c>
      <c r="D14" s="37" t="n">
        <v>380000</v>
      </c>
      <c r="E14" s="11" t="inlineStr">
        <is>
          <t>元/年</t>
        </is>
      </c>
      <c r="F14" s="11" t="inlineStr">
        <is>
          <t>人员+平台+合规+办公</t>
        </is>
      </c>
    </row>
    <row r="15">
      <c r="A15" s="31" t="inlineStr">
        <is>
          <t>获客占收入比</t>
        </is>
      </c>
      <c r="B15" s="38" t="n">
        <v>0.2</v>
      </c>
      <c r="C15" s="38" t="n">
        <v>0.18</v>
      </c>
      <c r="D15" s="38" t="n">
        <v>0.15</v>
      </c>
      <c r="E15" s="11" t="inlineStr">
        <is>
          <t>%</t>
        </is>
      </c>
      <c r="F15" s="11" t="inlineStr">
        <is>
          <t>渠道与内容投放</t>
        </is>
      </c>
    </row>
    <row r="17" ht="24" customHeight="1">
      <c r="A17" s="8" t="inlineStr">
        <is>
          <t>二、三情景自动测算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</row>
    <row r="18" ht="26" customHeight="1">
      <c r="A18" s="10" t="inlineStr">
        <is>
          <t>指标</t>
        </is>
      </c>
      <c r="B18" s="10" t="inlineStr">
        <is>
          <t>保守</t>
        </is>
      </c>
      <c r="C18" s="10" t="inlineStr">
        <is>
          <t>基准</t>
        </is>
      </c>
      <c r="D18" s="10" t="inlineStr">
        <is>
          <t>乐观</t>
        </is>
      </c>
      <c r="E18" s="10" t="inlineStr">
        <is>
          <t>公式说明</t>
        </is>
      </c>
    </row>
    <row r="19">
      <c r="A19" s="39" t="inlineStr">
        <is>
          <t>商业标准人数</t>
        </is>
      </c>
      <c r="B19" s="11">
        <f>ROUND(B6*B7,0)</f>
        <v/>
      </c>
      <c r="C19" s="11">
        <f>ROUND(C6*C7,0)</f>
        <v/>
      </c>
      <c r="D19" s="11">
        <f>ROUND(D6*D7,0)</f>
        <v/>
      </c>
      <c r="E19" s="11" t="inlineStr">
        <is>
          <t>总人数×标准占比</t>
        </is>
      </c>
    </row>
    <row r="20">
      <c r="A20" s="5" t="inlineStr">
        <is>
          <t>商业进阶人数</t>
        </is>
      </c>
      <c r="B20" s="14">
        <f>ROUND(B6*B8,0)</f>
        <v/>
      </c>
      <c r="C20" s="14">
        <f>ROUND(C6*C8,0)</f>
        <v/>
      </c>
      <c r="D20" s="14">
        <f>ROUND(D6*D8,0)</f>
        <v/>
      </c>
      <c r="E20" s="14" t="inlineStr">
        <is>
          <t>总人数×进阶占比</t>
        </is>
      </c>
    </row>
    <row r="21">
      <c r="A21" s="39" t="inlineStr">
        <is>
          <t>就业包人数</t>
        </is>
      </c>
      <c r="B21" s="11">
        <f>ROUND(B6*B9,0)</f>
        <v/>
      </c>
      <c r="C21" s="11">
        <f>ROUND(C6*C9,0)</f>
        <v/>
      </c>
      <c r="D21" s="11">
        <f>ROUND(D6*D9,0)</f>
        <v/>
      </c>
      <c r="E21" s="11" t="inlineStr">
        <is>
          <t>总人数×就业占比</t>
        </is>
      </c>
    </row>
    <row r="22">
      <c r="A22" s="5" t="inlineStr">
        <is>
          <t>标准收入(元)</t>
        </is>
      </c>
      <c r="B22" s="40">
        <f>B19*B10</f>
        <v/>
      </c>
      <c r="C22" s="40">
        <f>C19*C10</f>
        <v/>
      </c>
      <c r="D22" s="40">
        <f>D19*D10</f>
        <v/>
      </c>
      <c r="E22" s="14" t="inlineStr">
        <is>
          <t>人数×客单</t>
        </is>
      </c>
    </row>
    <row r="23">
      <c r="A23" s="39" t="inlineStr">
        <is>
          <t>进阶收入(元)</t>
        </is>
      </c>
      <c r="B23" s="41">
        <f>B20*B11</f>
        <v/>
      </c>
      <c r="C23" s="41">
        <f>C20*C11</f>
        <v/>
      </c>
      <c r="D23" s="41">
        <f>D20*D11</f>
        <v/>
      </c>
      <c r="E23" s="11" t="inlineStr"/>
    </row>
    <row r="24">
      <c r="A24" s="5" t="inlineStr">
        <is>
          <t>就业收入(元)</t>
        </is>
      </c>
      <c r="B24" s="40">
        <f>B21*B12</f>
        <v/>
      </c>
      <c r="C24" s="40">
        <f>C21*C12</f>
        <v/>
      </c>
      <c r="D24" s="40">
        <f>D21*D12</f>
        <v/>
      </c>
      <c r="E24" s="14" t="inlineStr"/>
    </row>
    <row r="25">
      <c r="A25" s="39" t="inlineStr">
        <is>
          <t>总营收(元)</t>
        </is>
      </c>
      <c r="B25" s="41">
        <f>B22+B23+B24</f>
        <v/>
      </c>
      <c r="C25" s="41">
        <f>C22+C23+C24</f>
        <v/>
      </c>
      <c r="D25" s="41">
        <f>D22+D23+D24</f>
        <v/>
      </c>
      <c r="E25" s="11" t="inlineStr"/>
    </row>
    <row r="26">
      <c r="A26" s="5" t="inlineStr">
        <is>
          <t>总营收(万元)</t>
        </is>
      </c>
      <c r="B26" s="42">
        <f>B25/10000</f>
        <v/>
      </c>
      <c r="C26" s="42">
        <f>C25/10000</f>
        <v/>
      </c>
      <c r="D26" s="42">
        <f>D25/10000</f>
        <v/>
      </c>
      <c r="E26" s="14" t="inlineStr"/>
    </row>
    <row r="27">
      <c r="A27" s="39" t="inlineStr">
        <is>
          <t>毛利(元)</t>
        </is>
      </c>
      <c r="B27" s="41">
        <f>B25*B13</f>
        <v/>
      </c>
      <c r="C27" s="41">
        <f>C25*C13</f>
        <v/>
      </c>
      <c r="D27" s="41">
        <f>D25*D13</f>
        <v/>
      </c>
      <c r="E27" s="11" t="inlineStr">
        <is>
          <t>营收×综合毛利率</t>
        </is>
      </c>
    </row>
    <row r="28">
      <c r="A28" s="5" t="inlineStr">
        <is>
          <t>毛利(万元)</t>
        </is>
      </c>
      <c r="B28" s="42">
        <f>B27/10000</f>
        <v/>
      </c>
      <c r="C28" s="42">
        <f>C27/10000</f>
        <v/>
      </c>
      <c r="D28" s="42">
        <f>D27/10000</f>
        <v/>
      </c>
      <c r="E28" s="14" t="inlineStr"/>
    </row>
    <row r="29">
      <c r="A29" s="39" t="inlineStr">
        <is>
          <t>固定成本(元)</t>
        </is>
      </c>
      <c r="B29" s="41">
        <f>B14</f>
        <v/>
      </c>
      <c r="C29" s="41">
        <f>C14</f>
        <v/>
      </c>
      <c r="D29" s="41">
        <f>D14</f>
        <v/>
      </c>
      <c r="E29" s="11" t="inlineStr"/>
    </row>
    <row r="30">
      <c r="A30" s="43" t="inlineStr">
        <is>
          <t>经营盈余(元)</t>
        </is>
      </c>
      <c r="B30" s="44">
        <f>B27-B29</f>
        <v/>
      </c>
      <c r="C30" s="44">
        <f>C27-C29</f>
        <v/>
      </c>
      <c r="D30" s="44">
        <f>D27-D29</f>
        <v/>
      </c>
      <c r="E30" s="14" t="inlineStr">
        <is>
          <t>毛利−固定成本</t>
        </is>
      </c>
    </row>
    <row r="31">
      <c r="A31" s="43" t="inlineStr">
        <is>
          <t>经营盈余(万元)</t>
        </is>
      </c>
      <c r="B31" s="45">
        <f>B30/10000</f>
        <v/>
      </c>
      <c r="C31" s="45">
        <f>C30/10000</f>
        <v/>
      </c>
      <c r="D31" s="45">
        <f>D30/10000</f>
        <v/>
      </c>
      <c r="E31" s="11" t="inlineStr"/>
    </row>
    <row r="32">
      <c r="A32" s="5" t="inlineStr">
        <is>
          <t>是否盈亏平衡</t>
        </is>
      </c>
      <c r="B32" s="14">
        <f>IF(B30&gt;=0,"是","否")</f>
        <v/>
      </c>
      <c r="C32" s="14">
        <f>IF(C30&gt;=0,"是","否")</f>
        <v/>
      </c>
      <c r="D32" s="14">
        <f>IF(D30&gt;=0,"是","否")</f>
        <v/>
      </c>
      <c r="E32" s="14" t="inlineStr"/>
    </row>
    <row r="34" ht="24" customHeight="1">
      <c r="A34" s="3" t="inlineStr">
        <is>
          <t>三、敏感因素与管理动作</t>
        </is>
      </c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</row>
    <row r="35" ht="26" customHeight="1">
      <c r="A35" s="10" t="inlineStr">
        <is>
          <t>敏感因子</t>
        </is>
      </c>
      <c r="B35" s="10" t="inlineStr">
        <is>
          <t>影响</t>
        </is>
      </c>
      <c r="C35" s="10" t="inlineStr">
        <is>
          <t>监控指标</t>
        </is>
      </c>
      <c r="D35" s="10" t="inlineStr">
        <is>
          <t>应对动作</t>
        </is>
      </c>
    </row>
    <row r="36" ht="28" customHeight="1">
      <c r="A36" s="19" t="inlineStr">
        <is>
          <t>大厂通道成本上升</t>
        </is>
      </c>
      <c r="B36" s="19" t="inlineStr">
        <is>
          <t>进阶套餐毛利下降</t>
        </is>
      </c>
      <c r="C36" s="19" t="inlineStr">
        <is>
          <t>通道成本/学员价</t>
        </is>
      </c>
      <c r="D36" s="19" t="inlineStr">
        <is>
          <t>备选科技公司池；调整进阶定价</t>
        </is>
      </c>
    </row>
    <row r="37" ht="28" customHeight="1">
      <c r="A37" s="6" t="inlineStr">
        <is>
          <t>获客 CAC 过高</t>
        </is>
      </c>
      <c r="B37" s="6" t="inlineStr">
        <is>
          <t>盈余被侵蚀</t>
        </is>
      </c>
      <c r="C37" s="6" t="inlineStr">
        <is>
          <t>CAC、付费转化率</t>
        </is>
      </c>
      <c r="D37" s="6" t="inlineStr">
        <is>
          <t>加强 B 端团购与转介绍激励</t>
        </is>
      </c>
    </row>
    <row r="38" ht="28" customHeight="1">
      <c r="A38" s="19" t="inlineStr">
        <is>
          <t>标准→进阶升级不足</t>
        </is>
      </c>
      <c r="B38" s="19" t="inlineStr">
        <is>
          <t>收入结构偏弱</t>
        </is>
      </c>
      <c r="C38" s="19" t="inlineStr">
        <is>
          <t>升级转化率</t>
        </is>
      </c>
      <c r="D38" s="19" t="inlineStr">
        <is>
          <t>结业前 7 日内升级优惠（≤15%）</t>
        </is>
      </c>
    </row>
    <row r="39" ht="28" customHeight="1">
      <c r="A39" s="6" t="inlineStr">
        <is>
          <t>退费率升高</t>
        </is>
      </c>
      <c r="B39" s="6" t="inlineStr">
        <is>
          <t>口碑与利润双杀</t>
        </is>
      </c>
      <c r="C39" s="6" t="inlineStr">
        <is>
          <t>退费率、NPS</t>
        </is>
      </c>
      <c r="D39" s="6" t="inlineStr">
        <is>
          <t>分期交付+服务协议+补学机制</t>
        </is>
      </c>
    </row>
    <row r="40" ht="28" customHeight="1">
      <c r="A40" s="19" t="inlineStr">
        <is>
          <t>企业履约不稳</t>
        </is>
      </c>
      <c r="B40" s="19" t="inlineStr">
        <is>
          <t>交付失败</t>
        </is>
      </c>
      <c r="C40" s="19" t="inlineStr">
        <is>
          <t>履约率、替补启用次数</t>
        </is>
      </c>
      <c r="D40" s="19" t="inlineStr">
        <is>
          <t>每赛道 ≥2 家备份</t>
        </is>
      </c>
    </row>
    <row r="41" ht="28" customHeight="1">
      <c r="A41" s="6" t="inlineStr">
        <is>
          <t>重回低价开证明</t>
        </is>
      </c>
      <c r="B41" s="6" t="inlineStr">
        <is>
          <t>风险回潮</t>
        </is>
      </c>
      <c r="C41" s="6" t="inlineStr">
        <is>
          <t>是否出现违规报价</t>
        </is>
      </c>
      <c r="D41" s="6" t="inlineStr">
        <is>
          <t>价目表审计；违者下架</t>
        </is>
      </c>
    </row>
  </sheetData>
  <mergeCells count="5">
    <mergeCell ref="A1:J1"/>
    <mergeCell ref="A17:J17"/>
    <mergeCell ref="A34:J34"/>
    <mergeCell ref="A4:J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8" customWidth="1" min="3" max="3"/>
    <col width="18" customWidth="1" min="4" max="4"/>
    <col width="10" customWidth="1" min="5" max="5"/>
    <col width="12" customWidth="1" min="6" max="6"/>
    <col width="12" customWidth="1" min="7" max="7"/>
    <col width="10" customWidth="1" min="8" max="8"/>
    <col width="12" customWidth="1" min="9" max="9"/>
    <col width="18" customWidth="1" min="10" max="10"/>
  </cols>
  <sheetData>
    <row r="1" ht="36" customHeight="1">
      <c r="A1" s="1" t="inlineStr">
        <is>
          <t>6 个月试点落地实施计划</t>
        </is>
      </c>
    </row>
    <row r="2" ht="20" customHeight="1">
      <c r="A2" s="2" t="inlineStr">
        <is>
          <t>里程碑 · 任务拆解 · 状态跟踪</t>
        </is>
      </c>
    </row>
    <row r="4" ht="24" customHeight="1">
      <c r="A4" s="3" t="inlineStr">
        <is>
          <t>里程碑与任务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 ht="26" customHeight="1">
      <c r="A5" s="10" t="inlineStr">
        <is>
          <t>月份</t>
        </is>
      </c>
      <c r="B5" s="10" t="inlineStr">
        <is>
          <t>阶段</t>
        </is>
      </c>
      <c r="C5" s="10" t="inlineStr">
        <is>
          <t>任务</t>
        </is>
      </c>
      <c r="D5" s="10" t="inlineStr">
        <is>
          <t>交付物</t>
        </is>
      </c>
      <c r="E5" s="10" t="inlineStr">
        <is>
          <t>负责人</t>
        </is>
      </c>
      <c r="F5" s="10" t="inlineStr">
        <is>
          <t>开始</t>
        </is>
      </c>
      <c r="G5" s="10" t="inlineStr">
        <is>
          <t>结束</t>
        </is>
      </c>
      <c r="H5" s="10" t="inlineStr">
        <is>
          <t>状态</t>
        </is>
      </c>
      <c r="I5" s="10" t="inlineStr">
        <is>
          <t>依赖</t>
        </is>
      </c>
      <c r="J5" s="10" t="inlineStr">
        <is>
          <t>备注</t>
        </is>
      </c>
    </row>
    <row r="6">
      <c r="A6" s="14" t="inlineStr">
        <is>
          <t>M1</t>
        </is>
      </c>
      <c r="B6" s="14" t="inlineStr">
        <is>
          <t>基建</t>
        </is>
      </c>
      <c r="C6" s="19" t="inlineStr">
        <is>
          <t>高价值三档产品封装与话术</t>
        </is>
      </c>
      <c r="D6" s="19" t="inlineStr">
        <is>
          <t>产品说明书（无开证明）</t>
        </is>
      </c>
      <c r="E6" s="14" t="inlineStr"/>
      <c r="F6" s="14" t="inlineStr"/>
      <c r="G6" s="14" t="inlineStr"/>
      <c r="H6" s="14" t="inlineStr">
        <is>
          <t>未开始</t>
        </is>
      </c>
      <c r="I6" s="14" t="inlineStr"/>
      <c r="J6" s="14" t="inlineStr"/>
    </row>
    <row r="7">
      <c r="A7" s="11" t="inlineStr">
        <is>
          <t>M1</t>
        </is>
      </c>
      <c r="B7" s="11" t="inlineStr">
        <is>
          <t>基建</t>
        </is>
      </c>
      <c r="C7" s="6" t="inlineStr">
        <is>
          <t>下架开证明相关页面/报价</t>
        </is>
      </c>
      <c r="D7" s="6" t="inlineStr">
        <is>
          <t>停售确认清单</t>
        </is>
      </c>
      <c r="E7" s="11" t="inlineStr"/>
      <c r="F7" s="11" t="inlineStr"/>
      <c r="G7" s="11" t="inlineStr"/>
      <c r="H7" s="11" t="inlineStr">
        <is>
          <t>进行中</t>
        </is>
      </c>
      <c r="I7" s="11" t="inlineStr"/>
      <c r="J7" s="11" t="inlineStr">
        <is>
          <t>199/699/1680</t>
        </is>
      </c>
    </row>
    <row r="8">
      <c r="A8" s="14" t="inlineStr">
        <is>
          <t>M1</t>
        </is>
      </c>
      <c r="B8" s="14" t="inlineStr">
        <is>
          <t>基建</t>
        </is>
      </c>
      <c r="C8" s="19" t="inlineStr">
        <is>
          <t>报名表单/收款/协议</t>
        </is>
      </c>
      <c r="D8" s="19" t="inlineStr">
        <is>
          <t>电子协议+表单</t>
        </is>
      </c>
      <c r="E8" s="14" t="inlineStr"/>
      <c r="F8" s="14" t="inlineStr"/>
      <c r="G8" s="14" t="inlineStr"/>
      <c r="H8" s="14" t="inlineStr">
        <is>
          <t>未开始</t>
        </is>
      </c>
      <c r="I8" s="14" t="inlineStr"/>
      <c r="J8" s="14" t="inlineStr"/>
    </row>
    <row r="9">
      <c r="A9" s="11" t="inlineStr">
        <is>
          <t>M2</t>
        </is>
      </c>
      <c r="B9" s="11" t="inlineStr">
        <is>
          <t>供给</t>
        </is>
      </c>
      <c r="C9" s="6" t="inlineStr">
        <is>
          <t>签约上海AI/具身 5–8 家</t>
        </is>
      </c>
      <c r="D9" s="6" t="inlineStr">
        <is>
          <t>合作意向/协议</t>
        </is>
      </c>
      <c r="E9" s="11" t="inlineStr"/>
      <c r="F9" s="11" t="inlineStr"/>
      <c r="G9" s="11" t="inlineStr"/>
      <c r="H9" s="11" t="inlineStr">
        <is>
          <t>未开始</t>
        </is>
      </c>
      <c r="I9" s="11" t="inlineStr">
        <is>
          <t>M1</t>
        </is>
      </c>
      <c r="J9" s="11" t="inlineStr"/>
    </row>
    <row r="10">
      <c r="A10" s="14" t="inlineStr">
        <is>
          <t>M2</t>
        </is>
      </c>
      <c r="B10" s="14" t="inlineStr">
        <is>
          <t>供给</t>
        </is>
      </c>
      <c r="C10" s="19" t="inlineStr">
        <is>
          <t>组建导师池 ≥ 10 人</t>
        </is>
      </c>
      <c r="D10" s="19" t="inlineStr">
        <is>
          <t>导师名单</t>
        </is>
      </c>
      <c r="E10" s="14" t="inlineStr"/>
      <c r="F10" s="14" t="inlineStr"/>
      <c r="G10" s="14" t="inlineStr"/>
      <c r="H10" s="14" t="inlineStr">
        <is>
          <t>未开始</t>
        </is>
      </c>
      <c r="I10" s="14" t="inlineStr"/>
      <c r="J10" s="14" t="inlineStr"/>
    </row>
    <row r="11">
      <c r="A11" s="11" t="inlineStr">
        <is>
          <t>M2</t>
        </is>
      </c>
      <c r="B11" s="11" t="inlineStr">
        <is>
          <t>供给</t>
        </is>
      </c>
      <c r="C11" s="6" t="inlineStr">
        <is>
          <t>确认 AI 头部通道 1–2 条</t>
        </is>
      </c>
      <c r="D11" s="6" t="inlineStr">
        <is>
          <t>通道说明</t>
        </is>
      </c>
      <c r="E11" s="11" t="inlineStr"/>
      <c r="F11" s="11" t="inlineStr"/>
      <c r="G11" s="11" t="inlineStr"/>
      <c r="H11" s="11" t="inlineStr">
        <is>
          <t>未开始</t>
        </is>
      </c>
      <c r="I11" s="11" t="inlineStr"/>
      <c r="J11" s="11" t="inlineStr"/>
    </row>
    <row r="12">
      <c r="A12" s="14" t="inlineStr">
        <is>
          <t>M3</t>
        </is>
      </c>
      <c r="B12" s="14" t="inlineStr">
        <is>
          <t>获客</t>
        </is>
      </c>
      <c r="C12" s="19" t="inlineStr">
        <is>
          <t>高校社团/机构渠道试点</t>
        </is>
      </c>
      <c r="D12" s="19" t="inlineStr">
        <is>
          <t>渠道清单</t>
        </is>
      </c>
      <c r="E12" s="14" t="inlineStr"/>
      <c r="F12" s="14" t="inlineStr"/>
      <c r="G12" s="14" t="inlineStr"/>
      <c r="H12" s="14" t="inlineStr">
        <is>
          <t>未开始</t>
        </is>
      </c>
      <c r="I12" s="14" t="inlineStr">
        <is>
          <t>M1</t>
        </is>
      </c>
      <c r="J12" s="14" t="inlineStr"/>
    </row>
    <row r="13">
      <c r="A13" s="11" t="inlineStr">
        <is>
          <t>M3</t>
        </is>
      </c>
      <c r="B13" s="11" t="inlineStr">
        <is>
          <t>获客</t>
        </is>
      </c>
      <c r="C13" s="6" t="inlineStr">
        <is>
          <t>商业标准档首批开营</t>
        </is>
      </c>
      <c r="D13" s="6" t="inlineStr">
        <is>
          <t>30 人开营</t>
        </is>
      </c>
      <c r="E13" s="11" t="inlineStr"/>
      <c r="F13" s="11" t="inlineStr"/>
      <c r="G13" s="11" t="inlineStr"/>
      <c r="H13" s="11" t="inlineStr">
        <is>
          <t>未开始</t>
        </is>
      </c>
      <c r="I13" s="11" t="inlineStr">
        <is>
          <t>M2</t>
        </is>
      </c>
      <c r="J13" s="11" t="inlineStr"/>
    </row>
    <row r="14">
      <c r="A14" s="14" t="inlineStr">
        <is>
          <t>M4</t>
        </is>
      </c>
      <c r="B14" s="14" t="inlineStr">
        <is>
          <t>放量</t>
        </is>
      </c>
      <c r="C14" s="19" t="inlineStr">
        <is>
          <t>进阶通道营开营</t>
        </is>
      </c>
      <c r="D14" s="19" t="inlineStr">
        <is>
          <t>案例与口碑</t>
        </is>
      </c>
      <c r="E14" s="14" t="inlineStr"/>
      <c r="F14" s="14" t="inlineStr"/>
      <c r="G14" s="14" t="inlineStr"/>
      <c r="H14" s="14" t="inlineStr">
        <is>
          <t>未开始</t>
        </is>
      </c>
      <c r="I14" s="14" t="inlineStr">
        <is>
          <t>M3</t>
        </is>
      </c>
      <c r="J14" s="14" t="inlineStr"/>
    </row>
    <row r="15">
      <c r="A15" s="11" t="inlineStr">
        <is>
          <t>M4</t>
        </is>
      </c>
      <c r="B15" s="11" t="inlineStr">
        <is>
          <t>放量</t>
        </is>
      </c>
      <c r="C15" s="6" t="inlineStr">
        <is>
          <t>标准→进阶升级追踪</t>
        </is>
      </c>
      <c r="D15" s="6" t="inlineStr">
        <is>
          <t>升级率报表</t>
        </is>
      </c>
      <c r="E15" s="11" t="inlineStr"/>
      <c r="F15" s="11" t="inlineStr"/>
      <c r="G15" s="11" t="inlineStr"/>
      <c r="H15" s="11" t="inlineStr">
        <is>
          <t>未开始</t>
        </is>
      </c>
      <c r="I15" s="11" t="inlineStr">
        <is>
          <t>M3</t>
        </is>
      </c>
      <c r="J15" s="11" t="inlineStr"/>
    </row>
    <row r="16">
      <c r="A16" s="14" t="inlineStr">
        <is>
          <t>M5</t>
        </is>
      </c>
      <c r="B16" s="14" t="inlineStr">
        <is>
          <t>转化</t>
        </is>
      </c>
      <c r="C16" s="19" t="inlineStr">
        <is>
          <t>毕业生就业包上线</t>
        </is>
      </c>
      <c r="D16" s="19" t="inlineStr">
        <is>
          <t>产品页+辅导流程</t>
        </is>
      </c>
      <c r="E16" s="14" t="inlineStr"/>
      <c r="F16" s="14" t="inlineStr"/>
      <c r="G16" s="14" t="inlineStr"/>
      <c r="H16" s="14" t="inlineStr">
        <is>
          <t>未开始</t>
        </is>
      </c>
      <c r="I16" s="14" t="inlineStr">
        <is>
          <t>M2</t>
        </is>
      </c>
      <c r="J16" s="14" t="inlineStr"/>
    </row>
    <row r="17">
      <c r="A17" s="11" t="inlineStr">
        <is>
          <t>M5</t>
        </is>
      </c>
      <c r="B17" s="11" t="inlineStr">
        <is>
          <t>转化</t>
        </is>
      </c>
      <c r="C17" s="6" t="inlineStr">
        <is>
          <t>Offer/升学反馈收集</t>
        </is>
      </c>
      <c r="D17" s="6" t="inlineStr">
        <is>
          <t>案例 ≥10</t>
        </is>
      </c>
      <c r="E17" s="11" t="inlineStr"/>
      <c r="F17" s="11" t="inlineStr"/>
      <c r="G17" s="11" t="inlineStr"/>
      <c r="H17" s="11" t="inlineStr">
        <is>
          <t>未开始</t>
        </is>
      </c>
      <c r="I17" s="11" t="inlineStr">
        <is>
          <t>M4</t>
        </is>
      </c>
      <c r="J17" s="11" t="inlineStr"/>
    </row>
    <row r="18">
      <c r="A18" s="14" t="inlineStr">
        <is>
          <t>M6</t>
        </is>
      </c>
      <c r="B18" s="14" t="inlineStr">
        <is>
          <t>复盘</t>
        </is>
      </c>
      <c r="C18" s="19" t="inlineStr">
        <is>
          <t>财务与 NPS 复盘</t>
        </is>
      </c>
      <c r="D18" s="19" t="inlineStr">
        <is>
          <t>复盘报告</t>
        </is>
      </c>
      <c r="E18" s="14" t="inlineStr"/>
      <c r="F18" s="14" t="inlineStr"/>
      <c r="G18" s="14" t="inlineStr"/>
      <c r="H18" s="14" t="inlineStr">
        <is>
          <t>未开始</t>
        </is>
      </c>
      <c r="I18" s="14" t="inlineStr">
        <is>
          <t>全部</t>
        </is>
      </c>
      <c r="J18" s="14" t="inlineStr"/>
    </row>
    <row r="19">
      <c r="A19" s="11" t="inlineStr">
        <is>
          <t>M6</t>
        </is>
      </c>
      <c r="B19" s="11" t="inlineStr">
        <is>
          <t>复盘</t>
        </is>
      </c>
      <c r="C19" s="6" t="inlineStr">
        <is>
          <t>是否扩张决策会</t>
        </is>
      </c>
      <c r="D19" s="6" t="inlineStr">
        <is>
          <t>Go/No-Go 纪要</t>
        </is>
      </c>
      <c r="E19" s="11" t="inlineStr"/>
      <c r="F19" s="11" t="inlineStr"/>
      <c r="G19" s="11" t="inlineStr"/>
      <c r="H19" s="11" t="inlineStr">
        <is>
          <t>未开始</t>
        </is>
      </c>
      <c r="I19" s="11" t="inlineStr">
        <is>
          <t>复盘报告</t>
        </is>
      </c>
      <c r="J19" s="11" t="inlineStr"/>
    </row>
  </sheetData>
  <mergeCells count="3">
    <mergeCell ref="A1:J1"/>
    <mergeCell ref="A4:J4"/>
    <mergeCell ref="A2:J2"/>
  </mergeCells>
  <dataValidations count="1">
    <dataValidation sqref="H6:H19" showDropDown="0" showInputMessage="0" showErrorMessage="0" allowBlank="1" type="list">
      <formula1>"未开始,进行中,已完成,延期,取消"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0" customWidth="1" min="3" max="3"/>
    <col width="10" customWidth="1" min="4" max="4"/>
    <col width="10" customWidth="1" min="5" max="5"/>
    <col width="10" customWidth="1" min="6" max="6"/>
    <col width="36" customWidth="1" min="7" max="7"/>
    <col width="10" customWidth="1" min="8" max="8"/>
    <col width="10" customWidth="1" min="9" max="9"/>
  </cols>
  <sheetData>
    <row r="1" ht="36" customHeight="1">
      <c r="A1" s="1" t="inlineStr">
        <is>
          <t>风险登记与合规要点</t>
        </is>
      </c>
    </row>
    <row r="2" ht="20" customHeight="1">
      <c r="A2" s="2" t="inlineStr">
        <is>
          <t>先守住可信度与合规，再谈规模化</t>
        </is>
      </c>
    </row>
    <row r="4" ht="24" customHeight="1">
      <c r="A4" s="3" t="inlineStr">
        <is>
          <t>风险登记册</t>
        </is>
      </c>
      <c r="B4" s="4" t="n"/>
      <c r="C4" s="4" t="n"/>
      <c r="D4" s="4" t="n"/>
      <c r="E4" s="4" t="n"/>
      <c r="F4" s="4" t="n"/>
      <c r="G4" s="4" t="n"/>
      <c r="H4" s="4" t="n"/>
      <c r="I4" s="4" t="n"/>
    </row>
    <row r="5" ht="26" customHeight="1">
      <c r="A5" s="10" t="inlineStr">
        <is>
          <t>编号</t>
        </is>
      </c>
      <c r="B5" s="10" t="inlineStr">
        <is>
          <t>风险</t>
        </is>
      </c>
      <c r="C5" s="10" t="inlineStr">
        <is>
          <t>类别</t>
        </is>
      </c>
      <c r="D5" s="10" t="inlineStr">
        <is>
          <t>可能性</t>
        </is>
      </c>
      <c r="E5" s="10" t="inlineStr">
        <is>
          <t>影响</t>
        </is>
      </c>
      <c r="F5" s="10" t="inlineStr">
        <is>
          <t>风险等级</t>
        </is>
      </c>
      <c r="G5" s="10" t="inlineStr">
        <is>
          <t>应对措施</t>
        </is>
      </c>
      <c r="H5" s="10" t="inlineStr">
        <is>
          <t>责任人</t>
        </is>
      </c>
      <c r="I5" s="10" t="inlineStr">
        <is>
          <t>状态</t>
        </is>
      </c>
    </row>
    <row r="6" ht="36" customHeight="1">
      <c r="A6" s="14" t="inlineStr">
        <is>
          <t>R01</t>
        </is>
      </c>
      <c r="B6" s="19" t="inlineStr">
        <is>
          <t>出具不实实习证明引发投诉/舆情</t>
        </is>
      </c>
      <c r="C6" s="14" t="inlineStr">
        <is>
          <t>合规</t>
        </is>
      </c>
      <c r="D6" s="14" t="inlineStr">
        <is>
          <t>中</t>
        </is>
      </c>
      <c r="E6" s="14" t="inlineStr">
        <is>
          <t>高</t>
        </is>
      </c>
      <c r="F6" s="23" t="inlineStr">
        <is>
          <t>高</t>
        </is>
      </c>
      <c r="G6" s="19" t="inlineStr">
        <is>
          <t>真实任务+编号核验+抽查+拒绝虚假需求</t>
        </is>
      </c>
      <c r="H6" s="14" t="inlineStr"/>
      <c r="I6" s="14" t="inlineStr">
        <is>
          <t>未开始</t>
        </is>
      </c>
    </row>
    <row r="7" ht="36" customHeight="1">
      <c r="A7" s="11" t="inlineStr">
        <is>
          <t>R02</t>
        </is>
      </c>
      <c r="B7" s="6" t="inlineStr">
        <is>
          <t>企业合作中断导致无法交付</t>
        </is>
      </c>
      <c r="C7" s="11" t="inlineStr">
        <is>
          <t>供给</t>
        </is>
      </c>
      <c r="D7" s="11" t="inlineStr">
        <is>
          <t>中</t>
        </is>
      </c>
      <c r="E7" s="11" t="inlineStr">
        <is>
          <t>高</t>
        </is>
      </c>
      <c r="F7" s="23" t="inlineStr">
        <is>
          <t>高</t>
        </is>
      </c>
      <c r="G7" s="6" t="inlineStr">
        <is>
          <t>每赛道≥2备份；合同约定替补方案</t>
        </is>
      </c>
      <c r="H7" s="11" t="inlineStr"/>
      <c r="I7" s="11" t="inlineStr">
        <is>
          <t>未开始</t>
        </is>
      </c>
    </row>
    <row r="8" ht="36" customHeight="1">
      <c r="A8" s="14" t="inlineStr">
        <is>
          <t>R03</t>
        </is>
      </c>
      <c r="B8" s="19" t="inlineStr">
        <is>
          <t>价格战与「水项目」冲击</t>
        </is>
      </c>
      <c r="C8" s="14" t="inlineStr">
        <is>
          <t>市场</t>
        </is>
      </c>
      <c r="D8" s="14" t="inlineStr">
        <is>
          <t>高</t>
        </is>
      </c>
      <c r="E8" s="14" t="inlineStr">
        <is>
          <t>中</t>
        </is>
      </c>
      <c r="F8" s="23" t="inlineStr">
        <is>
          <t>高</t>
        </is>
      </c>
      <c r="G8" s="19" t="inlineStr">
        <is>
          <t>强化可核验与成果物；案例与 NPS 公开</t>
        </is>
      </c>
      <c r="H8" s="14" t="inlineStr"/>
      <c r="I8" s="14" t="inlineStr">
        <is>
          <t>未开始</t>
        </is>
      </c>
    </row>
    <row r="9" ht="36" customHeight="1">
      <c r="A9" s="11" t="inlineStr">
        <is>
          <t>R04</t>
        </is>
      </c>
      <c r="B9" s="6" t="inlineStr">
        <is>
          <t>退费与消费纠纷</t>
        </is>
      </c>
      <c r="C9" s="11" t="inlineStr">
        <is>
          <t>运营</t>
        </is>
      </c>
      <c r="D9" s="11" t="inlineStr">
        <is>
          <t>中</t>
        </is>
      </c>
      <c r="E9" s="11" t="inlineStr">
        <is>
          <t>中</t>
        </is>
      </c>
      <c r="F9" s="11" t="inlineStr">
        <is>
          <t>中</t>
        </is>
      </c>
      <c r="G9" s="6" t="inlineStr">
        <is>
          <t>分期交付、书面协议、补学/延期机制</t>
        </is>
      </c>
      <c r="H9" s="11" t="inlineStr"/>
      <c r="I9" s="11" t="inlineStr">
        <is>
          <t>未开始</t>
        </is>
      </c>
    </row>
    <row r="10" ht="36" customHeight="1">
      <c r="A10" s="14" t="inlineStr">
        <is>
          <t>R05</t>
        </is>
      </c>
      <c r="B10" s="19" t="inlineStr">
        <is>
          <t>未成年人信息与监护人同意缺失</t>
        </is>
      </c>
      <c r="C10" s="14" t="inlineStr">
        <is>
          <t>合规</t>
        </is>
      </c>
      <c r="D10" s="14" t="inlineStr">
        <is>
          <t>中</t>
        </is>
      </c>
      <c r="E10" s="14" t="inlineStr">
        <is>
          <t>高</t>
        </is>
      </c>
      <c r="F10" s="23" t="inlineStr">
        <is>
          <t>高</t>
        </is>
      </c>
      <c r="G10" s="19" t="inlineStr">
        <is>
          <t>隐私告知书+监护人同意；最小必要采集</t>
        </is>
      </c>
      <c r="H10" s="14" t="inlineStr"/>
      <c r="I10" s="14" t="inlineStr">
        <is>
          <t>未开始</t>
        </is>
      </c>
    </row>
    <row r="11" ht="36" customHeight="1">
      <c r="A11" s="11" t="inlineStr">
        <is>
          <t>R06</t>
        </is>
      </c>
      <c r="B11" s="6" t="inlineStr">
        <is>
          <t>推荐信/文书虚假陈述</t>
        </is>
      </c>
      <c r="C11" s="11" t="inlineStr">
        <is>
          <t>合规</t>
        </is>
      </c>
      <c r="D11" s="11" t="inlineStr">
        <is>
          <t>中</t>
        </is>
      </c>
      <c r="E11" s="11" t="inlineStr">
        <is>
          <t>高</t>
        </is>
      </c>
      <c r="F11" s="23" t="inlineStr">
        <is>
          <t>高</t>
        </is>
      </c>
      <c r="G11" s="6" t="inlineStr">
        <is>
          <t>仅基于真实表现；审核清单；拒绝包装造假</t>
        </is>
      </c>
      <c r="H11" s="11" t="inlineStr"/>
      <c r="I11" s="11" t="inlineStr">
        <is>
          <t>未开始</t>
        </is>
      </c>
    </row>
    <row r="12" ht="36" customHeight="1">
      <c r="A12" s="14" t="inlineStr">
        <is>
          <t>R07</t>
        </is>
      </c>
      <c r="B12" s="19" t="inlineStr">
        <is>
          <t>品牌方名称使用不当</t>
        </is>
      </c>
      <c r="C12" s="14" t="inlineStr">
        <is>
          <t>法务</t>
        </is>
      </c>
      <c r="D12" s="14" t="inlineStr">
        <is>
          <t>中</t>
        </is>
      </c>
      <c r="E12" s="14" t="inlineStr">
        <is>
          <t>高</t>
        </is>
      </c>
      <c r="F12" s="23" t="inlineStr">
        <is>
          <t>高</t>
        </is>
      </c>
      <c r="G12" s="19" t="inlineStr">
        <is>
          <t>对外话术经法务审核；避免虚假「官方实习」表述</t>
        </is>
      </c>
      <c r="H12" s="14" t="inlineStr"/>
      <c r="I12" s="14" t="inlineStr">
        <is>
          <t>未开始</t>
        </is>
      </c>
    </row>
    <row r="13" ht="36" customHeight="1">
      <c r="A13" s="11" t="inlineStr">
        <is>
          <t>R08</t>
        </is>
      </c>
      <c r="B13" s="6" t="inlineStr">
        <is>
          <t>获客成本失控</t>
        </is>
      </c>
      <c r="C13" s="11" t="inlineStr">
        <is>
          <t>财务</t>
        </is>
      </c>
      <c r="D13" s="11" t="inlineStr">
        <is>
          <t>中</t>
        </is>
      </c>
      <c r="E13" s="11" t="inlineStr">
        <is>
          <t>中</t>
        </is>
      </c>
      <c r="F13" s="11" t="inlineStr">
        <is>
          <t>中</t>
        </is>
      </c>
      <c r="G13" s="6" t="inlineStr">
        <is>
          <t>周度 CAC 看板；达标渠道加码，未达标停投</t>
        </is>
      </c>
      <c r="H13" s="11" t="inlineStr"/>
      <c r="I13" s="11" t="inlineStr">
        <is>
          <t>未开始</t>
        </is>
      </c>
    </row>
    <row r="15" ht="24" customHeight="1">
      <c r="A15" s="25" t="inlineStr">
        <is>
          <t>对外话术红线（摘要）</t>
        </is>
      </c>
      <c r="B15" s="26" t="n"/>
      <c r="C15" s="26" t="n"/>
      <c r="D15" s="26" t="n"/>
      <c r="E15" s="26" t="n"/>
      <c r="F15" s="26" t="n"/>
      <c r="G15" s="26" t="n"/>
      <c r="H15" s="26" t="n"/>
      <c r="I15" s="26" t="n"/>
    </row>
    <row r="16" ht="28" customHeight="1">
      <c r="A16" s="27" t="inlineStr">
        <is>
          <t>• 不得承诺「包录取 / 包 Offer / 包进某公司正式编制」。</t>
        </is>
      </c>
    </row>
    <row r="17" ht="28" customHeight="1">
      <c r="A17" s="27" t="inlineStr">
        <is>
          <t>• 涉及知名企业时，须准确表述合作形态（联合课题/合作方项目/导师来自生态等），禁止虚假「官方实习生」宣传。</t>
        </is>
      </c>
    </row>
    <row r="18" ht="28" customHeight="1">
      <c r="A18" s="27" t="inlineStr">
        <is>
          <t>• 证明内容必须与学员真实完成的任务一致，保留过程材料备查。</t>
        </is>
      </c>
    </row>
    <row r="19" ht="28" customHeight="1">
      <c r="A19" s="27" t="inlineStr">
        <is>
          <t>• 推荐信仅描述可验证事实与导师真实评价。</t>
        </is>
      </c>
    </row>
  </sheetData>
  <mergeCells count="8">
    <mergeCell ref="A15:I15"/>
    <mergeCell ref="A2:I2"/>
    <mergeCell ref="A19:I19"/>
    <mergeCell ref="A1:I1"/>
    <mergeCell ref="A17:I17"/>
    <mergeCell ref="A18:I18"/>
    <mergeCell ref="A4:I4"/>
    <mergeCell ref="A16:I16"/>
  </mergeCells>
  <dataValidations count="1">
    <dataValidation sqref="I6:I13" showDropDown="0" showInputMessage="0" showErrorMessage="0" allowBlank="1" type="list">
      <formula1>"未开始,进行中,已完成,延期,取消"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36" customWidth="1" min="8" max="8"/>
  </cols>
  <sheetData>
    <row r="1" ht="36" customHeight="1">
      <c r="A1" s="1" t="inlineStr">
        <is>
          <t>试点期 KPI 跟踪表</t>
        </is>
      </c>
    </row>
    <row r="2" ht="20" customHeight="1">
      <c r="A2" s="2" t="inlineStr">
        <is>
          <t>填写实际值后自动计算完成率与状态</t>
        </is>
      </c>
    </row>
    <row r="4" ht="24" customHeight="1">
      <c r="A4" s="3" t="inlineStr">
        <is>
          <t>核心指标</t>
        </is>
      </c>
      <c r="B4" s="4" t="n"/>
      <c r="C4" s="4" t="n"/>
      <c r="D4" s="4" t="n"/>
      <c r="E4" s="4" t="n"/>
      <c r="F4" s="4" t="n"/>
      <c r="G4" s="4" t="n"/>
      <c r="H4" s="4" t="n"/>
    </row>
    <row r="5" ht="26" customHeight="1">
      <c r="A5" s="10" t="inlineStr">
        <is>
          <t>维度</t>
        </is>
      </c>
      <c r="B5" s="10" t="inlineStr">
        <is>
          <t>指标</t>
        </is>
      </c>
      <c r="C5" s="10" t="inlineStr">
        <is>
          <t>目标值</t>
        </is>
      </c>
      <c r="D5" s="10" t="inlineStr">
        <is>
          <t>实际值</t>
        </is>
      </c>
      <c r="E5" s="10" t="inlineStr">
        <is>
          <t>完成率</t>
        </is>
      </c>
      <c r="F5" s="10" t="inlineStr">
        <is>
          <t>状态</t>
        </is>
      </c>
      <c r="G5" s="10" t="inlineStr">
        <is>
          <t>更新频率</t>
        </is>
      </c>
      <c r="H5" s="10" t="inlineStr">
        <is>
          <t>备注</t>
        </is>
      </c>
    </row>
    <row r="6">
      <c r="A6" s="11" t="inlineStr">
        <is>
          <t>供给</t>
        </is>
      </c>
      <c r="B6" s="11" t="inlineStr">
        <is>
          <t>签约合作企业（家）</t>
        </is>
      </c>
      <c r="C6" s="11" t="n">
        <v>15</v>
      </c>
      <c r="D6" s="37" t="n">
        <v>0</v>
      </c>
      <c r="E6" s="13">
        <f>IFERROR(D6/C6,0)</f>
        <v/>
      </c>
      <c r="F6" s="11">
        <f>IF(D6=0,"未开始",IF(E6&gt;=1,"达成",IF(E6&gt;=0.7,"进行中","风险")))</f>
        <v/>
      </c>
      <c r="G6" s="11" t="inlineStr">
        <is>
          <t>月</t>
        </is>
      </c>
      <c r="H6" s="11" t="inlineStr"/>
    </row>
    <row r="7">
      <c r="A7" s="11" t="inlineStr">
        <is>
          <t>供给</t>
        </is>
      </c>
      <c r="B7" s="11" t="inlineStr">
        <is>
          <t>可用导师数（人）</t>
        </is>
      </c>
      <c r="C7" s="11" t="n">
        <v>10</v>
      </c>
      <c r="D7" s="37" t="n">
        <v>0</v>
      </c>
      <c r="E7" s="13">
        <f>IFERROR(D7/C7,0)</f>
        <v/>
      </c>
      <c r="F7" s="11">
        <f>IF(D7=0,"未开始",IF(E7&gt;=1,"达成",IF(E7&gt;=0.7,"进行中","风险")))</f>
        <v/>
      </c>
      <c r="G7" s="11" t="inlineStr">
        <is>
          <t>月</t>
        </is>
      </c>
      <c r="H7" s="11" t="inlineStr"/>
    </row>
    <row r="8">
      <c r="A8" s="11" t="inlineStr">
        <is>
          <t>销售</t>
        </is>
      </c>
      <c r="B8" s="11" t="inlineStr">
        <is>
          <t>付费学员（人）</t>
        </is>
      </c>
      <c r="C8" s="11" t="n">
        <v>200</v>
      </c>
      <c r="D8" s="37" t="n">
        <v>0</v>
      </c>
      <c r="E8" s="13">
        <f>IFERROR(D8/C8,0)</f>
        <v/>
      </c>
      <c r="F8" s="11">
        <f>IF(D8=0,"未开始",IF(E8&gt;=1,"达成",IF(E8&gt;=0.7,"进行中","风险")))</f>
        <v/>
      </c>
      <c r="G8" s="11" t="inlineStr">
        <is>
          <t>双周</t>
        </is>
      </c>
      <c r="H8" s="11" t="inlineStr"/>
    </row>
    <row r="9">
      <c r="A9" s="11" t="inlineStr">
        <is>
          <t>销售</t>
        </is>
      </c>
      <c r="B9" s="11" t="inlineStr">
        <is>
          <t>商业标准学员（人）</t>
        </is>
      </c>
      <c r="C9" s="11" t="n">
        <v>100</v>
      </c>
      <c r="D9" s="37" t="n">
        <v>0</v>
      </c>
      <c r="E9" s="13">
        <f>IFERROR(D9/C9,0)</f>
        <v/>
      </c>
      <c r="F9" s="11">
        <f>IF(D9=0,"未开始",IF(E9&gt;=1,"达成",IF(E9&gt;=0.7,"进行中","风险")))</f>
        <v/>
      </c>
      <c r="G9" s="11" t="inlineStr">
        <is>
          <t>双周</t>
        </is>
      </c>
      <c r="H9" s="11" t="inlineStr"/>
    </row>
    <row r="10">
      <c r="A10" s="11" t="inlineStr">
        <is>
          <t>销售</t>
        </is>
      </c>
      <c r="B10" s="11" t="inlineStr">
        <is>
          <t>标准→进阶升级率</t>
        </is>
      </c>
      <c r="C10" s="12" t="n">
        <v>0.25</v>
      </c>
      <c r="D10" s="38" t="n">
        <v>0</v>
      </c>
      <c r="E10" s="13">
        <f>IFERROR(D10/C10,0)</f>
        <v/>
      </c>
      <c r="F10" s="11">
        <f>IF(D10=0,"未开始",IF(E10&gt;=1,"达成",IF(E10&gt;=0.7,"进行中","风险")))</f>
        <v/>
      </c>
      <c r="G10" s="11" t="inlineStr">
        <is>
          <t>双周</t>
        </is>
      </c>
      <c r="H10" s="11" t="inlineStr"/>
    </row>
    <row r="11">
      <c r="A11" s="11" t="inlineStr">
        <is>
          <t>交付</t>
        </is>
      </c>
      <c r="B11" s="11" t="inlineStr">
        <is>
          <t>企业课题履约率</t>
        </is>
      </c>
      <c r="C11" s="12" t="n">
        <v>0.95</v>
      </c>
      <c r="D11" s="38" t="n">
        <v>0</v>
      </c>
      <c r="E11" s="13">
        <f>IFERROR(D11/C11,0)</f>
        <v/>
      </c>
      <c r="F11" s="11">
        <f>IF(D11=0,"未开始",IF(E11&gt;=1,"达成",IF(E11&gt;=0.7,"进行中","风险")))</f>
        <v/>
      </c>
      <c r="G11" s="11" t="inlineStr">
        <is>
          <t>月</t>
        </is>
      </c>
      <c r="H11" s="11" t="inlineStr"/>
    </row>
    <row r="12">
      <c r="A12" s="11" t="inlineStr">
        <is>
          <t>交付</t>
        </is>
      </c>
      <c r="B12" s="11" t="inlineStr">
        <is>
          <t>课程完成率</t>
        </is>
      </c>
      <c r="C12" s="12" t="n">
        <v>0.9</v>
      </c>
      <c r="D12" s="38" t="n">
        <v>0</v>
      </c>
      <c r="E12" s="13">
        <f>IFERROR(D12/C12,0)</f>
        <v/>
      </c>
      <c r="F12" s="11">
        <f>IF(D12=0,"未开始",IF(E12&gt;=1,"达成",IF(E12&gt;=0.7,"进行中","风险")))</f>
        <v/>
      </c>
      <c r="G12" s="11" t="inlineStr">
        <is>
          <t>月</t>
        </is>
      </c>
      <c r="H12" s="11" t="inlineStr"/>
    </row>
    <row r="13">
      <c r="A13" s="11" t="inlineStr">
        <is>
          <t>财务</t>
        </is>
      </c>
      <c r="B13" s="11" t="inlineStr">
        <is>
          <t>综合毛利率</t>
        </is>
      </c>
      <c r="C13" s="12" t="n">
        <v>0.35</v>
      </c>
      <c r="D13" s="38" t="n">
        <v>0</v>
      </c>
      <c r="E13" s="13">
        <f>IFERROR(D13/C13,0)</f>
        <v/>
      </c>
      <c r="F13" s="11">
        <f>IF(D13=0,"未开始",IF(E13&gt;=1,"达成",IF(E13&gt;=0.7,"进行中","风险")))</f>
        <v/>
      </c>
      <c r="G13" s="11" t="inlineStr">
        <is>
          <t>双周</t>
        </is>
      </c>
      <c r="H13" s="11" t="inlineStr"/>
    </row>
    <row r="14">
      <c r="A14" s="11" t="inlineStr">
        <is>
          <t>财务</t>
        </is>
      </c>
      <c r="B14" s="11" t="inlineStr">
        <is>
          <t>退费率（低于为佳）</t>
        </is>
      </c>
      <c r="C14" s="12" t="n">
        <v>0.08</v>
      </c>
      <c r="D14" s="38" t="n">
        <v>0</v>
      </c>
      <c r="E14" s="13">
        <f>IFERROR(D14/C14,0)</f>
        <v/>
      </c>
      <c r="F14" s="11">
        <f>IF(D14=0,"未开始",IF(E14&gt;=1,"达成",IF(E14&gt;=0.7,"进行中","风险")))</f>
        <v/>
      </c>
      <c r="G14" s="11" t="inlineStr">
        <is>
          <t>双周</t>
        </is>
      </c>
      <c r="H14" s="11" t="inlineStr">
        <is>
          <t>退费率目标为上限，实际应低于目标</t>
        </is>
      </c>
    </row>
    <row r="15">
      <c r="A15" s="11" t="inlineStr">
        <is>
          <t>合规</t>
        </is>
      </c>
      <c r="B15" s="11" t="inlineStr">
        <is>
          <t>开证明违规报价次数</t>
        </is>
      </c>
      <c r="C15" s="11" t="n">
        <v>0</v>
      </c>
      <c r="D15" s="37" t="n">
        <v>0</v>
      </c>
      <c r="E15" s="13">
        <f>IF(D15=0,1,0)</f>
        <v/>
      </c>
      <c r="F15" s="11">
        <f>IF(D15=0,"达成","风险")</f>
        <v/>
      </c>
      <c r="G15" s="11" t="inlineStr">
        <is>
          <t>双周</t>
        </is>
      </c>
      <c r="H15" s="11" t="inlineStr">
        <is>
          <t>目标为 0，出现即违规</t>
        </is>
      </c>
    </row>
    <row r="16">
      <c r="A16" s="11" t="inlineStr">
        <is>
          <t>口碑</t>
        </is>
      </c>
      <c r="B16" s="11" t="inlineStr">
        <is>
          <t>NPS</t>
        </is>
      </c>
      <c r="C16" s="11" t="n">
        <v>40</v>
      </c>
      <c r="D16" s="37" t="n">
        <v>0</v>
      </c>
      <c r="E16" s="13">
        <f>IFERROR(D16/C16,0)</f>
        <v/>
      </c>
      <c r="F16" s="11">
        <f>IF(D16=0,"未开始",IF(E16&gt;=1,"达成",IF(E16&gt;=0.7,"进行中","风险")))</f>
        <v/>
      </c>
      <c r="G16" s="11" t="inlineStr">
        <is>
          <t>月</t>
        </is>
      </c>
      <c r="H16" s="11" t="inlineStr"/>
    </row>
    <row r="17">
      <c r="A17" s="11" t="inlineStr">
        <is>
          <t>结果</t>
        </is>
      </c>
      <c r="B17" s="11" t="inlineStr">
        <is>
          <t>就业/升学正向反馈率</t>
        </is>
      </c>
      <c r="C17" s="12" t="n">
        <v>0.6</v>
      </c>
      <c r="D17" s="38" t="n">
        <v>0</v>
      </c>
      <c r="E17" s="13">
        <f>IFERROR(D17/C17,0)</f>
        <v/>
      </c>
      <c r="F17" s="11">
        <f>IF(D17=0,"未开始",IF(E17&gt;=1,"达成",IF(E17&gt;=0.7,"进行中","风险")))</f>
        <v/>
      </c>
      <c r="G17" s="11" t="inlineStr">
        <is>
          <t>月</t>
        </is>
      </c>
      <c r="H17" s="11" t="inlineStr"/>
    </row>
    <row r="18">
      <c r="A18" s="11" t="inlineStr">
        <is>
          <t>结果</t>
        </is>
      </c>
      <c r="B18" s="11" t="inlineStr">
        <is>
          <t>可复用成功案例数</t>
        </is>
      </c>
      <c r="C18" s="11" t="n">
        <v>15</v>
      </c>
      <c r="D18" s="37" t="n">
        <v>0</v>
      </c>
      <c r="E18" s="13">
        <f>IFERROR(D18/C18,0)</f>
        <v/>
      </c>
      <c r="F18" s="11">
        <f>IF(D18=0,"未开始",IF(E18&gt;=1,"达成",IF(E18&gt;=0.7,"进行中","风险")))</f>
        <v/>
      </c>
      <c r="G18" s="11" t="inlineStr">
        <is>
          <t>月</t>
        </is>
      </c>
      <c r="H18" s="11" t="inlineStr"/>
    </row>
    <row r="20" ht="24" customHeight="1">
      <c r="A20" s="8" t="inlineStr">
        <is>
          <t>使用说明</t>
        </is>
      </c>
      <c r="B20" s="9" t="n"/>
      <c r="C20" s="9" t="n"/>
      <c r="D20" s="9" t="n"/>
      <c r="E20" s="9" t="n"/>
      <c r="F20" s="9" t="n"/>
      <c r="G20" s="9" t="n"/>
      <c r="H20" s="9" t="n"/>
    </row>
    <row r="21">
      <c r="A21" s="46" t="inlineStr">
        <is>
          <t>• 黄色单元格为实际值录入区；完成率与状态自动计算。</t>
        </is>
      </c>
    </row>
    <row r="22">
      <c r="A22" s="46" t="inlineStr">
        <is>
          <t>• 「退费率」目标 8% 为上限：实际填写时应尽量低于 8%；状态公式仍按比值计算，需人工结合解读。</t>
        </is>
      </c>
    </row>
    <row r="23">
      <c r="A23" s="46" t="inlineStr">
        <is>
          <t>• 「开证明违规报价次数」目标为 0：出现即记为风险，用于防止低价档回流。</t>
        </is>
      </c>
    </row>
    <row r="24">
      <c r="A24" s="46" t="inlineStr">
        <is>
          <t>• 建议每两周同步 Dashboard 与本表，作为可行性复盘输入。</t>
        </is>
      </c>
    </row>
  </sheetData>
  <mergeCells count="8">
    <mergeCell ref="A4:H4"/>
    <mergeCell ref="A21:H21"/>
    <mergeCell ref="A20:H20"/>
    <mergeCell ref="A24:H24"/>
    <mergeCell ref="A2:H2"/>
    <mergeCell ref="A1:H1"/>
    <mergeCell ref="A23:H23"/>
    <mergeCell ref="A22:H22"/>
  </mergeCells>
  <conditionalFormatting sqref="F6:F18">
    <cfRule type="cellIs" priority="1" operator="equal" dxfId="0">
      <formula>"达成"</formula>
    </cfRule>
    <cfRule type="cellIs" priority="2" operator="equal" dxfId="1">
      <formula>"风险"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2026-07-28T08:19:56Z</dcterms:created>
  <dcterms:modified xmlns:dcterms="http://purl.org/dc/terms/" xmlns:xsi="http://www.w3.org/2001/XMLSchema-instance" xsi:type="dcterms:W3CDTF">2026-07-28T08:19:57Z</dcterms:modified>
</cp:coreProperties>
</file>