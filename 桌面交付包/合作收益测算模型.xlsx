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收入结构总览" sheetId="2" state="visible" r:id="rId2"/>
    <sheet xmlns:r="http://schemas.openxmlformats.org/officeDocument/2006/relationships" name="02b 市场租金对标" sheetId="3" state="visible" r:id="rId3"/>
    <sheet xmlns:r="http://schemas.openxmlformats.org/officeDocument/2006/relationships" name="03 月费测算" sheetId="4" state="visible" r:id="rId4"/>
    <sheet xmlns:r="http://schemas.openxmlformats.org/officeDocument/2006/relationships" name="04 招商佣金阶梯" sheetId="5" state="visible" r:id="rId5"/>
    <sheet xmlns:r="http://schemas.openxmlformats.org/officeDocument/2006/relationships" name="05 活动+奖项" sheetId="6" state="visible" r:id="rId6"/>
    <sheet xmlns:r="http://schemas.openxmlformats.org/officeDocument/2006/relationships" name="05b 科技企业服务中心" sheetId="7" state="visible" r:id="rId7"/>
    <sheet xmlns:r="http://schemas.openxmlformats.org/officeDocument/2006/relationships" name="06 股权分红+三年累计" sheetId="8" state="visible" r:id="rId8"/>
    <sheet xmlns:r="http://schemas.openxmlformats.org/officeDocument/2006/relationships" name="07 敏感性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color rgb="FF1F2A44"/>
      <sz val="11"/>
    </font>
    <font>
      <name val="微软雅黑"/>
      <b val="1"/>
      <color rgb="00142C5E"/>
      <sz val="11"/>
    </font>
    <font>
      <name val="微软雅黑"/>
      <b val="1"/>
      <color rgb="FFFFFFFF"/>
      <sz val="12"/>
    </font>
    <font>
      <name val="Consolas"/>
      <color rgb="FF1F2A44"/>
      <sz val="11"/>
    </font>
    <font>
      <name val="微软雅黑"/>
      <b val="1"/>
      <color rgb="FFFFFFFF"/>
      <sz val="11"/>
    </font>
    <font>
      <name val="Consolas"/>
      <b val="1"/>
      <color rgb="00142C5E"/>
      <sz val="11"/>
    </font>
    <font>
      <name val="微软雅黑"/>
      <i val="1"/>
      <color rgb="FF55607A"/>
      <sz val="10"/>
    </font>
  </fonts>
  <fills count="6">
    <fill>
      <patternFill/>
    </fill>
    <fill>
      <patternFill patternType="gray125"/>
    </fill>
    <fill>
      <patternFill patternType="solid">
        <fgColor rgb="00142C5E"/>
      </patternFill>
    </fill>
    <fill>
      <patternFill patternType="solid">
        <fgColor rgb="00F8F9FB"/>
      </patternFill>
    </fill>
    <fill>
      <patternFill patternType="solid">
        <fgColor rgb="00EAEEF5"/>
      </patternFill>
    </fill>
    <fill>
      <patternFill patternType="solid">
        <fgColor rgb="00F27E2D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0" customHeight="1">
      <c r="A1" s="1" t="inlineStr">
        <is>
          <t>元谷项目 · 胡教授团队 × 森马 联合运营合作收益测算模型 v1.1</t>
        </is>
      </c>
    </row>
    <row r="3">
      <c r="B3" s="2" t="inlineStr">
        <is>
          <t>文件版本</t>
        </is>
      </c>
      <c r="C3" s="2" t="inlineStr">
        <is>
          <t>v1.1 (基于真实市场租金调研后的修订版)</t>
        </is>
      </c>
    </row>
    <row r="4">
      <c r="B4" s="2" t="inlineStr">
        <is>
          <t>适用项目</t>
        </is>
      </c>
      <c r="C4" s="2" t="inlineStr">
        <is>
          <t>森马(上海)国际运营中心 元谷项目</t>
        </is>
      </c>
    </row>
    <row r="5">
      <c r="B5" s="2" t="inlineStr">
        <is>
          <t>适用主体</t>
        </is>
      </c>
      <c r="C5" s="2" t="inlineStr">
        <is>
          <t>森马集团 × 危总团队 × 胡教授团队 联合运营合资公司</t>
        </is>
      </c>
    </row>
    <row r="6">
      <c r="B6" s="2" t="inlineStr">
        <is>
          <t>货币单位</t>
        </is>
      </c>
      <c r="C6" s="2" t="inlineStr">
        <is>
          <t>人民币 元 (除非另行注明)</t>
        </is>
      </c>
    </row>
    <row r="7">
      <c r="B7" s="2" t="inlineStr">
        <is>
          <t>测算口径</t>
        </is>
      </c>
      <c r="C7" s="2" t="inlineStr">
        <is>
          <t>首年现金口径; 不含税; 不含合资公司行政固定成本</t>
        </is>
      </c>
    </row>
    <row r="8">
      <c r="B8" s="2" t="inlineStr">
        <is>
          <t>Sheet 索引</t>
        </is>
      </c>
      <c r="C8" s="2" t="inlineStr">
        <is>
          <t>02 总览 / 02b 市场租金对标 / 03 月费 / 04 招商佣金 / 05 活动+奖项 / 05b 科技企业服务中心 / 06 分红+三年累计 / 07 敏感性</t>
        </is>
      </c>
    </row>
    <row r="10">
      <c r="B10" s="3" t="inlineStr">
        <is>
          <t>【v1.1 关键调整】</t>
        </is>
      </c>
      <c r="C10" s="2" t="inlineStr"/>
    </row>
    <row r="11">
      <c r="B11" s="2" t="inlineStr">
        <is>
          <t>市场租金对标</t>
        </is>
      </c>
      <c r="C11" s="2" t="inlineStr">
        <is>
          <t>大零号湾 / 紫竹高新区主流办公&amp;研发租金 1.8-2.5 元/㎡/天 (Sheet 02b)</t>
        </is>
      </c>
    </row>
    <row r="12">
      <c r="B12" s="2" t="inlineStr">
        <is>
          <t>月费区间</t>
        </is>
      </c>
      <c r="C12" s="2" t="inlineStr">
        <is>
          <t>由 30-50 万下调至 20-35 万 (推荐 28 万)</t>
        </is>
      </c>
    </row>
    <row r="13">
      <c r="B13" s="2" t="inlineStr">
        <is>
          <t>招商佣金</t>
        </is>
      </c>
      <c r="C13" s="2" t="inlineStr">
        <is>
          <t>日租金基准从 4.5-5.5 下调到 1.8-2.5</t>
        </is>
      </c>
    </row>
    <row r="14">
      <c r="B14" s="2" t="inlineStr">
        <is>
          <t>新增模块</t>
        </is>
      </c>
      <c r="C14" s="2" t="inlineStr">
        <is>
          <t>科技企业服务中心 (面向入驻企业 9 大类服务，对外收费，不向甲方收取)</t>
        </is>
      </c>
    </row>
    <row r="16">
      <c r="B16" s="3" t="inlineStr">
        <is>
          <t>【收入结构】</t>
        </is>
      </c>
      <c r="C16" s="2" t="inlineStr"/>
    </row>
    <row r="17">
      <c r="B17" s="2" t="inlineStr">
        <is>
          <t>固定月费 Retainer</t>
        </is>
      </c>
      <c r="C17" s="2" t="inlineStr">
        <is>
          <t>甲方支付 → 覆盖团队 + 数据接口 (Sheet 03)</t>
        </is>
      </c>
    </row>
    <row r="18">
      <c r="B18" s="2" t="inlineStr">
        <is>
          <t>专项奖项激励</t>
        </is>
      </c>
      <c r="C18" s="2" t="inlineStr">
        <is>
          <t>甲方支付 → 牌照 / 福布斯 / 小镇奖项 (Sheet 05)</t>
        </is>
      </c>
    </row>
    <row r="19">
      <c r="B19" s="2" t="inlineStr">
        <is>
          <t>活动运营收入</t>
        </is>
      </c>
      <c r="C19" s="2" t="inlineStr">
        <is>
          <t>外部 + 甲方混合 → 赞助 + 票务 + 政府补贴 (Sheet 05)</t>
        </is>
      </c>
    </row>
    <row r="20">
      <c r="B20" s="2" t="inlineStr">
        <is>
          <t>招商佣金</t>
        </is>
      </c>
      <c r="C20" s="2" t="inlineStr">
        <is>
          <t>甲方支付 → 实际成交年租金的 1-2.5 个月 (Sheet 04)</t>
        </is>
      </c>
    </row>
    <row r="21">
      <c r="B21" s="2" t="inlineStr">
        <is>
          <t>科技企业服务中心</t>
        </is>
      </c>
      <c r="C21" s="2" t="inlineStr">
        <is>
          <t>外部支付 → 入驻企业 9 大类增值服务费 (Sheet 05b)</t>
        </is>
      </c>
    </row>
    <row r="22">
      <c r="B22" s="2" t="inlineStr">
        <is>
          <t>股权分红</t>
        </is>
      </c>
      <c r="C22" s="2" t="inlineStr">
        <is>
          <t>合资公司净利润按股比分配 → 含服务中心利润 (Sheet 06)</t>
        </is>
      </c>
    </row>
  </sheetData>
  <mergeCells count="19">
    <mergeCell ref="C10:H10"/>
    <mergeCell ref="C16:H16"/>
    <mergeCell ref="C22:H22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C18:H18"/>
    <mergeCell ref="C3:H3"/>
    <mergeCell ref="C6:H6"/>
    <mergeCell ref="C14:H14"/>
    <mergeCell ref="C5:H5"/>
    <mergeCell ref="C4:H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 ht="40" customHeight="1">
      <c r="A1" s="1" t="inlineStr">
        <is>
          <t>首年收入结构总览(保守 / 基础 / 乐观 三档) — v1.1 含科技企业服务中心</t>
        </is>
      </c>
    </row>
    <row r="2">
      <c r="B2" s="4" t="inlineStr">
        <is>
          <t>表 A · 胡教授团队首年现金口径 (5 项, 已去重; 服务中心利润已通过分红体现)</t>
        </is>
      </c>
    </row>
    <row r="3" ht="28" customHeight="1">
      <c r="A3" s="5" t="inlineStr"/>
      <c r="B3" s="5" t="inlineStr">
        <is>
          <t>收入类别</t>
        </is>
      </c>
      <c r="C3" s="5" t="inlineStr">
        <is>
          <t>保守场景 (元)</t>
        </is>
      </c>
      <c r="D3" s="5" t="inlineStr">
        <is>
          <t>基础场景 (元)</t>
        </is>
      </c>
      <c r="E3" s="5" t="inlineStr">
        <is>
          <t>乐观场景 (元)</t>
        </is>
      </c>
      <c r="F3" s="5" t="inlineStr">
        <is>
          <t>测算口径备注</t>
        </is>
      </c>
    </row>
    <row r="4">
      <c r="A4" s="6" t="n">
        <v>1</v>
      </c>
      <c r="B4" s="6" t="inlineStr">
        <is>
          <t>固定月费 Retainer (年化, 甲方付)</t>
        </is>
      </c>
      <c r="C4" s="7" t="n">
        <v>2400000</v>
      </c>
      <c r="D4" s="7" t="n">
        <v>3360000</v>
      </c>
      <c r="E4" s="7" t="n">
        <v>4200000</v>
      </c>
      <c r="F4" s="6" t="inlineStr">
        <is>
          <t>20 / 28 / 35 万元 × 12 月 (Sheet 03)</t>
        </is>
      </c>
    </row>
    <row r="5">
      <c r="A5" s="8" t="n">
        <v>2</v>
      </c>
      <c r="B5" s="8" t="inlineStr">
        <is>
          <t>招商佣金 Commission (甲方付)</t>
        </is>
      </c>
      <c r="C5" s="9" t="n">
        <v>720000</v>
      </c>
      <c r="D5" s="9" t="n">
        <v>1320000</v>
      </c>
      <c r="E5" s="9" t="n">
        <v>2640000</v>
      </c>
      <c r="F5" s="8" t="inlineStr">
        <is>
          <t>按实际成交年租金的 1-2.5 个月 (Sheet 04)</t>
        </is>
      </c>
    </row>
    <row r="6">
      <c r="A6" s="6" t="n">
        <v>3</v>
      </c>
      <c r="B6" s="6" t="inlineStr">
        <is>
          <t>活动运营收入 (外部+甲方)</t>
        </is>
      </c>
      <c r="C6" s="7" t="n">
        <v>1800000</v>
      </c>
      <c r="D6" s="7" t="n">
        <v>2400000</v>
      </c>
      <c r="E6" s="7" t="n">
        <v>3600000</v>
      </c>
      <c r="F6" s="6" t="inlineStr">
        <is>
          <t>10-15 场科技开放麦 + 1 届潮玩大赛</t>
        </is>
      </c>
    </row>
    <row r="7">
      <c r="A7" s="8" t="n">
        <v>4</v>
      </c>
      <c r="B7" s="8" t="inlineStr">
        <is>
          <t>专项奖项 / 挂牌激励 (甲方付)</t>
        </is>
      </c>
      <c r="C7" s="9" t="n">
        <v>600000</v>
      </c>
      <c r="D7" s="9" t="n">
        <v>1500000</v>
      </c>
      <c r="E7" s="9" t="n">
        <v>2000000</v>
      </c>
      <c r="F7" s="8" t="inlineStr">
        <is>
          <t>牌照 / 福布斯 / 小镇奖项 (Sheet 05)</t>
        </is>
      </c>
    </row>
    <row r="8">
      <c r="A8" s="6" t="n">
        <v>5</v>
      </c>
      <c r="B8" s="6" t="inlineStr">
        <is>
          <t>股权分红 (合资公司净利, 含服务中心)</t>
        </is>
      </c>
      <c r="C8" s="7" t="n">
        <v>720000</v>
      </c>
      <c r="D8" s="7" t="n">
        <v>1440000</v>
      </c>
      <c r="E8" s="7" t="n">
        <v>2880000</v>
      </c>
      <c r="F8" s="6" t="inlineStr">
        <is>
          <t>合资公司净利 × 30% (Sheet 06)</t>
        </is>
      </c>
    </row>
    <row r="9">
      <c r="A9" s="10" t="inlineStr">
        <is>
          <t>合计</t>
        </is>
      </c>
      <c r="B9" s="10" t="inlineStr">
        <is>
          <t>胡教授团队首年合计 (元)</t>
        </is>
      </c>
      <c r="C9" s="11" t="n">
        <v>6240000</v>
      </c>
      <c r="D9" s="11" t="n">
        <v>10020000</v>
      </c>
      <c r="E9" s="11" t="n">
        <v>15320000</v>
      </c>
      <c r="F9" s="10" t="inlineStr">
        <is>
          <t>保守 / 基础 / 乐观</t>
        </is>
      </c>
    </row>
    <row r="10">
      <c r="A10" s="10" t="inlineStr">
        <is>
          <t>折合 (万元)</t>
        </is>
      </c>
      <c r="B10" s="10" t="inlineStr">
        <is>
          <t>胡教授团队首年合计 (万元)</t>
        </is>
      </c>
      <c r="C10" s="11" t="n">
        <v>624</v>
      </c>
      <c r="D10" s="11" t="n">
        <v>1002</v>
      </c>
      <c r="E10" s="11" t="n">
        <v>1532</v>
      </c>
      <c r="F10" s="10" t="inlineStr">
        <is>
          <t>≈ 624 / 1,002 / 1,532 万元</t>
        </is>
      </c>
    </row>
    <row r="12">
      <c r="B12" s="4" t="inlineStr">
        <is>
          <t>表 B · 合资公司额外营收信息项 (来源于对外, 不直接计入胡教授团队总额, 通过分红 30% 间接受益)</t>
        </is>
      </c>
    </row>
    <row r="13" ht="28" customHeight="1">
      <c r="A13" s="5" t="inlineStr"/>
      <c r="B13" s="5" t="inlineStr">
        <is>
          <t>项目</t>
        </is>
      </c>
      <c r="C13" s="5" t="inlineStr">
        <is>
          <t>保守 (元)</t>
        </is>
      </c>
      <c r="D13" s="5" t="inlineStr">
        <is>
          <t>基础 (元)</t>
        </is>
      </c>
      <c r="E13" s="5" t="inlineStr">
        <is>
          <t>乐观 (元)</t>
        </is>
      </c>
      <c r="F13" s="5" t="inlineStr">
        <is>
          <t>丙方 30% 分红影响 (基础)</t>
        </is>
      </c>
    </row>
    <row r="14">
      <c r="A14" s="6" t="n">
        <v>1</v>
      </c>
      <c r="B14" s="6" t="inlineStr">
        <is>
          <t>科技企业服务中心营收 (Sheet 05b)</t>
        </is>
      </c>
      <c r="C14" s="7" t="n">
        <v>1500000</v>
      </c>
      <c r="D14" s="7" t="n">
        <v>3000000</v>
      </c>
      <c r="E14" s="7" t="n">
        <v>6400000</v>
      </c>
      <c r="F14" s="6" t="inlineStr">
        <is>
          <t>经 38% 净利 × 30% ≈ 34 万元/年</t>
        </is>
      </c>
    </row>
    <row r="15">
      <c r="A15" s="8" t="n">
        <v>2</v>
      </c>
      <c r="B15" s="8" t="inlineStr">
        <is>
          <t>自营业态毛利 (选品/直播/设计中心)</t>
        </is>
      </c>
      <c r="C15" s="9" t="n">
        <v>600000</v>
      </c>
      <c r="D15" s="9" t="n">
        <v>1200000</v>
      </c>
      <c r="E15" s="9" t="n">
        <v>2500000</v>
      </c>
      <c r="F15" s="8" t="inlineStr">
        <is>
          <t>已纳入分红线</t>
        </is>
      </c>
    </row>
    <row r="17">
      <c r="B17" s="4" t="inlineStr">
        <is>
          <t>基础场景下胡教授团队 5 项收入占比</t>
        </is>
      </c>
    </row>
    <row r="18" ht="28" customHeight="1">
      <c r="A18" s="5" t="inlineStr"/>
      <c r="B18" s="5" t="inlineStr">
        <is>
          <t>收入类别</t>
        </is>
      </c>
      <c r="C18" s="5" t="inlineStr">
        <is>
          <t>金额 (元)</t>
        </is>
      </c>
      <c r="D18" s="5" t="inlineStr">
        <is>
          <t>占比</t>
        </is>
      </c>
      <c r="E18" s="5" t="inlineStr">
        <is>
          <t>支付方</t>
        </is>
      </c>
      <c r="F18" s="5" t="inlineStr">
        <is>
          <t>备注</t>
        </is>
      </c>
    </row>
    <row r="19">
      <c r="A19" s="8" t="n">
        <v>1</v>
      </c>
      <c r="B19" s="8" t="inlineStr">
        <is>
          <t>固定月费 Retainer (年化, 甲方付)</t>
        </is>
      </c>
      <c r="C19" s="9" t="n">
        <v>3360000</v>
      </c>
      <c r="D19" s="8" t="inlineStr">
        <is>
          <t>33.5%</t>
        </is>
      </c>
      <c r="E19" s="8" t="inlineStr">
        <is>
          <t>对甲方 (森马)</t>
        </is>
      </c>
      <c r="F19" s="8" t="inlineStr"/>
    </row>
    <row r="20">
      <c r="A20" s="6" t="n">
        <v>2</v>
      </c>
      <c r="B20" s="6" t="inlineStr">
        <is>
          <t>招商佣金 Commission (甲方付)</t>
        </is>
      </c>
      <c r="C20" s="7" t="n">
        <v>1320000</v>
      </c>
      <c r="D20" s="6" t="inlineStr">
        <is>
          <t>13.2%</t>
        </is>
      </c>
      <c r="E20" s="6" t="inlineStr">
        <is>
          <t>对甲方</t>
        </is>
      </c>
      <c r="F20" s="6" t="inlineStr"/>
    </row>
    <row r="21">
      <c r="A21" s="8" t="n">
        <v>3</v>
      </c>
      <c r="B21" s="8" t="inlineStr">
        <is>
          <t>活动运营收入 (外部+甲方)</t>
        </is>
      </c>
      <c r="C21" s="9" t="n">
        <v>2400000</v>
      </c>
      <c r="D21" s="8" t="inlineStr">
        <is>
          <t>24.0%</t>
        </is>
      </c>
      <c r="E21" s="8" t="inlineStr">
        <is>
          <t>外部+甲方</t>
        </is>
      </c>
      <c r="F21" s="8" t="inlineStr"/>
    </row>
    <row r="22">
      <c r="A22" s="6" t="n">
        <v>4</v>
      </c>
      <c r="B22" s="6" t="inlineStr">
        <is>
          <t>专项奖项 / 挂牌激励 (甲方付)</t>
        </is>
      </c>
      <c r="C22" s="7" t="n">
        <v>1500000</v>
      </c>
      <c r="D22" s="6" t="inlineStr">
        <is>
          <t>15.0%</t>
        </is>
      </c>
      <c r="E22" s="6" t="inlineStr">
        <is>
          <t>对甲方</t>
        </is>
      </c>
      <c r="F22" s="6" t="inlineStr"/>
    </row>
    <row r="23">
      <c r="A23" s="8" t="n">
        <v>5</v>
      </c>
      <c r="B23" s="8" t="inlineStr">
        <is>
          <t>股权分红 (合资公司净利, 含服务中心)</t>
        </is>
      </c>
      <c r="C23" s="9" t="n">
        <v>1440000</v>
      </c>
      <c r="D23" s="8" t="inlineStr">
        <is>
          <t>14.4%</t>
        </is>
      </c>
      <c r="E23" s="8" t="inlineStr">
        <is>
          <t>合资公司</t>
        </is>
      </c>
      <c r="F23" s="8" t="inlineStr"/>
    </row>
    <row r="24" ht="60" customHeight="1">
      <c r="B24" s="12" t="inlineStr">
        <is>
          <t>口径说明: 表 A 为流向胡教授团队的实际现金 (避免与服务中心营收重复计算)。表 B 为合资公司层面的额外营收, 该部分对胡教授团队的影响通过股权分红 30% 一并体现在表 A 第 5 行 (因此分红额随服务中心规模扩大而提升)。该结构旨在向森马清晰展示: 合资公司有多元化对外收入, 而非仅依赖森马月费。</t>
        </is>
      </c>
    </row>
  </sheetData>
  <mergeCells count="5">
    <mergeCell ref="B12:F12"/>
    <mergeCell ref="B24:F24"/>
    <mergeCell ref="B2:F2"/>
    <mergeCell ref="A1:F1"/>
    <mergeCell ref="B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28" customWidth="1" min="5" max="5"/>
  </cols>
  <sheetData>
    <row r="1" ht="40" customHeight="1">
      <c r="A1" s="1" t="inlineStr">
        <is>
          <t>大零号湾 / 紫竹高新区主流园区办公&amp;研发租金对标 (2024-2025)</t>
        </is>
      </c>
    </row>
    <row r="3" ht="28" customHeight="1">
      <c r="A3" s="5" t="inlineStr"/>
      <c r="B3" s="5" t="inlineStr">
        <is>
          <t>园区 / 项目</t>
        </is>
      </c>
      <c r="C3" s="5" t="inlineStr">
        <is>
          <t>日租金 (元/㎡/天)</t>
        </is>
      </c>
      <c r="D3" s="5" t="inlineStr">
        <is>
          <t>年租金 (元/㎡)</t>
        </is>
      </c>
      <c r="E3" s="5" t="inlineStr">
        <is>
          <t>备注</t>
        </is>
      </c>
    </row>
    <row r="4">
      <c r="A4" s="6" t="n">
        <v>1</v>
      </c>
      <c r="B4" s="6" t="inlineStr">
        <is>
          <t>零号湾全球创新创业集聚区</t>
        </is>
      </c>
      <c r="C4" s="6" t="n">
        <v>2.25</v>
      </c>
      <c r="D4" s="7" t="n">
        <v>821</v>
      </c>
      <c r="E4" s="6" t="inlineStr">
        <is>
          <t>200-1000㎡ 灵活工位</t>
        </is>
      </c>
    </row>
    <row r="5">
      <c r="A5" s="8" t="n">
        <v>2</v>
      </c>
      <c r="B5" s="8" t="inlineStr">
        <is>
          <t>大零号湾科创成果转化中心</t>
        </is>
      </c>
      <c r="C5" s="8" t="n">
        <v>2.25</v>
      </c>
      <c r="D5" s="9" t="n">
        <v>821</v>
      </c>
      <c r="E5" s="8" t="inlineStr">
        <is>
          <t>500-2500㎡ 研发办公 + 中试</t>
        </is>
      </c>
    </row>
    <row r="6">
      <c r="A6" s="6" t="n">
        <v>3</v>
      </c>
      <c r="B6" s="6" t="inlineStr">
        <is>
          <t>华谊万创新所</t>
        </is>
      </c>
      <c r="C6" s="6" t="n">
        <v>2.2</v>
      </c>
      <c r="D6" s="7" t="n">
        <v>803</v>
      </c>
      <c r="E6" s="6" t="inlineStr">
        <is>
          <t>剑川路沿线</t>
        </is>
      </c>
    </row>
    <row r="7">
      <c r="A7" s="8" t="n">
        <v>4</v>
      </c>
      <c r="B7" s="8" t="inlineStr">
        <is>
          <t>上海人工智能产业园</t>
        </is>
      </c>
      <c r="C7" s="8" t="n">
        <v>2.2</v>
      </c>
      <c r="D7" s="9" t="n">
        <v>803</v>
      </c>
      <c r="E7" s="8" t="inlineStr">
        <is>
          <t>AI 主题园区</t>
        </is>
      </c>
    </row>
    <row r="8">
      <c r="A8" s="6" t="n">
        <v>5</v>
      </c>
      <c r="B8" s="6" t="inlineStr">
        <is>
          <t>紫竹信息数码港 (5A 甲级)</t>
        </is>
      </c>
      <c r="C8" s="6" t="n">
        <v>2.3</v>
      </c>
      <c r="D8" s="7" t="n">
        <v>839</v>
      </c>
      <c r="E8" s="6" t="inlineStr">
        <is>
          <t>东川路 555 号</t>
        </is>
      </c>
    </row>
    <row r="9">
      <c r="A9" s="8" t="n">
        <v>6</v>
      </c>
      <c r="B9" s="8" t="inlineStr">
        <is>
          <t>紫竹数字创意港</t>
        </is>
      </c>
      <c r="C9" s="8" t="n">
        <v>2.5</v>
      </c>
      <c r="D9" s="9" t="n">
        <v>912</v>
      </c>
      <c r="E9" s="8" t="inlineStr">
        <is>
          <t>数字创意主题</t>
        </is>
      </c>
    </row>
    <row r="10">
      <c r="A10" s="6" t="n">
        <v>7</v>
      </c>
      <c r="B10" s="6" t="inlineStr">
        <is>
          <t>龙湖蓝海引擎·淡水河畔</t>
        </is>
      </c>
      <c r="C10" s="6" t="n">
        <v>2</v>
      </c>
      <c r="D10" s="7" t="n">
        <v>730</v>
      </c>
      <c r="E10" s="6" t="inlineStr">
        <is>
          <t>1.5-2.5 元区间</t>
        </is>
      </c>
    </row>
    <row r="11">
      <c r="A11" s="8" t="n">
        <v>8</v>
      </c>
      <c r="B11" s="8" t="inlineStr">
        <is>
          <t>金领谷科技产业园</t>
        </is>
      </c>
      <c r="C11" s="8" t="n">
        <v>2.15</v>
      </c>
      <c r="D11" s="9" t="n">
        <v>785</v>
      </c>
      <c r="E11" s="8" t="inlineStr">
        <is>
          <t>1.5-2.8 元区间</t>
        </is>
      </c>
    </row>
    <row r="12">
      <c r="A12" s="6" t="n">
        <v>9</v>
      </c>
      <c r="B12" s="6" t="inlineStr">
        <is>
          <t>东软软件园</t>
        </is>
      </c>
      <c r="C12" s="6" t="n">
        <v>1.5</v>
      </c>
      <c r="D12" s="7" t="n">
        <v>548</v>
      </c>
      <c r="E12" s="6" t="inlineStr">
        <is>
          <t>成熟存量园区</t>
        </is>
      </c>
    </row>
    <row r="13">
      <c r="A13" s="8" t="n">
        <v>10</v>
      </c>
      <c r="B13" s="8" t="inlineStr">
        <is>
          <t>云境 443 未来产业社区 (高端)</t>
        </is>
      </c>
      <c r="C13" s="8" t="n">
        <v>3.15</v>
      </c>
      <c r="D13" s="9" t="n">
        <v>1150</v>
      </c>
      <c r="E13" s="8" t="inlineStr">
        <is>
          <t>2.3-4.0 元区间</t>
        </is>
      </c>
    </row>
    <row r="14">
      <c r="A14" s="6" t="n">
        <v>11</v>
      </c>
      <c r="B14" s="6" t="inlineStr">
        <is>
          <t>夏日汇国际中心 (高端)</t>
        </is>
      </c>
      <c r="C14" s="6" t="n">
        <v>4</v>
      </c>
      <c r="D14" s="7" t="n">
        <v>1460</v>
      </c>
      <c r="E14" s="6" t="inlineStr">
        <is>
          <t>3.5-4.5 元区间</t>
        </is>
      </c>
    </row>
    <row r="15">
      <c r="A15" s="10" t="inlineStr"/>
      <c r="B15" s="10" t="inlineStr">
        <is>
          <t>市场主流区间 (办公 / 研发)</t>
        </is>
      </c>
      <c r="C15" s="10" t="inlineStr">
        <is>
          <t>1.8 - 2.5</t>
        </is>
      </c>
      <c r="D15" s="10" t="inlineStr">
        <is>
          <t>657 - 912</t>
        </is>
      </c>
      <c r="E15" s="10" t="inlineStr">
        <is>
          <t>本测算所采用基准</t>
        </is>
      </c>
    </row>
    <row r="17" ht="80" customHeight="1">
      <c r="B17" s="12" t="inlineStr">
        <is>
          <t>数据来源：001zf / 汇租选址 / 聚多楼选址 / 租易网 / urlou 等平台 2024-2025 年公开放租信息汇总。元谷项目作为新建 TOD 综合体 + 政府重点扶持的科技时尚特色小镇，建议招商定价采用市场主流区间中位 (1.8-2.5 元/㎡/天)；商业 1F 临街铺位可单独按 3.0-5.0 元定价，但作为加权平均不影响整体测算。</t>
        </is>
      </c>
    </row>
  </sheetData>
  <mergeCells count="2">
    <mergeCell ref="B17:E17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8" customWidth="1" min="5" max="5"/>
    <col width="32" customWidth="1" min="6" max="6"/>
  </cols>
  <sheetData>
    <row r="1" ht="40" customHeight="1">
      <c r="A1" s="1" t="inlineStr">
        <is>
          <t>固定月费 Retainer · 团队成本反算(下调后建议月费区间)</t>
        </is>
      </c>
    </row>
    <row r="3" ht="28" customHeight="1">
      <c r="A3" s="5" t="inlineStr"/>
      <c r="B3" s="5" t="inlineStr">
        <is>
          <t>成本项</t>
        </is>
      </c>
      <c r="C3" s="5" t="inlineStr">
        <is>
          <t>人数</t>
        </is>
      </c>
      <c r="D3" s="5" t="inlineStr">
        <is>
          <t>月度单价 (元)</t>
        </is>
      </c>
      <c r="E3" s="5" t="inlineStr">
        <is>
          <t>月度合计 (元)</t>
        </is>
      </c>
      <c r="F3" s="5" t="inlineStr">
        <is>
          <t>说明</t>
        </is>
      </c>
    </row>
    <row r="4">
      <c r="A4" s="6" t="n">
        <v>1</v>
      </c>
      <c r="B4" s="6" t="inlineStr">
        <is>
          <t>胡教授(CSO 顾问费)</t>
        </is>
      </c>
      <c r="C4" s="7" t="n">
        <v>1</v>
      </c>
      <c r="D4" s="7" t="n">
        <v>50000</v>
      </c>
      <c r="E4" s="7" t="n">
        <v>50000</v>
      </c>
      <c r="F4" s="6" t="inlineStr">
        <is>
          <t>每周 2 个工作日 + 战略评审 (由 60K 调降)</t>
        </is>
      </c>
    </row>
    <row r="5">
      <c r="A5" s="8" t="n">
        <v>2</v>
      </c>
      <c r="B5" s="8" t="inlineStr">
        <is>
          <t>产业招商经理</t>
        </is>
      </c>
      <c r="C5" s="9" t="n">
        <v>1</v>
      </c>
      <c r="D5" s="9" t="n">
        <v>32000</v>
      </c>
      <c r="E5" s="9" t="n">
        <v>32000</v>
      </c>
      <c r="F5" s="8" t="inlineStr">
        <is>
          <t>底薪 22K + 招商绩效 10K</t>
        </is>
      </c>
    </row>
    <row r="6">
      <c r="A6" s="6" t="n">
        <v>3</v>
      </c>
      <c r="B6" s="6" t="inlineStr">
        <is>
          <t>国际合作 &amp; 活动策划</t>
        </is>
      </c>
      <c r="C6" s="7" t="n">
        <v>1</v>
      </c>
      <c r="D6" s="7" t="n">
        <v>28000</v>
      </c>
      <c r="E6" s="7" t="n">
        <v>28000</v>
      </c>
      <c r="F6" s="6" t="inlineStr">
        <is>
          <t>底薪 20K + 活动绩效 8K</t>
        </is>
      </c>
    </row>
    <row r="7">
      <c r="A7" s="8" t="n">
        <v>4</v>
      </c>
      <c r="B7" s="8" t="inlineStr">
        <is>
          <t>基金投后 &amp; 政府关系</t>
        </is>
      </c>
      <c r="C7" s="9" t="n">
        <v>1</v>
      </c>
      <c r="D7" s="9" t="n">
        <v>28000</v>
      </c>
      <c r="E7" s="9" t="n">
        <v>28000</v>
      </c>
      <c r="F7" s="8" t="inlineStr">
        <is>
          <t>底薪 20K + 牌照绩效 8K</t>
        </is>
      </c>
    </row>
    <row r="8">
      <c r="A8" s="6" t="n">
        <v>5</v>
      </c>
      <c r="B8" s="6" t="inlineStr">
        <is>
          <t>行政 / 财务 (50% 分摊)</t>
        </is>
      </c>
      <c r="C8" s="7" t="n">
        <v>1</v>
      </c>
      <c r="D8" s="7" t="n">
        <v>10000</v>
      </c>
      <c r="E8" s="7" t="n">
        <v>10000</v>
      </c>
      <c r="F8" s="6" t="inlineStr">
        <is>
          <t>合资公司共享岗位摊销</t>
        </is>
      </c>
    </row>
    <row r="9">
      <c r="A9" s="8" t="n">
        <v>6</v>
      </c>
      <c r="B9" s="8" t="inlineStr">
        <is>
          <t>仲量联行爬楼数据接口</t>
        </is>
      </c>
      <c r="C9" s="9" t="n">
        <v>1</v>
      </c>
      <c r="D9" s="9" t="n">
        <v>4000</v>
      </c>
      <c r="E9" s="9" t="n">
        <v>4000</v>
      </c>
      <c r="F9" s="8" t="inlineStr">
        <is>
          <t>在 26,000 元已购基础上的运维费</t>
        </is>
      </c>
    </row>
    <row r="10">
      <c r="A10" s="6" t="n">
        <v>7</v>
      </c>
      <c r="B10" s="6" t="inlineStr">
        <is>
          <t>差旅 / 接待 / 物料</t>
        </is>
      </c>
      <c r="C10" s="7" t="n">
        <v>1</v>
      </c>
      <c r="D10" s="7" t="n">
        <v>14000</v>
      </c>
      <c r="E10" s="7" t="n">
        <v>14000</v>
      </c>
      <c r="F10" s="6" t="inlineStr">
        <is>
          <t>外事接待 + 爬楼差旅 + 物料</t>
        </is>
      </c>
    </row>
    <row r="11">
      <c r="A11" s="8" t="n">
        <v>8</v>
      </c>
      <c r="B11" s="8" t="inlineStr">
        <is>
          <t>管理与协调费</t>
        </is>
      </c>
      <c r="C11" s="9" t="n">
        <v>1</v>
      </c>
      <c r="D11" s="9" t="n">
        <v>8000</v>
      </c>
      <c r="E11" s="9" t="n">
        <v>8000</v>
      </c>
      <c r="F11" s="8" t="inlineStr">
        <is>
          <t>月度汇报 + 外部协调</t>
        </is>
      </c>
    </row>
    <row r="12">
      <c r="A12" s="10" t="inlineStr">
        <is>
          <t>合计</t>
        </is>
      </c>
      <c r="B12" s="10" t="inlineStr">
        <is>
          <t>团队月度刚性成本</t>
        </is>
      </c>
      <c r="C12" s="10" t="inlineStr"/>
      <c r="D12" s="10" t="inlineStr"/>
      <c r="E12" s="11" t="n">
        <v>174000</v>
      </c>
      <c r="F12" s="10" t="inlineStr">
        <is>
          <t>约 17 万元/月</t>
        </is>
      </c>
    </row>
    <row r="14">
      <c r="B14" s="4" t="inlineStr">
        <is>
          <t>月费谈判区间 (v1.1 已下调)</t>
        </is>
      </c>
    </row>
    <row r="15" ht="28" customHeight="1">
      <c r="A15" s="5" t="inlineStr"/>
      <c r="B15" s="5" t="inlineStr">
        <is>
          <t>档位</t>
        </is>
      </c>
      <c r="C15" s="5" t="inlineStr">
        <is>
          <t>金额 (元/月)</t>
        </is>
      </c>
      <c r="D15" s="5" t="inlineStr">
        <is>
          <t>年化 (元)</t>
        </is>
      </c>
      <c r="E15" s="5" t="inlineStr">
        <is>
          <t>毛利率 (相对成本)</t>
        </is>
      </c>
      <c r="F15" s="5" t="inlineStr">
        <is>
          <t>说明</t>
        </is>
      </c>
    </row>
    <row r="16">
      <c r="A16" s="6" t="n">
        <v>1</v>
      </c>
      <c r="B16" s="6" t="inlineStr">
        <is>
          <t>月费保底 (推荐, 谈判锚点)</t>
        </is>
      </c>
      <c r="C16" s="7" t="n">
        <v>280000</v>
      </c>
      <c r="D16" s="7" t="n">
        <v>3360000</v>
      </c>
      <c r="E16" s="6" t="inlineStr">
        <is>
          <t>37.9%</t>
        </is>
      </c>
      <c r="F16" s="6" t="inlineStr">
        <is>
          <t>≈ 团队成本的 1.6 倍, 留出适度安全垫</t>
        </is>
      </c>
    </row>
    <row r="17">
      <c r="A17" s="8" t="n">
        <v>2</v>
      </c>
      <c r="B17" s="8" t="inlineStr">
        <is>
          <t>月费区间下限 (红线)</t>
        </is>
      </c>
      <c r="C17" s="9" t="n">
        <v>200000</v>
      </c>
      <c r="D17" s="9" t="n">
        <v>2400000</v>
      </c>
      <c r="E17" s="8" t="inlineStr">
        <is>
          <t>13.0%</t>
        </is>
      </c>
      <c r="F17" s="8" t="inlineStr">
        <is>
          <t>覆盖核心 5 人 + 数据接口, 0 利润</t>
        </is>
      </c>
    </row>
    <row r="18">
      <c r="A18" s="6" t="n">
        <v>3</v>
      </c>
      <c r="B18" s="6" t="inlineStr">
        <is>
          <t>月费区间上限 (理想)</t>
        </is>
      </c>
      <c r="C18" s="7" t="n">
        <v>350000</v>
      </c>
      <c r="D18" s="7" t="n">
        <v>4200000</v>
      </c>
      <c r="E18" s="6" t="inlineStr">
        <is>
          <t>50.3%</t>
        </is>
      </c>
      <c r="F18" s="6" t="inlineStr">
        <is>
          <t>扩配 + 国际接待 + 政府关系强化</t>
        </is>
      </c>
    </row>
    <row r="20" ht="80" customHeight="1">
      <c r="B20" s="12" t="inlineStr">
        <is>
          <t>原 v1.0 月费区间为 30-50 万 (推荐 40 万)。考虑到大零号湾实际办公租金 1.8-2.5 元/㎡/天 (年租 657-913 元/㎡)，对比同类园区运营商管理费水平 (年租金的 5-8%)，本版本将月费下调为 20-35 万 (推荐 28 万)，更符合森马成本可承受度，并以新增的科技企业服务中心填补差额。</t>
        </is>
      </c>
    </row>
  </sheetData>
  <mergeCells count="2">
    <mergeCell ref="B20:F20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1" t="inlineStr">
        <is>
          <t>招商佣金阶梯测算 (v1.1 按市场实际租金 1.8-2.5 元/㎡/天)</t>
        </is>
      </c>
    </row>
    <row r="3" ht="28" customHeight="1">
      <c r="A3" s="5" t="inlineStr"/>
      <c r="B3" s="5" t="inlineStr">
        <is>
          <t>面积档位</t>
        </is>
      </c>
      <c r="C3" s="5" t="inlineStr">
        <is>
          <t>日租金 (元/㎡/天)</t>
        </is>
      </c>
      <c r="D3" s="5" t="inlineStr">
        <is>
          <t>年租金 (元/㎡)</t>
        </is>
      </c>
      <c r="E3" s="5" t="inlineStr">
        <is>
          <t>佣金月数</t>
        </is>
      </c>
      <c r="F3" s="5" t="inlineStr">
        <is>
          <t>佣金 (元/㎡)</t>
        </is>
      </c>
      <c r="G3" s="5" t="inlineStr">
        <is>
          <t>说明</t>
        </is>
      </c>
    </row>
    <row r="4">
      <c r="A4" s="6" t="n">
        <v>1</v>
      </c>
      <c r="B4" s="6" t="inlineStr">
        <is>
          <t>≤ 2,000㎡ 小型 (上层办公)</t>
        </is>
      </c>
      <c r="C4" s="6" t="n">
        <v>1.8</v>
      </c>
      <c r="D4" s="7" t="n">
        <v>657</v>
      </c>
      <c r="E4" s="6" t="n">
        <v>1</v>
      </c>
      <c r="F4" s="7" t="n">
        <v>55</v>
      </c>
      <c r="G4" s="6" t="inlineStr">
        <is>
          <t>小型潮玩 / 服务机构, 多为 5F+</t>
        </is>
      </c>
    </row>
    <row r="5">
      <c r="A5" s="8" t="n">
        <v>2</v>
      </c>
      <c r="B5" s="8" t="inlineStr">
        <is>
          <t>2,001-5,000㎡ 中型</t>
        </is>
      </c>
      <c r="C5" s="8" t="n">
        <v>2.2</v>
      </c>
      <c r="D5" s="9" t="n">
        <v>803</v>
      </c>
      <c r="E5" s="8" t="n">
        <v>1.5</v>
      </c>
      <c r="F5" s="9" t="n">
        <v>100</v>
      </c>
      <c r="G5" s="8" t="inlineStr">
        <is>
          <t>中型潮玩运营企业</t>
        </is>
      </c>
    </row>
    <row r="6">
      <c r="A6" s="6" t="n">
        <v>3</v>
      </c>
      <c r="B6" s="6" t="inlineStr">
        <is>
          <t>&gt; 5,000㎡ 头部 (综合)</t>
        </is>
      </c>
      <c r="C6" s="6" t="n">
        <v>2.5</v>
      </c>
      <c r="D6" s="7" t="n">
        <v>912</v>
      </c>
      <c r="E6" s="6" t="n">
        <v>2.5</v>
      </c>
      <c r="F6" s="7" t="n">
        <v>190</v>
      </c>
      <c r="G6" s="6" t="inlineStr">
        <is>
          <t>头部央企 / 行业协会</t>
        </is>
      </c>
    </row>
    <row r="8" ht="56" customHeight="1">
      <c r="B8" s="12" t="inlineStr">
        <is>
          <t>说明：① 商业 1F 临街铺位 (如 IP 选品中心 / 主题街区) 可按 3.0-5.0 元/㎡/天单独定价，对应佣金按其实际成交价计算；② 仲量联行爬楼大数据可使佣金转化率提升 30%；③ 追觅基金返投落地客户额外计 0.5 个月加成；④ 招商主导权由合资公司独家持有 5 年。</t>
        </is>
      </c>
    </row>
    <row r="10" ht="28" customHeight="1">
      <c r="A10" s="5" t="inlineStr"/>
      <c r="B10" s="5" t="inlineStr">
        <is>
          <t>场景</t>
        </is>
      </c>
      <c r="C10" s="5" t="inlineStr">
        <is>
          <t>成交面积 (㎡)</t>
        </is>
      </c>
      <c r="D10" s="5" t="inlineStr">
        <is>
          <t>平均佣金 (元/㎡)</t>
        </is>
      </c>
      <c r="E10" s="5" t="inlineStr">
        <is>
          <t>成交家数</t>
        </is>
      </c>
      <c r="F10" s="5" t="inlineStr">
        <is>
          <t>佣金合计 (元)</t>
        </is>
      </c>
      <c r="G10" s="5" t="inlineStr">
        <is>
          <t>说明</t>
        </is>
      </c>
    </row>
    <row r="11">
      <c r="A11" s="8" t="n">
        <v>1</v>
      </c>
      <c r="B11" s="8" t="inlineStr">
        <is>
          <t>保守</t>
        </is>
      </c>
      <c r="C11" s="9" t="n">
        <v>6000</v>
      </c>
      <c r="D11" s="9" t="n">
        <v>120</v>
      </c>
      <c r="E11" s="9" t="n">
        <v>12</v>
      </c>
      <c r="F11" s="9" t="n">
        <v>720000</v>
      </c>
      <c r="G11" s="8" t="inlineStr">
        <is>
          <t>首年成交不足；以中小型为主</t>
        </is>
      </c>
    </row>
    <row r="12">
      <c r="A12" s="6" t="n">
        <v>2</v>
      </c>
      <c r="B12" s="6" t="inlineStr">
        <is>
          <t>基础</t>
        </is>
      </c>
      <c r="C12" s="7" t="n">
        <v>12000</v>
      </c>
      <c r="D12" s="7" t="n">
        <v>110</v>
      </c>
      <c r="E12" s="7" t="n">
        <v>22</v>
      </c>
      <c r="F12" s="7" t="n">
        <v>1320000</v>
      </c>
      <c r="G12" s="6" t="inlineStr">
        <is>
          <t>稳态推进；中小+中型 + 1 家头部</t>
        </is>
      </c>
    </row>
    <row r="13">
      <c r="A13" s="8" t="n">
        <v>3</v>
      </c>
      <c r="B13" s="8" t="inlineStr">
        <is>
          <t>乐观</t>
        </is>
      </c>
      <c r="C13" s="9" t="n">
        <v>24000</v>
      </c>
      <c r="D13" s="9" t="n">
        <v>110</v>
      </c>
      <c r="E13" s="9" t="n">
        <v>35</v>
      </c>
      <c r="F13" s="9" t="n">
        <v>2640000</v>
      </c>
      <c r="G13" s="8" t="inlineStr">
        <is>
          <t>返投基金 + 牌照拉动；头部签约 3 家</t>
        </is>
      </c>
    </row>
    <row r="15" ht="38" customHeight="1">
      <c r="B15" s="12" t="inlineStr">
        <is>
          <t>v1.1 提醒: 佣金额下降是因为日租金对标真实市场水平后下调约 60%。要补足合资公司收入，必须强化“科技企业服务中心”对外收费 (Sheet 05b)。</t>
        </is>
      </c>
    </row>
  </sheetData>
  <mergeCells count="3">
    <mergeCell ref="B8:G8"/>
    <mergeCell ref="B15:G15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1" t="inlineStr">
        <is>
          <t>活动运营收入 + 专项奖项激励 测算</t>
        </is>
      </c>
    </row>
    <row r="3" ht="28" customHeight="1">
      <c r="A3" s="5" t="inlineStr"/>
      <c r="B3" s="5" t="inlineStr">
        <is>
          <t>活动 / 奖项</t>
        </is>
      </c>
      <c r="C3" s="5" t="inlineStr">
        <is>
          <t>频次/年</t>
        </is>
      </c>
      <c r="D3" s="5" t="inlineStr">
        <is>
          <t>单场收入 (元)</t>
        </is>
      </c>
      <c r="E3" s="5" t="inlineStr">
        <is>
          <t>成本 (元)</t>
        </is>
      </c>
      <c r="F3" s="5" t="inlineStr">
        <is>
          <t>净收入 (元)</t>
        </is>
      </c>
      <c r="G3" s="5" t="inlineStr">
        <is>
          <t>说明</t>
        </is>
      </c>
    </row>
    <row r="4">
      <c r="A4" s="6" t="n">
        <v>1</v>
      </c>
      <c r="B4" s="6" t="inlineStr">
        <is>
          <t>科技开放麦 (基础场)</t>
        </is>
      </c>
      <c r="C4" s="6" t="n">
        <v>12</v>
      </c>
      <c r="D4" s="7" t="n">
        <v>80000</v>
      </c>
      <c r="E4" s="7" t="n">
        <v>30000</v>
      </c>
      <c r="F4" s="7" t="n">
        <v>600000</v>
      </c>
      <c r="G4" s="6" t="inlineStr">
        <is>
          <t>赞助 + 票务 + 园区分摊</t>
        </is>
      </c>
    </row>
    <row r="5">
      <c r="A5" s="8" t="n">
        <v>2</v>
      </c>
      <c r="B5" s="8" t="inlineStr">
        <is>
          <t>科技开放麦 (大场)</t>
        </is>
      </c>
      <c r="C5" s="8" t="n">
        <v>2</v>
      </c>
      <c r="D5" s="9" t="n">
        <v>250000</v>
      </c>
      <c r="E5" s="9" t="n">
        <v>80000</v>
      </c>
      <c r="F5" s="9" t="n">
        <v>340000</v>
      </c>
      <c r="G5" s="8" t="inlineStr">
        <is>
          <t>森马联合发布 / 国际嘉宾</t>
        </is>
      </c>
    </row>
    <row r="6">
      <c r="A6" s="6" t="n">
        <v>3</v>
      </c>
      <c r="B6" s="6" t="inlineStr">
        <is>
          <t>北欧创新国际会客厅外事接待</t>
        </is>
      </c>
      <c r="C6" s="6" t="n">
        <v>6</v>
      </c>
      <c r="D6" s="7" t="n">
        <v>120000</v>
      </c>
      <c r="E6" s="7" t="n">
        <v>50000</v>
      </c>
      <c r="F6" s="7" t="n">
        <v>420000</v>
      </c>
      <c r="G6" s="6" t="inlineStr">
        <is>
          <t>外事接待 + 路演</t>
        </is>
      </c>
    </row>
    <row r="7">
      <c r="A7" s="8" t="n">
        <v>4</v>
      </c>
      <c r="B7" s="8" t="inlineStr">
        <is>
          <t>全国潮玩设计大赛 (年度)</t>
        </is>
      </c>
      <c r="C7" s="8" t="n">
        <v>1</v>
      </c>
      <c r="D7" s="9" t="n">
        <v>800000</v>
      </c>
      <c r="E7" s="9" t="n">
        <v>300000</v>
      </c>
      <c r="F7" s="9" t="n">
        <v>500000</v>
      </c>
      <c r="G7" s="8" t="inlineStr">
        <is>
          <t>省级补贴 + 头部赞助</t>
        </is>
      </c>
    </row>
    <row r="8">
      <c r="A8" s="6" t="n">
        <v>5</v>
      </c>
      <c r="B8" s="6" t="inlineStr">
        <is>
          <t>福布斯榜单 元谷专场发布</t>
        </is>
      </c>
      <c r="C8" s="6" t="n">
        <v>1</v>
      </c>
      <c r="D8" s="7" t="n">
        <v>600000</v>
      </c>
      <c r="E8" s="7" t="n">
        <v>200000</v>
      </c>
      <c r="F8" s="7" t="n">
        <v>400000</v>
      </c>
      <c r="G8" s="6" t="inlineStr">
        <is>
          <t>联合森马 + 福布斯方</t>
        </is>
      </c>
    </row>
    <row r="9">
      <c r="A9" s="8" t="n">
        <v>6</v>
      </c>
      <c r="B9" s="8" t="inlineStr">
        <is>
          <t>AI 共享设计中心 工作坊</t>
        </is>
      </c>
      <c r="C9" s="8" t="n">
        <v>12</v>
      </c>
      <c r="D9" s="9" t="n">
        <v>30000</v>
      </c>
      <c r="E9" s="9" t="n">
        <v>10000</v>
      </c>
      <c r="F9" s="9" t="n">
        <v>240000</v>
      </c>
      <c r="G9" s="8" t="inlineStr">
        <is>
          <t>AI 腾讯背书 + 中型企业付费</t>
        </is>
      </c>
    </row>
    <row r="10">
      <c r="A10" s="10" t="inlineStr">
        <is>
          <t>合计</t>
        </is>
      </c>
      <c r="B10" s="10" t="inlineStr">
        <is>
          <t>活动年度净收入</t>
        </is>
      </c>
      <c r="C10" s="10" t="inlineStr"/>
      <c r="D10" s="10" t="inlineStr"/>
      <c r="E10" s="10" t="inlineStr"/>
      <c r="F10" s="11" t="n">
        <v>2500000</v>
      </c>
      <c r="G10" s="10" t="inlineStr">
        <is>
          <t>≈ 240-360 万元</t>
        </is>
      </c>
    </row>
    <row r="12">
      <c r="B12" s="4" t="inlineStr">
        <is>
          <t>专项奖项 / 挂牌激励 (一次性)</t>
        </is>
      </c>
    </row>
    <row r="13" ht="28" customHeight="1">
      <c r="A13" s="5" t="inlineStr"/>
      <c r="B13" s="5" t="inlineStr">
        <is>
          <t>奖项 / 挂牌</t>
        </is>
      </c>
      <c r="C13" s="5" t="inlineStr">
        <is>
          <t>数量</t>
        </is>
      </c>
      <c r="D13" s="5" t="inlineStr">
        <is>
          <t>单项激励 (元)</t>
        </is>
      </c>
      <c r="E13" s="5" t="inlineStr">
        <is>
          <t>合计 (元)</t>
        </is>
      </c>
      <c r="F13" s="5" t="inlineStr"/>
      <c r="G13" s="5" t="inlineStr">
        <is>
          <t>说明</t>
        </is>
      </c>
    </row>
    <row r="14">
      <c r="A14" s="6" t="n">
        <v>1</v>
      </c>
      <c r="B14" s="6" t="inlineStr">
        <is>
          <t>AI 潮玩产业基地 牌照挂牌</t>
        </is>
      </c>
      <c r="C14" s="6" t="n">
        <v>1</v>
      </c>
      <c r="D14" s="7" t="n">
        <v>300000</v>
      </c>
      <c r="E14" s="7" t="n">
        <v>300000</v>
      </c>
      <c r="F14" s="6" t="inlineStr"/>
      <c r="G14" s="6" t="inlineStr">
        <is>
          <t>中国动漫集团</t>
        </is>
      </c>
    </row>
    <row r="15">
      <c r="A15" s="8" t="n">
        <v>2</v>
      </c>
      <c r="B15" s="8" t="inlineStr">
        <is>
          <t>潮玩次元商业专委会 牌照挂牌</t>
        </is>
      </c>
      <c r="C15" s="8" t="n">
        <v>1</v>
      </c>
      <c r="D15" s="9" t="n">
        <v>300000</v>
      </c>
      <c r="E15" s="9" t="n">
        <v>300000</v>
      </c>
      <c r="F15" s="8" t="inlineStr"/>
      <c r="G15" s="8" t="inlineStr">
        <is>
          <t>中国百货商业协会</t>
        </is>
      </c>
    </row>
    <row r="16">
      <c r="A16" s="6" t="n">
        <v>3</v>
      </c>
      <c r="B16" s="6" t="inlineStr">
        <is>
          <t>上海科技时尚特色小镇 政府奖项</t>
        </is>
      </c>
      <c r="C16" s="6" t="n">
        <v>1</v>
      </c>
      <c r="D16" s="7" t="n">
        <v>400000</v>
      </c>
      <c r="E16" s="7" t="n">
        <v>400000</v>
      </c>
      <c r="F16" s="6" t="inlineStr"/>
      <c r="G16" s="6" t="inlineStr">
        <is>
          <t>市/区级</t>
        </is>
      </c>
    </row>
    <row r="17">
      <c r="A17" s="8" t="n">
        <v>4</v>
      </c>
      <c r="B17" s="8" t="inlineStr">
        <is>
          <t>福布斯榜单上榜 / 评选挂牌</t>
        </is>
      </c>
      <c r="C17" s="8" t="n">
        <v>2</v>
      </c>
      <c r="D17" s="9" t="n">
        <v>200000</v>
      </c>
      <c r="E17" s="9" t="n">
        <v>400000</v>
      </c>
      <c r="F17" s="8" t="inlineStr"/>
      <c r="G17" s="8" t="inlineStr">
        <is>
          <t>U30 / 创新榜 / 园区榜</t>
        </is>
      </c>
    </row>
    <row r="18">
      <c r="A18" s="6" t="n">
        <v>5</v>
      </c>
      <c r="B18" s="6" t="inlineStr">
        <is>
          <t>国家级科技 / 文创奖项</t>
        </is>
      </c>
      <c r="C18" s="6" t="n">
        <v>1</v>
      </c>
      <c r="D18" s="7" t="n">
        <v>300000</v>
      </c>
      <c r="E18" s="7" t="n">
        <v>300000</v>
      </c>
      <c r="F18" s="6" t="inlineStr"/>
      <c r="G18" s="6" t="inlineStr">
        <is>
          <t>如国家文创基金 / 工信部专项</t>
        </is>
      </c>
    </row>
    <row r="19">
      <c r="A19" s="10" t="inlineStr">
        <is>
          <t>合计</t>
        </is>
      </c>
      <c r="B19" s="10" t="inlineStr">
        <is>
          <t>首年挂牌奖励合计</t>
        </is>
      </c>
      <c r="C19" s="10" t="inlineStr"/>
      <c r="D19" s="10" t="inlineStr"/>
      <c r="E19" s="11" t="n">
        <v>1700000</v>
      </c>
      <c r="F19" s="10" t="inlineStr"/>
      <c r="G19" s="10" t="inlineStr">
        <is>
          <t>≈ 150-200 万元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40" customHeight="1">
      <c r="A1" s="1" t="inlineStr">
        <is>
          <t>科技企业服务中心 — 对入驻企业 9 大类增值服务费 (对外收费, 不向甲方收取)</t>
        </is>
      </c>
    </row>
    <row r="2" ht="36" customHeight="1">
      <c r="B2" s="12" t="inlineStr">
        <is>
          <t>定位：合资公司在元谷 4# 楼 5F+ 或 5# 楼 5F+ 设立『元谷科技企业服务中心』，对入驻企业及大零号湾区域内潜在企业提供 9 大类标准化 + 项目制服务。该中心收入与森马月费相互独立，由合资公司单独核算。</t>
        </is>
      </c>
    </row>
    <row r="4" ht="28" customHeight="1">
      <c r="A4" s="5" t="inlineStr"/>
      <c r="B4" s="5" t="inlineStr">
        <is>
          <t>服务大类</t>
        </is>
      </c>
      <c r="C4" s="5" t="inlineStr">
        <is>
          <t>代表服务</t>
        </is>
      </c>
      <c r="D4" s="5" t="inlineStr">
        <is>
          <t>收费方式</t>
        </is>
      </c>
      <c r="E4" s="5" t="inlineStr">
        <is>
          <t>起价 (元)</t>
        </is>
      </c>
      <c r="F4" s="5" t="inlineStr">
        <is>
          <t>上限 (元)</t>
        </is>
      </c>
      <c r="G4" s="5" t="inlineStr">
        <is>
          <t>毛利率</t>
        </is>
      </c>
      <c r="H4" s="5" t="inlineStr">
        <is>
          <t>对应需求场景</t>
        </is>
      </c>
    </row>
    <row r="5">
      <c r="A5" s="8" t="n">
        <v>1</v>
      </c>
      <c r="B5" s="8" t="inlineStr">
        <is>
          <t>一. 注册落户</t>
        </is>
      </c>
      <c r="C5" s="8" t="inlineStr">
        <is>
          <t>公司注册 / 园区落户 / 政策红利申报代办</t>
        </is>
      </c>
      <c r="D5" s="8" t="inlineStr">
        <is>
          <t>一次性</t>
        </is>
      </c>
      <c r="E5" s="9" t="n">
        <v>5000</v>
      </c>
      <c r="F5" s="9" t="n">
        <v>30000</v>
      </c>
      <c r="G5" s="8" t="inlineStr">
        <is>
          <t>55%</t>
        </is>
      </c>
      <c r="H5" s="8" t="inlineStr">
        <is>
          <t>新企业落地 / 跨区迁入</t>
        </is>
      </c>
    </row>
    <row r="6">
      <c r="A6" s="6" t="n">
        <v>2</v>
      </c>
      <c r="B6" s="6" t="inlineStr">
        <is>
          <t>二. 财税法</t>
        </is>
      </c>
      <c r="C6" s="6" t="inlineStr">
        <is>
          <t>代理记账 / 法律顾问 / 税筹与税收优惠申请</t>
        </is>
      </c>
      <c r="D6" s="6" t="inlineStr">
        <is>
          <t>月费 + 项目制</t>
        </is>
      </c>
      <c r="E6" s="7" t="n">
        <v>1500</v>
      </c>
      <c r="F6" s="7" t="n">
        <v>10000</v>
      </c>
      <c r="G6" s="6" t="inlineStr">
        <is>
          <t>40%</t>
        </is>
      </c>
      <c r="H6" s="6" t="inlineStr">
        <is>
          <t>中小型潮玩企业刚需</t>
        </is>
      </c>
    </row>
    <row r="7">
      <c r="A7" s="8" t="n">
        <v>3</v>
      </c>
      <c r="B7" s="8" t="inlineStr">
        <is>
          <t>三. 知识产权</t>
        </is>
      </c>
      <c r="C7" s="8" t="inlineStr">
        <is>
          <t>商标 / 专利 / 潮玩 IP 维权</t>
        </is>
      </c>
      <c r="D7" s="8" t="inlineStr">
        <is>
          <t>单件 + 项目制</t>
        </is>
      </c>
      <c r="E7" s="9" t="n">
        <v>1500</v>
      </c>
      <c r="F7" s="9" t="n">
        <v>150000</v>
      </c>
      <c r="G7" s="8" t="inlineStr">
        <is>
          <t>50%</t>
        </is>
      </c>
      <c r="H7" s="8" t="inlineStr">
        <is>
          <t>潮玩 IP 高度依赖</t>
        </is>
      </c>
    </row>
    <row r="8">
      <c r="A8" s="6" t="n">
        <v>4</v>
      </c>
      <c r="B8" s="6" t="inlineStr">
        <is>
          <t>四. 政府补贴申报</t>
        </is>
      </c>
      <c r="C8" s="6" t="inlineStr">
        <is>
          <t>高新技术 / 专精特新 / 创新券 / 文创基金</t>
        </is>
      </c>
      <c r="D8" s="6" t="inlineStr">
        <is>
          <t>项目制 + 提成</t>
        </is>
      </c>
      <c r="E8" s="7" t="n">
        <v>30000</v>
      </c>
      <c r="F8" s="7" t="n">
        <v>150000</v>
      </c>
      <c r="G8" s="6" t="inlineStr">
        <is>
          <t>60%</t>
        </is>
      </c>
      <c r="H8" s="6" t="inlineStr">
        <is>
          <t>上海科技小巨人 / 闵行专项</t>
        </is>
      </c>
    </row>
    <row r="9">
      <c r="A9" s="8" t="n">
        <v>5</v>
      </c>
      <c r="B9" s="8" t="inlineStr">
        <is>
          <t>五. 人才与签证</t>
        </is>
      </c>
      <c r="C9" s="8" t="inlineStr">
        <is>
          <t>居住证积分 / 留学生落户 / 外籍工作签证</t>
        </is>
      </c>
      <c r="D9" s="8" t="inlineStr">
        <is>
          <t>单人</t>
        </is>
      </c>
      <c r="E9" s="9" t="n">
        <v>5000</v>
      </c>
      <c r="F9" s="9" t="n">
        <v>20000</v>
      </c>
      <c r="G9" s="8" t="inlineStr">
        <is>
          <t>35%</t>
        </is>
      </c>
      <c r="H9" s="8" t="inlineStr">
        <is>
          <t>国际化 + 海归人才回流</t>
        </is>
      </c>
    </row>
    <row r="10">
      <c r="A10" s="6" t="n">
        <v>6</v>
      </c>
      <c r="B10" s="6" t="inlineStr">
        <is>
          <t>六. 投融资</t>
        </is>
      </c>
      <c r="C10" s="6" t="inlineStr">
        <is>
          <t>路演对接 / FA 顾问 / 并购顾问</t>
        </is>
      </c>
      <c r="D10" s="6" t="inlineStr">
        <is>
          <t>月费 + 提成</t>
        </is>
      </c>
      <c r="E10" s="7" t="n">
        <v>5000</v>
      </c>
      <c r="F10" s="7" t="n">
        <v>300000</v>
      </c>
      <c r="G10" s="6" t="inlineStr">
        <is>
          <t>65%</t>
        </is>
      </c>
      <c r="H10" s="6" t="inlineStr">
        <is>
          <t>追觅基金 + 外部 LP 联动</t>
        </is>
      </c>
    </row>
    <row r="11">
      <c r="A11" s="8" t="n">
        <v>7</v>
      </c>
      <c r="B11" s="8" t="inlineStr">
        <is>
          <t>七. 品牌与公关</t>
        </is>
      </c>
      <c r="C11" s="8" t="inlineStr">
        <is>
          <t>媒体投放 / KOL / 海外推广</t>
        </is>
      </c>
      <c r="D11" s="8" t="inlineStr">
        <is>
          <t>项目制</t>
        </is>
      </c>
      <c r="E11" s="9" t="n">
        <v>50000</v>
      </c>
      <c r="F11" s="9" t="n">
        <v>1000000</v>
      </c>
      <c r="G11" s="8" t="inlineStr">
        <is>
          <t>30%</t>
        </is>
      </c>
      <c r="H11" s="8" t="inlineStr">
        <is>
          <t>潮玩出海 + 北欧外事</t>
        </is>
      </c>
    </row>
    <row r="12">
      <c r="A12" s="6" t="n">
        <v>8</v>
      </c>
      <c r="B12" s="6" t="inlineStr">
        <is>
          <t>八. 数字化工具</t>
        </is>
      </c>
      <c r="C12" s="6" t="inlineStr">
        <is>
          <t>SaaS 包 / AI 设计工作站</t>
        </is>
      </c>
      <c r="D12" s="6" t="inlineStr">
        <is>
          <t>月订阅</t>
        </is>
      </c>
      <c r="E12" s="7" t="n">
        <v>800</v>
      </c>
      <c r="F12" s="7" t="n">
        <v>8000</v>
      </c>
      <c r="G12" s="6" t="inlineStr">
        <is>
          <t>55%</t>
        </is>
      </c>
      <c r="H12" s="6" t="inlineStr">
        <is>
          <t>AI 腾讯生态导流 + 共享设计中心</t>
        </is>
      </c>
    </row>
    <row r="13">
      <c r="A13" s="8" t="n">
        <v>9</v>
      </c>
      <c r="B13" s="8" t="inlineStr">
        <is>
          <t>九. 培训与认证</t>
        </is>
      </c>
      <c r="C13" s="8" t="inlineStr">
        <is>
          <t>潮玩产业认证 / 出海实操营</t>
        </is>
      </c>
      <c r="D13" s="8" t="inlineStr">
        <is>
          <t>单课</t>
        </is>
      </c>
      <c r="E13" s="9" t="n">
        <v>2000</v>
      </c>
      <c r="F13" s="9" t="n">
        <v>20000</v>
      </c>
      <c r="G13" s="8" t="inlineStr">
        <is>
          <t>55%</t>
        </is>
      </c>
      <c r="H13" s="8" t="inlineStr">
        <is>
          <t>中国动漫集团 / 中百协联办</t>
        </is>
      </c>
    </row>
    <row r="16">
      <c r="B16" s="4" t="inlineStr">
        <is>
          <t>三年营收预测 (基础场景, 服务渗透率渐进)</t>
        </is>
      </c>
    </row>
    <row r="17" ht="28" customHeight="1">
      <c r="A17" s="5" t="inlineStr"/>
      <c r="B17" s="5" t="inlineStr">
        <is>
          <t>年度</t>
        </is>
      </c>
      <c r="C17" s="5" t="inlineStr">
        <is>
          <t>入驻企业数</t>
        </is>
      </c>
      <c r="D17" s="5" t="inlineStr">
        <is>
          <t>活跃客户数 (渗透)</t>
        </is>
      </c>
      <c r="E17" s="5" t="inlineStr">
        <is>
          <t>ARPU (元/户/年)</t>
        </is>
      </c>
      <c r="F17" s="5" t="inlineStr">
        <is>
          <t>营收 (元)</t>
        </is>
      </c>
      <c r="G17" s="5" t="inlineStr">
        <is>
          <t>净利率</t>
        </is>
      </c>
      <c r="H17" s="5" t="inlineStr">
        <is>
          <t>净利 (元)</t>
        </is>
      </c>
    </row>
    <row r="18">
      <c r="A18" s="6" t="n">
        <v>1</v>
      </c>
      <c r="B18" s="6" t="inlineStr">
        <is>
          <t>T+1 年</t>
        </is>
      </c>
      <c r="C18" s="7" t="n">
        <v>60</v>
      </c>
      <c r="D18" s="6" t="inlineStr">
        <is>
          <t>30 (50%)</t>
        </is>
      </c>
      <c r="E18" s="7" t="n">
        <v>50000</v>
      </c>
      <c r="F18" s="7" t="n">
        <v>1500000</v>
      </c>
      <c r="G18" s="6" t="inlineStr">
        <is>
          <t>35%</t>
        </is>
      </c>
      <c r="H18" s="7" t="n">
        <v>525000</v>
      </c>
    </row>
    <row r="19">
      <c r="A19" s="8" t="n">
        <v>2</v>
      </c>
      <c r="B19" s="8" t="inlineStr">
        <is>
          <t>T+2 年</t>
        </is>
      </c>
      <c r="C19" s="9" t="n">
        <v>90</v>
      </c>
      <c r="D19" s="8" t="inlineStr">
        <is>
          <t>50 (56%)</t>
        </is>
      </c>
      <c r="E19" s="9" t="n">
        <v>60000</v>
      </c>
      <c r="F19" s="9" t="n">
        <v>3000000</v>
      </c>
      <c r="G19" s="8" t="inlineStr">
        <is>
          <t>38%</t>
        </is>
      </c>
      <c r="H19" s="9" t="n">
        <v>1140000</v>
      </c>
    </row>
    <row r="20">
      <c r="A20" s="6" t="n">
        <v>3</v>
      </c>
      <c r="B20" s="6" t="inlineStr">
        <is>
          <t>T+3 年</t>
        </is>
      </c>
      <c r="C20" s="7" t="n">
        <v>120</v>
      </c>
      <c r="D20" s="6" t="inlineStr">
        <is>
          <t>80 (67%)</t>
        </is>
      </c>
      <c r="E20" s="7" t="n">
        <v>80000</v>
      </c>
      <c r="F20" s="7" t="n">
        <v>6400000</v>
      </c>
      <c r="G20" s="6" t="inlineStr">
        <is>
          <t>40%</t>
        </is>
      </c>
      <c r="H20" s="7" t="n">
        <v>2560000</v>
      </c>
    </row>
    <row r="21">
      <c r="A21" s="10" t="inlineStr">
        <is>
          <t>合计</t>
        </is>
      </c>
      <c r="B21" s="10" t="inlineStr">
        <is>
          <t>三年累计</t>
        </is>
      </c>
      <c r="C21" s="10" t="inlineStr"/>
      <c r="D21" s="10" t="inlineStr"/>
      <c r="E21" s="10" t="inlineStr"/>
      <c r="F21" s="11" t="n">
        <v>10900000</v>
      </c>
      <c r="G21" s="10" t="inlineStr"/>
      <c r="H21" s="11" t="n">
        <v>4225000</v>
      </c>
    </row>
    <row r="23" ht="80" customHeight="1">
      <c r="B23" s="12" t="inlineStr">
        <is>
          <t>分润机制：服务中心营收完全归合资公司，胡教授团队按 30% 持股享有净利分红 (T+3 年达 67 万元/年)，并通过 CSO 顾问费定额分摊管理工作。该收入流不与甲方月费形成竞争，是合资公司增量价值的核心来源。三年累计营收约 1,090 万元、累计净利约 415 万元、丙方累计获分红约 124 万元。</t>
        </is>
      </c>
    </row>
  </sheetData>
  <mergeCells count="3">
    <mergeCell ref="B2:H2"/>
    <mergeCell ref="B23:H2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40" customHeight="1">
      <c r="A1" s="1" t="inlineStr">
        <is>
          <t>股权分红预测 + 三年累计现金流 (基础场景, 已计入科技企业服务中心)</t>
        </is>
      </c>
    </row>
    <row r="2">
      <c r="B2" s="4" t="inlineStr">
        <is>
          <t>表 A · 胡教授团队三年现金收入 (5 项, 已去重)</t>
        </is>
      </c>
    </row>
    <row r="3" ht="28" customHeight="1">
      <c r="A3" s="5" t="inlineStr"/>
      <c r="B3" s="5" t="inlineStr">
        <is>
          <t>项目</t>
        </is>
      </c>
      <c r="C3" s="5" t="inlineStr">
        <is>
          <t>T+1 年 (元)</t>
        </is>
      </c>
      <c r="D3" s="5" t="inlineStr">
        <is>
          <t>T+2 年 (元)</t>
        </is>
      </c>
      <c r="E3" s="5" t="inlineStr">
        <is>
          <t>T+3 年 (元)</t>
        </is>
      </c>
      <c r="F3" s="5" t="inlineStr">
        <is>
          <t>三年合计 (元)</t>
        </is>
      </c>
      <c r="G3" s="5" t="inlineStr">
        <is>
          <t>假设</t>
        </is>
      </c>
    </row>
    <row r="4">
      <c r="A4" s="6" t="n">
        <v>1</v>
      </c>
      <c r="B4" s="6" t="inlineStr">
        <is>
          <t>固定月费 Retainer (年化)</t>
        </is>
      </c>
      <c r="C4" s="7" t="n">
        <v>3360000</v>
      </c>
      <c r="D4" s="7" t="n">
        <v>3600000</v>
      </c>
      <c r="E4" s="7" t="n">
        <v>3960000</v>
      </c>
      <c r="F4" s="7" t="n">
        <v>10920000</v>
      </c>
      <c r="G4" s="6" t="inlineStr">
        <is>
          <t>月费 28 → 30 → 33 万</t>
        </is>
      </c>
    </row>
    <row r="5">
      <c r="A5" s="8" t="n">
        <v>2</v>
      </c>
      <c r="B5" s="8" t="inlineStr">
        <is>
          <t>招商佣金</t>
        </is>
      </c>
      <c r="C5" s="9" t="n">
        <v>1320000</v>
      </c>
      <c r="D5" s="9" t="n">
        <v>2200000</v>
      </c>
      <c r="E5" s="9" t="n">
        <v>3300000</v>
      </c>
      <c r="F5" s="9" t="n">
        <v>6820000</v>
      </c>
      <c r="G5" s="8" t="inlineStr">
        <is>
          <t>成交面积 1.2 / 2.0 / 3.0 万㎡</t>
        </is>
      </c>
    </row>
    <row r="6">
      <c r="A6" s="6" t="n">
        <v>3</v>
      </c>
      <c r="B6" s="6" t="inlineStr">
        <is>
          <t>活动运营净收入</t>
        </is>
      </c>
      <c r="C6" s="7" t="n">
        <v>2400000</v>
      </c>
      <c r="D6" s="7" t="n">
        <v>3000000</v>
      </c>
      <c r="E6" s="7" t="n">
        <v>3600000</v>
      </c>
      <c r="F6" s="7" t="n">
        <v>9000000</v>
      </c>
      <c r="G6" s="6" t="inlineStr">
        <is>
          <t>活动+1 场/年 + 大赛升级</t>
        </is>
      </c>
    </row>
    <row r="7">
      <c r="A7" s="8" t="n">
        <v>4</v>
      </c>
      <c r="B7" s="8" t="inlineStr">
        <is>
          <t>奖项 / 挂牌激励</t>
        </is>
      </c>
      <c r="C7" s="9" t="n">
        <v>1500000</v>
      </c>
      <c r="D7" s="9" t="n">
        <v>800000</v>
      </c>
      <c r="E7" s="9" t="n">
        <v>1500000</v>
      </c>
      <c r="F7" s="9" t="n">
        <v>3800000</v>
      </c>
      <c r="G7" s="8" t="inlineStr">
        <is>
          <t>牌照前置, 第二年保持</t>
        </is>
      </c>
    </row>
    <row r="8">
      <c r="A8" s="6" t="n">
        <v>5</v>
      </c>
      <c r="B8" s="6" t="inlineStr">
        <is>
          <t>合资公司分红 (30%, 含服务中心)</t>
        </is>
      </c>
      <c r="C8" s="7" t="n">
        <v>1440000</v>
      </c>
      <c r="D8" s="7" t="n">
        <v>2700000</v>
      </c>
      <c r="E8" s="7" t="n">
        <v>4500000</v>
      </c>
      <c r="F8" s="7" t="n">
        <v>8640000</v>
      </c>
      <c r="G8" s="6" t="inlineStr">
        <is>
          <t>净利 30% (服务中心 38% 毛利贡献)</t>
        </is>
      </c>
    </row>
    <row r="9">
      <c r="A9" s="10" t="inlineStr">
        <is>
          <t>合计</t>
        </is>
      </c>
      <c r="B9" s="10" t="inlineStr">
        <is>
          <t>胡教授团队年度收入 (元)</t>
        </is>
      </c>
      <c r="C9" s="11" t="n">
        <v>10020000</v>
      </c>
      <c r="D9" s="11" t="n">
        <v>12300000</v>
      </c>
      <c r="E9" s="11" t="n">
        <v>16860000</v>
      </c>
      <c r="F9" s="11" t="n">
        <v>39180000</v>
      </c>
      <c r="G9" s="10" t="inlineStr">
        <is>
          <t>三年合计现金口径</t>
        </is>
      </c>
    </row>
    <row r="10">
      <c r="A10" s="10" t="inlineStr">
        <is>
          <t>折合</t>
        </is>
      </c>
      <c r="B10" s="10" t="inlineStr">
        <is>
          <t>胡教授团队年度收入 (万元)</t>
        </is>
      </c>
      <c r="C10" s="11" t="n">
        <v>1002</v>
      </c>
      <c r="D10" s="11" t="n">
        <v>1230</v>
      </c>
      <c r="E10" s="11" t="n">
        <v>1686</v>
      </c>
      <c r="F10" s="11" t="n">
        <v>3918</v>
      </c>
      <c r="G10" s="10" t="inlineStr">
        <is>
          <t>三年累计 ≈ 3,918 万元</t>
        </is>
      </c>
    </row>
    <row r="12">
      <c r="B12" s="4" t="inlineStr">
        <is>
          <t>表 B · 合资公司 P&amp;L 反推 (含科技企业服务中心)</t>
        </is>
      </c>
    </row>
    <row r="13" ht="28" customHeight="1">
      <c r="A13" s="5" t="inlineStr"/>
      <c r="B13" s="5" t="inlineStr">
        <is>
          <t>项目</t>
        </is>
      </c>
      <c r="C13" s="5" t="inlineStr">
        <is>
          <t>T+1 (元)</t>
        </is>
      </c>
      <c r="D13" s="5" t="inlineStr">
        <is>
          <t>T+2 (元)</t>
        </is>
      </c>
      <c r="E13" s="5" t="inlineStr">
        <is>
          <t>T+3 (元)</t>
        </is>
      </c>
      <c r="F13" s="5" t="inlineStr">
        <is>
          <t>三年合计 (元)</t>
        </is>
      </c>
      <c r="G13" s="5" t="inlineStr">
        <is>
          <t>说明</t>
        </is>
      </c>
    </row>
    <row r="14">
      <c r="A14" s="6" t="n">
        <v>1</v>
      </c>
      <c r="B14" s="6" t="inlineStr">
        <is>
          <t>合资公司总收入</t>
        </is>
      </c>
      <c r="C14" s="7" t="n">
        <v>13500000</v>
      </c>
      <c r="D14" s="7" t="n">
        <v>21000000</v>
      </c>
      <c r="E14" s="7" t="n">
        <v>30400000</v>
      </c>
      <c r="F14" s="7" t="n">
        <v>64900000</v>
      </c>
      <c r="G14" s="6" t="inlineStr">
        <is>
          <t>招商分润+活动+直营毛利+服务中心营收</t>
        </is>
      </c>
    </row>
    <row r="15">
      <c r="A15" s="8" t="n">
        <v>2</v>
      </c>
      <c r="B15" s="8" t="inlineStr">
        <is>
          <t xml:space="preserve">  其中:服务中心营收</t>
        </is>
      </c>
      <c r="C15" s="9" t="n">
        <v>1500000</v>
      </c>
      <c r="D15" s="9" t="n">
        <v>3000000</v>
      </c>
      <c r="E15" s="9" t="n">
        <v>6400000</v>
      </c>
      <c r="F15" s="9" t="n">
        <v>10900000</v>
      </c>
      <c r="G15" s="8" t="inlineStr">
        <is>
          <t>Sheet 05b</t>
        </is>
      </c>
    </row>
    <row r="16">
      <c r="A16" s="6" t="n">
        <v>3</v>
      </c>
      <c r="B16" s="6" t="inlineStr">
        <is>
          <t>合资公司经营成本</t>
        </is>
      </c>
      <c r="C16" s="7" t="n">
        <v>8700000</v>
      </c>
      <c r="D16" s="7" t="n">
        <v>12000000</v>
      </c>
      <c r="E16" s="7" t="n">
        <v>15400000</v>
      </c>
      <c r="F16" s="7" t="n">
        <v>36100000</v>
      </c>
      <c r="G16" s="6" t="inlineStr">
        <is>
          <t>团队+运营+服务中心成本</t>
        </is>
      </c>
    </row>
    <row r="17">
      <c r="A17" s="8" t="n">
        <v>4</v>
      </c>
      <c r="B17" s="8" t="inlineStr">
        <is>
          <t>合资公司净利润</t>
        </is>
      </c>
      <c r="C17" s="9" t="n">
        <v>4800000</v>
      </c>
      <c r="D17" s="9" t="n">
        <v>9000000</v>
      </c>
      <c r="E17" s="9" t="n">
        <v>15000000</v>
      </c>
      <c r="F17" s="9" t="n">
        <v>28800000</v>
      </c>
      <c r="G17" s="8" t="inlineStr">
        <is>
          <t>基础场景</t>
        </is>
      </c>
    </row>
    <row r="18">
      <c r="A18" s="6" t="n">
        <v>5</v>
      </c>
      <c r="B18" s="6" t="inlineStr">
        <is>
          <t>胡教授团队 30% 分红</t>
        </is>
      </c>
      <c r="C18" s="7" t="n">
        <v>1440000</v>
      </c>
      <c r="D18" s="7" t="n">
        <v>2700000</v>
      </c>
      <c r="E18" s="7" t="n">
        <v>4500000</v>
      </c>
      <c r="F18" s="7" t="n">
        <v>8640000</v>
      </c>
      <c r="G18" s="6">
        <f> 上述净利润 × 30%</f>
        <v/>
      </c>
    </row>
  </sheetData>
  <mergeCells count="3">
    <mergeCell ref="B2:G2"/>
    <mergeCell ref="A1:G1"/>
    <mergeCell ref="B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敏感性分析: 月费 × 招商成交面积 → 首年总收入 (v1.1)</t>
        </is>
      </c>
    </row>
    <row r="3" ht="28" customHeight="1">
      <c r="A3" s="5" t="inlineStr"/>
      <c r="B3" s="5" t="inlineStr">
        <is>
          <t>月费 \ 成交面积 (㎡)</t>
        </is>
      </c>
      <c r="C3" s="5" t="inlineStr">
        <is>
          <t>4,000</t>
        </is>
      </c>
      <c r="D3" s="5" t="inlineStr">
        <is>
          <t>8,000</t>
        </is>
      </c>
      <c r="E3" s="5" t="inlineStr">
        <is>
          <t>12,000</t>
        </is>
      </c>
      <c r="F3" s="5" t="inlineStr">
        <is>
          <t>16,000</t>
        </is>
      </c>
      <c r="G3" s="5" t="inlineStr">
        <is>
          <t>20,000</t>
        </is>
      </c>
      <c r="H3" s="5" t="inlineStr">
        <is>
          <t>24,000</t>
        </is>
      </c>
    </row>
    <row r="4">
      <c r="A4" s="6" t="n">
        <v>1</v>
      </c>
      <c r="B4" s="6" t="inlineStr">
        <is>
          <t>月费 150,000 元</t>
        </is>
      </c>
      <c r="C4" s="7" t="n">
        <v>10580000</v>
      </c>
      <c r="D4" s="7" t="n">
        <v>11020000</v>
      </c>
      <c r="E4" s="7" t="n">
        <v>11460000</v>
      </c>
      <c r="F4" s="7" t="n">
        <v>11900000</v>
      </c>
      <c r="G4" s="7" t="n">
        <v>12340000</v>
      </c>
      <c r="H4" s="7" t="n">
        <v>12780000</v>
      </c>
    </row>
    <row r="5">
      <c r="A5" s="8" t="n">
        <v>2</v>
      </c>
      <c r="B5" s="8" t="inlineStr">
        <is>
          <t>月费 200,000 元</t>
        </is>
      </c>
      <c r="C5" s="9" t="n">
        <v>11180000</v>
      </c>
      <c r="D5" s="9" t="n">
        <v>11620000</v>
      </c>
      <c r="E5" s="9" t="n">
        <v>12060000</v>
      </c>
      <c r="F5" s="9" t="n">
        <v>12500000</v>
      </c>
      <c r="G5" s="9" t="n">
        <v>12940000</v>
      </c>
      <c r="H5" s="9" t="n">
        <v>13380000</v>
      </c>
    </row>
    <row r="6">
      <c r="A6" s="6" t="n">
        <v>3</v>
      </c>
      <c r="B6" s="6" t="inlineStr">
        <is>
          <t>月费 280,000 元</t>
        </is>
      </c>
      <c r="C6" s="7" t="n">
        <v>12140000</v>
      </c>
      <c r="D6" s="7" t="n">
        <v>12580000</v>
      </c>
      <c r="E6" s="7" t="n">
        <v>13020000</v>
      </c>
      <c r="F6" s="7" t="n">
        <v>13460000</v>
      </c>
      <c r="G6" s="7" t="n">
        <v>13900000</v>
      </c>
      <c r="H6" s="7" t="n">
        <v>14340000</v>
      </c>
    </row>
    <row r="7">
      <c r="A7" s="8" t="n">
        <v>4</v>
      </c>
      <c r="B7" s="8" t="inlineStr">
        <is>
          <t>月费 350,000 元</t>
        </is>
      </c>
      <c r="C7" s="9" t="n">
        <v>12980000</v>
      </c>
      <c r="D7" s="9" t="n">
        <v>13420000</v>
      </c>
      <c r="E7" s="9" t="n">
        <v>13860000</v>
      </c>
      <c r="F7" s="9" t="n">
        <v>14300000</v>
      </c>
      <c r="G7" s="9" t="n">
        <v>14740000</v>
      </c>
      <c r="H7" s="9" t="n">
        <v>15180000</v>
      </c>
    </row>
    <row r="8">
      <c r="A8" s="6" t="n">
        <v>5</v>
      </c>
      <c r="B8" s="6" t="inlineStr">
        <is>
          <t>月费 400,000 元</t>
        </is>
      </c>
      <c r="C8" s="7" t="n">
        <v>13580000</v>
      </c>
      <c r="D8" s="7" t="n">
        <v>14020000</v>
      </c>
      <c r="E8" s="7" t="n">
        <v>14460000</v>
      </c>
      <c r="F8" s="7" t="n">
        <v>14900000</v>
      </c>
      <c r="G8" s="7" t="n">
        <v>15340000</v>
      </c>
      <c r="H8" s="7" t="n">
        <v>15780000</v>
      </c>
    </row>
    <row r="10" ht="36" customHeight="1">
      <c r="B10" s="12" t="inlineStr">
        <is>
          <t>口径: 单元格 = 月费×12 + 成交面积×110 元/㎡ (佣金平均) + 活动+奖项 (390 万) + 科技企业服务中心 (300 万) + 分红 (144 万)。</t>
        </is>
      </c>
    </row>
  </sheetData>
  <mergeCells count="2">
    <mergeCell ref="A1:I1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2026-05-07T02:10:32Z</dcterms:created>
  <dcterms:modified xmlns:dcterms="http://purl.org/dc/terms/" xmlns:xsi="http://www.w3.org/2001/XMLSchema-instance" xsi:type="dcterms:W3CDTF">2026-05-07T02:10:32Z</dcterms:modified>
</cp:coreProperties>
</file>