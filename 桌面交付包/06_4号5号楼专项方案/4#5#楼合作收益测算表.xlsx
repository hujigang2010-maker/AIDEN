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对甲方贡献" sheetId="2" state="visible" r:id="rId2"/>
    <sheet xmlns:r="http://schemas.openxmlformats.org/officeDocument/2006/relationships" name="03 基础月费构成" sheetId="3" state="visible" r:id="rId3"/>
    <sheet xmlns:r="http://schemas.openxmlformats.org/officeDocument/2006/relationships" name="04 招商佣金阶梯" sheetId="4" state="visible" r:id="rId4"/>
    <sheet xmlns:r="http://schemas.openxmlformats.org/officeDocument/2006/relationships" name="05 挂牌奖励明细" sheetId="5" state="visible" r:id="rId5"/>
    <sheet xmlns:r="http://schemas.openxmlformats.org/officeDocument/2006/relationships" name="06 沙龙测算" sheetId="6" state="visible" r:id="rId6"/>
    <sheet xmlns:r="http://schemas.openxmlformats.org/officeDocument/2006/relationships" name="07 双向账本+ROI" sheetId="7" state="visible" r:id="rId7"/>
    <sheet xmlns:r="http://schemas.openxmlformats.org/officeDocument/2006/relationships" name="08 招商客户管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1F2A44"/>
      <sz val="11"/>
    </font>
    <font>
      <name val="微软雅黑"/>
      <b val="1"/>
      <color rgb="00142C5E"/>
      <sz val="11"/>
    </font>
    <font>
      <name val="微软雅黑"/>
      <b val="1"/>
      <color rgb="00FFFFFF"/>
      <sz val="12"/>
    </font>
    <font>
      <name val="Consolas"/>
      <color rgb="001F2A44"/>
      <sz val="11"/>
    </font>
    <font>
      <name val="微软雅黑"/>
      <b val="1"/>
      <color rgb="00FFFFFF"/>
      <sz val="11"/>
    </font>
    <font>
      <name val="微软雅黑"/>
      <i val="1"/>
      <color rgb="0055607A"/>
      <sz val="10"/>
    </font>
  </fonts>
  <fills count="6">
    <fill>
      <patternFill/>
    </fill>
    <fill>
      <patternFill patternType="gray125"/>
    </fill>
    <fill>
      <patternFill patternType="solid">
        <fgColor rgb="00142C5E"/>
      </patternFill>
    </fill>
    <fill>
      <patternFill patternType="solid">
        <fgColor rgb="00F8F9FB"/>
      </patternFill>
    </fill>
    <fill>
      <patternFill patternType="solid">
        <fgColor rgb="00EAEEF5"/>
      </patternFill>
    </fill>
    <fill>
      <patternFill patternType="solid">
        <fgColor rgb="00F27E2D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0" customHeight="1">
      <c r="A1" s="1" t="inlineStr">
        <is>
          <t>元谷项目 4#+5# 楼约 2 万方 · 招商运营合作收益测算表 v1.0</t>
        </is>
      </c>
    </row>
    <row r="3">
      <c r="B3" s="2" t="inlineStr">
        <is>
          <t>文件版本</t>
        </is>
      </c>
      <c r="C3" s="2" t="inlineStr">
        <is>
          <t>v1.0 (专项报告专用)</t>
        </is>
      </c>
    </row>
    <row r="4">
      <c r="B4" s="2" t="inlineStr">
        <is>
          <t>业务范围</t>
        </is>
      </c>
      <c r="C4" s="2" t="inlineStr">
        <is>
          <t>元谷 4# 楼 5F+ 潮玩产业集群 + 5# 楼 5F+ 潮玩产业集群, 共约 2 万㎡</t>
        </is>
      </c>
    </row>
    <row r="5">
      <c r="B5" s="2" t="inlineStr">
        <is>
          <t>服务期限</t>
        </is>
      </c>
      <c r="C5" s="2" t="inlineStr">
        <is>
          <t>24 个月 (首期), 满租后可续约</t>
        </is>
      </c>
    </row>
    <row r="6">
      <c r="B6" s="2" t="inlineStr">
        <is>
          <t>货币单位</t>
        </is>
      </c>
      <c r="C6" s="2" t="inlineStr">
        <is>
          <t>人民币 元 (除非另行注明)</t>
        </is>
      </c>
    </row>
    <row r="7">
      <c r="B7" s="2" t="inlineStr">
        <is>
          <t>Sheet 索引</t>
        </is>
      </c>
      <c r="C7" s="2" t="inlineStr">
        <is>
          <t>02 对甲方贡献 / 03 月费构成 / 04 佣金阶梯 / 05 挂牌 / 06 沙龙 / 07 双向账本+ROI / 08 招商客户管道</t>
        </is>
      </c>
    </row>
    <row r="9">
      <c r="B9" s="3" t="inlineStr">
        <is>
          <t>【商业条款简表】</t>
        </is>
      </c>
      <c r="C9" s="2" t="inlineStr"/>
    </row>
    <row r="10">
      <c r="B10" s="2" t="inlineStr">
        <is>
          <t>基础月费 (推荐)</t>
        </is>
      </c>
      <c r="C10" s="2" t="inlineStr">
        <is>
          <t>12 万元/月 × 24 月 = 288 万元 (2 人配置)</t>
        </is>
      </c>
    </row>
    <row r="11">
      <c r="B11" s="2" t="inlineStr">
        <is>
          <t>招商佣金</t>
        </is>
      </c>
      <c r="C11" s="2" t="inlineStr">
        <is>
          <t>实际成交年租金的 1.5 / 1.75 / 2.0 个月 (按面积阶梯)</t>
        </is>
      </c>
    </row>
    <row r="12">
      <c r="B12" s="2" t="inlineStr">
        <is>
          <t>挂牌奖励</t>
        </is>
      </c>
      <c r="C12" s="2" t="inlineStr">
        <is>
          <t>5 项 × 30 万 = 150 万元一次性</t>
        </is>
      </c>
    </row>
    <row r="13">
      <c r="B13" s="2" t="inlineStr">
        <is>
          <t>沙龙执行费</t>
        </is>
      </c>
      <c r="C13" s="2" t="inlineStr">
        <is>
          <t>6 场 × 5 万 = 30 万元基础包 + 净利 30/70 分润</t>
        </is>
      </c>
    </row>
    <row r="14">
      <c r="B14" s="2" t="inlineStr">
        <is>
          <t>满租推算 (甲方)</t>
        </is>
      </c>
      <c r="C14" s="2" t="inlineStr">
        <is>
          <t>2 万㎡ × 365 × 2.2 ≈ 1,606 万元/年 (永续)</t>
        </is>
      </c>
    </row>
    <row r="16">
      <c r="B16" s="3" t="inlineStr">
        <is>
          <t>【5 项挂牌】</t>
        </is>
      </c>
      <c r="C16" s="2" t="inlineStr"/>
    </row>
    <row r="17">
      <c r="B17" s="2" t="inlineStr">
        <is>
          <t>①</t>
        </is>
      </c>
      <c r="C17" s="2" t="inlineStr">
        <is>
          <t>AI 潮玩产业基地 (中国动漫集团)</t>
        </is>
      </c>
    </row>
    <row r="18">
      <c r="B18" s="2" t="inlineStr">
        <is>
          <t>②</t>
        </is>
      </c>
      <c r="C18" s="2" t="inlineStr">
        <is>
          <t>潮玩次元商业专委会 (中国百货商业协会)</t>
        </is>
      </c>
    </row>
    <row r="19">
      <c r="B19" s="2" t="inlineStr">
        <is>
          <t>③</t>
        </is>
      </c>
      <c r="C19" s="2" t="inlineStr">
        <is>
          <t>复旦大学住房政策研究中心 · 元谷分中心</t>
        </is>
      </c>
    </row>
    <row r="20">
      <c r="B20" s="2" t="inlineStr">
        <is>
          <t>④</t>
        </is>
      </c>
      <c r="C20" s="2" t="inlineStr">
        <is>
          <t>上海市科技企业联合会 · 元谷产业基地</t>
        </is>
      </c>
    </row>
    <row r="21">
      <c r="B21" s="2" t="inlineStr">
        <is>
          <t>⑤</t>
        </is>
      </c>
      <c r="C21" s="2" t="inlineStr">
        <is>
          <t>福布斯产业影响力奖 · 元谷专场</t>
        </is>
      </c>
    </row>
    <row r="23">
      <c r="B23" s="3" t="inlineStr">
        <is>
          <t>【6 场产业沙龙】(每场 ≥ 30 个目标产业客户)</t>
        </is>
      </c>
      <c r="C23" s="2" t="inlineStr"/>
    </row>
    <row r="24">
      <c r="B24" s="2" t="inlineStr">
        <is>
          <t>#1 T+1 月</t>
        </is>
      </c>
      <c r="C24" s="2" t="inlineStr">
        <is>
          <t>AI + 潮玩 (借势 5/22 峰会)</t>
        </is>
      </c>
    </row>
    <row r="25">
      <c r="B25" s="2" t="inlineStr">
        <is>
          <t>#2 T+3 月</t>
        </is>
      </c>
      <c r="C25" s="2" t="inlineStr">
        <is>
          <t>潮玩出海 (北欧 / 日韩 / 东南亚)</t>
        </is>
      </c>
    </row>
    <row r="26">
      <c r="B26" s="2" t="inlineStr">
        <is>
          <t>#3 T+5 月</t>
        </is>
      </c>
      <c r="C26" s="2" t="inlineStr">
        <is>
          <t>投融资路演 (硬科技 + 潮玩)</t>
        </is>
      </c>
    </row>
    <row r="27">
      <c r="B27" s="2" t="inlineStr">
        <is>
          <t>#4 T+7 月</t>
        </is>
      </c>
      <c r="C27" s="2" t="inlineStr">
        <is>
          <t>设计与创意 (上海交大 + 上海市科企联)</t>
        </is>
      </c>
    </row>
    <row r="28">
      <c r="B28" s="2" t="inlineStr">
        <is>
          <t>#5 T+9 月</t>
        </is>
      </c>
      <c r="C28" s="2" t="inlineStr">
        <is>
          <t>内容 IP 与 Z 世代 (中百协 + 中动漫)</t>
        </is>
      </c>
    </row>
    <row r="29">
      <c r="B29" s="2" t="inlineStr">
        <is>
          <t>#6 T+11 月</t>
        </is>
      </c>
      <c r="C29" s="2" t="inlineStr">
        <is>
          <t>政策补贴 (闵行科协 + 复旦住房政策中心)</t>
        </is>
      </c>
    </row>
  </sheetData>
  <mergeCells count="25">
    <mergeCell ref="C25:H25"/>
    <mergeCell ref="C26:H26"/>
    <mergeCell ref="C10:H10"/>
    <mergeCell ref="C16:H16"/>
    <mergeCell ref="C9:H9"/>
    <mergeCell ref="A1:H1"/>
    <mergeCell ref="C12:H12"/>
    <mergeCell ref="C21:H21"/>
    <mergeCell ref="C11:H11"/>
    <mergeCell ref="C27:H27"/>
    <mergeCell ref="C23:H23"/>
    <mergeCell ref="C17:H17"/>
    <mergeCell ref="C7:H7"/>
    <mergeCell ref="C19:H19"/>
    <mergeCell ref="C28:H28"/>
    <mergeCell ref="C13:H13"/>
    <mergeCell ref="C18:H18"/>
    <mergeCell ref="C3:H3"/>
    <mergeCell ref="C6:H6"/>
    <mergeCell ref="C24:H24"/>
    <mergeCell ref="C14:H14"/>
    <mergeCell ref="C5:H5"/>
    <mergeCell ref="C4:H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40" customHeight="1">
      <c r="A1" s="1" t="inlineStr">
        <is>
          <t>对甲方 (森马) 的贡献 — 24 个月 + 永续年金</t>
        </is>
      </c>
    </row>
    <row r="2">
      <c r="B2" s="4" t="inlineStr">
        <is>
          <t>表 A · 24 个月期间甲方直接收入</t>
        </is>
      </c>
    </row>
    <row r="3" ht="28" customHeight="1">
      <c r="A3" s="5" t="inlineStr"/>
      <c r="B3" s="5" t="inlineStr">
        <is>
          <t>项目</t>
        </is>
      </c>
      <c r="C3" s="5" t="inlineStr">
        <is>
          <t>T+1 年 (元)</t>
        </is>
      </c>
      <c r="D3" s="5" t="inlineStr">
        <is>
          <t>T+2 年 (元)</t>
        </is>
      </c>
      <c r="E3" s="5" t="inlineStr">
        <is>
          <t>24 月合计 (元)</t>
        </is>
      </c>
      <c r="F3" s="5" t="inlineStr">
        <is>
          <t>永续年化 (元)</t>
        </is>
      </c>
      <c r="G3" s="5" t="inlineStr">
        <is>
          <t>假设</t>
        </is>
      </c>
    </row>
    <row r="4">
      <c r="A4" s="6" t="n">
        <v>1</v>
      </c>
      <c r="B4" s="6" t="inlineStr">
        <is>
          <t>租金收入 (满租后年化)</t>
        </is>
      </c>
      <c r="C4" s="7" t="n">
        <v>8030000</v>
      </c>
      <c r="D4" s="7" t="n">
        <v>16060000</v>
      </c>
      <c r="E4" s="7" t="n">
        <v>24090000</v>
      </c>
      <c r="F4" s="7" t="n">
        <v>16060000</v>
      </c>
      <c r="G4" s="6" t="inlineStr">
        <is>
          <t>T+1 平均 1 万方满租, T+2 总 2 万方满租, 永续按 1,606 万/年</t>
        </is>
      </c>
    </row>
    <row r="5">
      <c r="A5" s="8" t="n">
        <v>2</v>
      </c>
      <c r="B5" s="8" t="inlineStr">
        <is>
          <t>物业费 (10 元/㎡/月)</t>
        </is>
      </c>
      <c r="C5" s="9" t="n">
        <v>1200000</v>
      </c>
      <c r="D5" s="9" t="n">
        <v>2400000</v>
      </c>
      <c r="E5" s="9" t="n">
        <v>3600000</v>
      </c>
      <c r="F5" s="9" t="n">
        <v>2400000</v>
      </c>
      <c r="G5" s="8" t="inlineStr">
        <is>
          <t>渐进入驻, 永续按满租</t>
        </is>
      </c>
    </row>
    <row r="6">
      <c r="A6" s="6" t="n">
        <v>3</v>
      </c>
      <c r="B6" s="6" t="inlineStr">
        <is>
          <t>停车增量 (1500+ 车位)</t>
        </is>
      </c>
      <c r="C6" s="7" t="n">
        <v>200000</v>
      </c>
      <c r="D6" s="7" t="n">
        <v>500000</v>
      </c>
      <c r="E6" s="7" t="n">
        <v>700000</v>
      </c>
      <c r="F6" s="7" t="n">
        <v>500000</v>
      </c>
      <c r="G6" s="6" t="inlineStr">
        <is>
          <t>保守估计</t>
        </is>
      </c>
    </row>
    <row r="7">
      <c r="A7" s="8" t="n">
        <v>4</v>
      </c>
      <c r="B7" s="8" t="inlineStr">
        <is>
          <t>水电税收 / 商业配套增量</t>
        </is>
      </c>
      <c r="C7" s="9" t="n">
        <v>300000</v>
      </c>
      <c r="D7" s="9" t="n">
        <v>800000</v>
      </c>
      <c r="E7" s="9" t="n">
        <v>1100000</v>
      </c>
      <c r="F7" s="9" t="n">
        <v>800000</v>
      </c>
      <c r="G7" s="8" t="inlineStr">
        <is>
          <t>保守估计</t>
        </is>
      </c>
    </row>
    <row r="8">
      <c r="A8" s="10" t="inlineStr">
        <is>
          <t>合计</t>
        </is>
      </c>
      <c r="B8" s="10" t="inlineStr">
        <is>
          <t>24 个月甲方直接收入 (元)</t>
        </is>
      </c>
      <c r="C8" s="11" t="n">
        <v>9730000</v>
      </c>
      <c r="D8" s="11" t="n">
        <v>19760000</v>
      </c>
      <c r="E8" s="11" t="n">
        <v>29490000</v>
      </c>
      <c r="F8" s="11" t="n">
        <v>19760000</v>
      </c>
      <c r="G8" s="10" t="inlineStr">
        <is>
          <t>永续口径仅供参考</t>
        </is>
      </c>
    </row>
    <row r="10">
      <c r="B10" s="4" t="inlineStr">
        <is>
          <t>表 B · 不可量化收益</t>
        </is>
      </c>
    </row>
    <row r="11" ht="28" customHeight="1">
      <c r="A11" s="5" t="inlineStr"/>
      <c r="B11" s="5" t="inlineStr">
        <is>
          <t>维度</t>
        </is>
      </c>
      <c r="C11" s="5" t="inlineStr">
        <is>
          <t>影响</t>
        </is>
      </c>
      <c r="D11" s="5" t="inlineStr">
        <is>
          <t>估值口径 (供参考)</t>
        </is>
      </c>
      <c r="E11" s="5" t="inlineStr"/>
      <c r="F11" s="5" t="inlineStr"/>
      <c r="G11" s="5" t="inlineStr">
        <is>
          <t>说明</t>
        </is>
      </c>
    </row>
    <row r="12">
      <c r="A12" s="6" t="n">
        <v>1</v>
      </c>
      <c r="B12" s="6" t="inlineStr">
        <is>
          <t>品牌势能</t>
        </is>
      </c>
      <c r="C12" s="6" t="inlineStr">
        <is>
          <t>森马由零售品牌 → 潮玩产业生态品牌</t>
        </is>
      </c>
      <c r="D12" s="6" t="inlineStr">
        <is>
          <t>亿元量级</t>
        </is>
      </c>
      <c r="E12" s="6" t="inlineStr"/>
      <c r="F12" s="6" t="inlineStr"/>
      <c r="G12" s="6" t="inlineStr">
        <is>
          <t>上市公司估值 P/E 改善 0.5-1 倍</t>
        </is>
      </c>
    </row>
    <row r="13">
      <c r="A13" s="8" t="n">
        <v>2</v>
      </c>
      <c r="B13" s="8" t="inlineStr">
        <is>
          <t>资产增值</t>
        </is>
      </c>
      <c r="C13" s="8" t="inlineStr">
        <is>
          <t>TOD 板块 + 产业认证后地块溢价</t>
        </is>
      </c>
      <c r="D13" s="8" t="inlineStr">
        <is>
          <t>千万元量级</t>
        </is>
      </c>
      <c r="E13" s="8" t="inlineStr"/>
      <c r="F13" s="8" t="inlineStr"/>
      <c r="G13" s="8" t="inlineStr">
        <is>
          <t>周边对标 8-12% 年化资产增值</t>
        </is>
      </c>
    </row>
    <row r="14">
      <c r="A14" s="6" t="n">
        <v>3</v>
      </c>
      <c r="B14" s="6" t="inlineStr">
        <is>
          <t>政策红利</t>
        </is>
      </c>
      <c r="C14" s="6" t="inlineStr">
        <is>
          <t>科技时尚特色小镇 / AI 潮玩产业基地</t>
        </is>
      </c>
      <c r="D14" s="6" t="inlineStr">
        <is>
          <t>百万级</t>
        </is>
      </c>
      <c r="E14" s="6" t="inlineStr"/>
      <c r="F14" s="6" t="inlineStr"/>
      <c r="G14" s="6" t="inlineStr">
        <is>
          <t>政府补贴 / 税收返还</t>
        </is>
      </c>
    </row>
    <row r="15">
      <c r="A15" s="8" t="n">
        <v>4</v>
      </c>
      <c r="B15" s="8" t="inlineStr">
        <is>
          <t>数据资产</t>
        </is>
      </c>
      <c r="C15" s="8" t="inlineStr">
        <is>
          <t>200+ 入驻企业的产业数据</t>
        </is>
      </c>
      <c r="D15" s="8" t="inlineStr">
        <is>
          <t>千万级</t>
        </is>
      </c>
      <c r="E15" s="8" t="inlineStr"/>
      <c r="F15" s="8" t="inlineStr"/>
      <c r="G15" s="8" t="inlineStr">
        <is>
          <t>可作为森马二期 / 5.2 万方招商的基础数据</t>
        </is>
      </c>
    </row>
    <row r="17" ht="36" customHeight="1">
      <c r="B17" s="12" t="inlineStr">
        <is>
          <t>口径说明: 表 A 永续年化 ≈ 1,976 万元/年 (租金 + 物业 + 停车 + 配套), 按 8% 折现的资产估值 ≈ 2.47 亿元.</t>
        </is>
      </c>
    </row>
  </sheetData>
  <mergeCells count="4">
    <mergeCell ref="B2:G2"/>
    <mergeCell ref="B10:G10"/>
    <mergeCell ref="A1:G1"/>
    <mergeCell ref="B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6" customWidth="1" min="5" max="5"/>
    <col width="16" customWidth="1" min="6" max="6"/>
    <col width="30" customWidth="1" min="7" max="7"/>
  </cols>
  <sheetData>
    <row r="1" ht="40" customHeight="1">
      <c r="A1" s="1" t="inlineStr">
        <is>
          <t>基础月费 (Retainer) · 1-3 人配置阶梯</t>
        </is>
      </c>
    </row>
    <row r="2">
      <c r="B2" s="4" t="inlineStr">
        <is>
          <t>三档人员配置 (1-3 人) 月度刚性成本对比</t>
        </is>
      </c>
    </row>
    <row r="3" ht="28" customHeight="1">
      <c r="A3" s="5" t="inlineStr"/>
      <c r="B3" s="5" t="inlineStr">
        <is>
          <t>成本项</t>
        </is>
      </c>
      <c r="C3" s="5" t="inlineStr">
        <is>
          <t>1 人轻配 (元/月)</t>
        </is>
      </c>
      <c r="D3" s="5" t="inlineStr">
        <is>
          <t>★ 2 人推荐 (元/月)</t>
        </is>
      </c>
      <c r="E3" s="5" t="inlineStr">
        <is>
          <t>3 人重配 (元/月)</t>
        </is>
      </c>
      <c r="F3" s="5" t="inlineStr">
        <is>
          <t>备注</t>
        </is>
      </c>
      <c r="G3" s="5" t="inlineStr"/>
    </row>
    <row r="4">
      <c r="A4" s="6" t="n">
        <v>1</v>
      </c>
      <c r="B4" s="6" t="inlineStr">
        <is>
          <t>产业招商经理 (含绩效)</t>
        </is>
      </c>
      <c r="C4" s="7" t="n">
        <v>32000</v>
      </c>
      <c r="D4" s="7" t="n">
        <v>32000</v>
      </c>
      <c r="E4" s="7" t="n">
        <v>32000</v>
      </c>
      <c r="F4" s="6" t="inlineStr">
        <is>
          <t>22K 底薪 + 10K 绩效</t>
        </is>
      </c>
      <c r="G4" s="6" t="inlineStr"/>
    </row>
    <row r="5">
      <c r="A5" s="8" t="n">
        <v>2</v>
      </c>
      <c r="B5" s="8" t="inlineStr">
        <is>
          <t>国际合作 &amp; 活动策划 (含绩效)</t>
        </is>
      </c>
      <c r="C5" s="9" t="n">
        <v>0</v>
      </c>
      <c r="D5" s="9" t="n">
        <v>28000</v>
      </c>
      <c r="E5" s="9" t="n">
        <v>28000</v>
      </c>
      <c r="F5" s="8" t="inlineStr">
        <is>
          <t>20K 底薪 + 8K 绩效</t>
        </is>
      </c>
      <c r="G5" s="8" t="inlineStr"/>
    </row>
    <row r="6">
      <c r="A6" s="6" t="n">
        <v>3</v>
      </c>
      <c r="B6" s="6" t="inlineStr">
        <is>
          <t>基金投后 &amp; 政府关系 (含绩效)</t>
        </is>
      </c>
      <c r="C6" s="7" t="n">
        <v>0</v>
      </c>
      <c r="D6" s="7" t="n">
        <v>0</v>
      </c>
      <c r="E6" s="7" t="n">
        <v>28000</v>
      </c>
      <c r="F6" s="6" t="inlineStr">
        <is>
          <t>20K 底薪 + 8K 绩效</t>
        </is>
      </c>
      <c r="G6" s="6" t="inlineStr"/>
    </row>
    <row r="7">
      <c r="A7" s="8" t="n">
        <v>4</v>
      </c>
      <c r="B7" s="8" t="inlineStr">
        <is>
          <t>CSO 顾问费 (胡教授)</t>
        </is>
      </c>
      <c r="C7" s="9" t="n">
        <v>12000</v>
      </c>
      <c r="D7" s="9" t="n">
        <v>25000</v>
      </c>
      <c r="E7" s="9" t="n">
        <v>25000</v>
      </c>
      <c r="F7" s="8" t="inlineStr">
        <is>
          <t>1 人轻配按半数, 2/3 人按全额</t>
        </is>
      </c>
      <c r="G7" s="8" t="inlineStr"/>
    </row>
    <row r="8">
      <c r="A8" s="6" t="n">
        <v>5</v>
      </c>
      <c r="B8" s="6" t="inlineStr">
        <is>
          <t>行政 / 财务分摊</t>
        </is>
      </c>
      <c r="C8" s="7" t="n">
        <v>3000</v>
      </c>
      <c r="D8" s="7" t="n">
        <v>5000</v>
      </c>
      <c r="E8" s="7" t="n">
        <v>8000</v>
      </c>
      <c r="F8" s="6" t="inlineStr">
        <is>
          <t>合资公司层面摊销</t>
        </is>
      </c>
      <c r="G8" s="6" t="inlineStr"/>
    </row>
    <row r="9">
      <c r="A9" s="8" t="n">
        <v>6</v>
      </c>
      <c r="B9" s="8" t="inlineStr">
        <is>
          <t>仲量联行爬楼数据接口</t>
        </is>
      </c>
      <c r="C9" s="9" t="n">
        <v>3000</v>
      </c>
      <c r="D9" s="9" t="n">
        <v>3000</v>
      </c>
      <c r="E9" s="9" t="n">
        <v>4000</v>
      </c>
      <c r="F9" s="8" t="inlineStr">
        <is>
          <t>26K 已购入, 后续运维</t>
        </is>
      </c>
      <c r="G9" s="8" t="inlineStr"/>
    </row>
    <row r="10">
      <c r="A10" s="6" t="n">
        <v>7</v>
      </c>
      <c r="B10" s="6" t="inlineStr">
        <is>
          <t>差旅 / 接待 / 物料</t>
        </is>
      </c>
      <c r="C10" s="7" t="n">
        <v>8000</v>
      </c>
      <c r="D10" s="7" t="n">
        <v>12000</v>
      </c>
      <c r="E10" s="7" t="n">
        <v>18000</v>
      </c>
      <c r="F10" s="6" t="inlineStr">
        <is>
          <t>外事接待 + 爬楼差旅</t>
        </is>
      </c>
      <c r="G10" s="6" t="inlineStr"/>
    </row>
    <row r="11">
      <c r="A11" s="8" t="n">
        <v>8</v>
      </c>
      <c r="B11" s="8" t="inlineStr">
        <is>
          <t>管理与协调费</t>
        </is>
      </c>
      <c r="C11" s="9" t="n">
        <v>3000</v>
      </c>
      <c r="D11" s="9" t="n">
        <v>5000</v>
      </c>
      <c r="E11" s="9" t="n">
        <v>8000</v>
      </c>
      <c r="F11" s="8" t="inlineStr">
        <is>
          <t>月度汇报 + 外部协调</t>
        </is>
      </c>
      <c r="G11" s="8" t="inlineStr"/>
    </row>
    <row r="12">
      <c r="A12" s="10" t="inlineStr">
        <is>
          <t>合计</t>
        </is>
      </c>
      <c r="B12" s="10" t="inlineStr">
        <is>
          <t>月度刚性成本</t>
        </is>
      </c>
      <c r="C12" s="11" t="n">
        <v>61000</v>
      </c>
      <c r="D12" s="11" t="n">
        <v>110000</v>
      </c>
      <c r="E12" s="11" t="n">
        <v>151000</v>
      </c>
      <c r="F12" s="10" t="inlineStr"/>
      <c r="G12" s="10" t="inlineStr"/>
    </row>
    <row r="14" ht="28" customHeight="1">
      <c r="A14" s="5" t="inlineStr"/>
      <c r="B14" s="5" t="inlineStr">
        <is>
          <t>档位</t>
        </is>
      </c>
      <c r="C14" s="5" t="inlineStr">
        <is>
          <t>刚性成本 (元/月)</t>
        </is>
      </c>
      <c r="D14" s="5" t="inlineStr">
        <is>
          <t>建议月费 (元/月)</t>
        </is>
      </c>
      <c r="E14" s="5" t="inlineStr">
        <is>
          <t>毛利垫 (元)</t>
        </is>
      </c>
      <c r="F14" s="5" t="inlineStr">
        <is>
          <t>毛利率</t>
        </is>
      </c>
      <c r="G14" s="5" t="inlineStr">
        <is>
          <t>推荐度</t>
        </is>
      </c>
    </row>
    <row r="15">
      <c r="A15" s="8" t="n">
        <v>1</v>
      </c>
      <c r="B15" s="8" t="inlineStr">
        <is>
          <t>1 人轻配</t>
        </is>
      </c>
      <c r="C15" s="9" t="n">
        <v>61000</v>
      </c>
      <c r="D15" s="9" t="n">
        <v>60000</v>
      </c>
      <c r="E15" s="9" t="n">
        <v>-1000</v>
      </c>
      <c r="F15" s="8" t="inlineStr">
        <is>
          <t>-1.7%</t>
        </is>
      </c>
      <c r="G15" s="8" t="inlineStr">
        <is>
          <t>★</t>
        </is>
      </c>
    </row>
    <row r="16">
      <c r="A16" s="6" t="n">
        <v>2</v>
      </c>
      <c r="B16" s="6" t="inlineStr">
        <is>
          <t>★ 2 人推荐配</t>
        </is>
      </c>
      <c r="C16" s="7" t="n">
        <v>110000</v>
      </c>
      <c r="D16" s="7" t="n">
        <v>120000</v>
      </c>
      <c r="E16" s="7" t="n">
        <v>10000</v>
      </c>
      <c r="F16" s="6" t="inlineStr">
        <is>
          <t>8.3%</t>
        </is>
      </c>
      <c r="G16" s="6" t="inlineStr">
        <is>
          <t>★★★</t>
        </is>
      </c>
    </row>
    <row r="17">
      <c r="A17" s="8" t="n">
        <v>3</v>
      </c>
      <c r="B17" s="8" t="inlineStr">
        <is>
          <t>3 人重配</t>
        </is>
      </c>
      <c r="C17" s="9" t="n">
        <v>151000</v>
      </c>
      <c r="D17" s="9" t="n">
        <v>180000</v>
      </c>
      <c r="E17" s="9" t="n">
        <v>29000</v>
      </c>
      <c r="F17" s="8" t="inlineStr">
        <is>
          <t>16.1%</t>
        </is>
      </c>
      <c r="G17" s="8" t="inlineStr">
        <is>
          <t>★★</t>
        </is>
      </c>
    </row>
    <row r="19" ht="50" customHeight="1">
      <c r="B19" s="12" t="inlineStr">
        <is>
          <t>v1.0 推荐方案: 2 人配置 + 12 万元/月, 24 个月合计基础月费 288 万元. 该配置覆盖刚性成本 9.5 万 + 安全垫 2.5 万 (毛利率 21%), 用于差旅/接待/数据/物料.</t>
        </is>
      </c>
    </row>
  </sheetData>
  <mergeCells count="3">
    <mergeCell ref="B2:G2"/>
    <mergeCell ref="B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32" customWidth="1" min="7" max="7"/>
  </cols>
  <sheetData>
    <row r="1" ht="40" customHeight="1">
      <c r="A1" s="1" t="inlineStr">
        <is>
          <t>招商佣金阶梯 · 1.5–2 个月年租金</t>
        </is>
      </c>
    </row>
    <row r="3" ht="28" customHeight="1">
      <c r="A3" s="5" t="inlineStr"/>
      <c r="B3" s="5" t="inlineStr">
        <is>
          <t>面积档位</t>
        </is>
      </c>
      <c r="C3" s="5" t="inlineStr">
        <is>
          <t>日租金 (元/㎡/天)</t>
        </is>
      </c>
      <c r="D3" s="5" t="inlineStr">
        <is>
          <t>年租金 (元/㎡)</t>
        </is>
      </c>
      <c r="E3" s="5" t="inlineStr">
        <is>
          <t>佣金月数</t>
        </is>
      </c>
      <c r="F3" s="5" t="inlineStr">
        <is>
          <t>佣金 (元/㎡)</t>
        </is>
      </c>
      <c r="G3" s="5" t="inlineStr">
        <is>
          <t>说明</t>
        </is>
      </c>
    </row>
    <row r="4">
      <c r="A4" s="6" t="n">
        <v>1</v>
      </c>
      <c r="B4" s="6" t="inlineStr">
        <is>
          <t>≤ 2,000㎡ 小型</t>
        </is>
      </c>
      <c r="C4" s="6" t="n">
        <v>2</v>
      </c>
      <c r="D4" s="7" t="n">
        <v>730</v>
      </c>
      <c r="E4" s="6" t="n">
        <v>1.5</v>
      </c>
      <c r="F4" s="7" t="n">
        <v>91</v>
      </c>
      <c r="G4" s="6" t="inlineStr">
        <is>
          <t>小型潮玩 / 服务机构</t>
        </is>
      </c>
    </row>
    <row r="5">
      <c r="A5" s="8" t="n">
        <v>2</v>
      </c>
      <c r="B5" s="8" t="inlineStr">
        <is>
          <t>2,001-5,000㎡ 中型</t>
        </is>
      </c>
      <c r="C5" s="8" t="n">
        <v>2.2</v>
      </c>
      <c r="D5" s="9" t="n">
        <v>803</v>
      </c>
      <c r="E5" s="8" t="n">
        <v>1.75</v>
      </c>
      <c r="F5" s="9" t="n">
        <v>117</v>
      </c>
      <c r="G5" s="8" t="inlineStr">
        <is>
          <t>中型潮玩运营企业</t>
        </is>
      </c>
    </row>
    <row r="6">
      <c r="A6" s="6" t="n">
        <v>3</v>
      </c>
      <c r="B6" s="6" t="inlineStr">
        <is>
          <t>&gt; 5,000㎡ 头部 / 央企</t>
        </is>
      </c>
      <c r="C6" s="6" t="n">
        <v>2.5</v>
      </c>
      <c r="D6" s="7" t="n">
        <v>912</v>
      </c>
      <c r="E6" s="6" t="n">
        <v>2</v>
      </c>
      <c r="F6" s="7" t="n">
        <v>152</v>
      </c>
      <c r="G6" s="6" t="inlineStr">
        <is>
          <t>头部央企 / 行业协会</t>
        </is>
      </c>
    </row>
    <row r="8">
      <c r="B8" s="4" t="inlineStr">
        <is>
          <t>24 个月成交场景预估</t>
        </is>
      </c>
    </row>
    <row r="9" ht="28" customHeight="1">
      <c r="A9" s="5" t="inlineStr"/>
      <c r="B9" s="5" t="inlineStr">
        <is>
          <t>场景</t>
        </is>
      </c>
      <c r="C9" s="5" t="inlineStr">
        <is>
          <t>成交面积 (㎡)</t>
        </is>
      </c>
      <c r="D9" s="5" t="inlineStr">
        <is>
          <t>平均日租金</t>
        </is>
      </c>
      <c r="E9" s="5" t="inlineStr">
        <is>
          <t>平均佣金 (元/㎡)</t>
        </is>
      </c>
      <c r="F9" s="5" t="inlineStr">
        <is>
          <t>佣金合计 (元)</t>
        </is>
      </c>
      <c r="G9" s="5" t="inlineStr">
        <is>
          <t>假设</t>
        </is>
      </c>
    </row>
    <row r="10">
      <c r="A10" s="6" t="n">
        <v>1</v>
      </c>
      <c r="B10" s="6" t="inlineStr">
        <is>
          <t>保守</t>
        </is>
      </c>
      <c r="C10" s="7" t="n">
        <v>14000</v>
      </c>
      <c r="D10" s="7" t="n">
        <v>2</v>
      </c>
      <c r="E10" s="7" t="n">
        <v>96</v>
      </c>
      <c r="F10" s="7" t="n">
        <v>1344000</v>
      </c>
      <c r="G10" s="6" t="inlineStr">
        <is>
          <t>首年仅 4# 楼 + T+2 楼部分租出</t>
        </is>
      </c>
    </row>
    <row r="11">
      <c r="A11" s="8" t="n">
        <v>2</v>
      </c>
      <c r="B11" s="8" t="inlineStr">
        <is>
          <t>基础</t>
        </is>
      </c>
      <c r="C11" s="9" t="n">
        <v>20000</v>
      </c>
      <c r="D11" s="9" t="n">
        <v>2.2</v>
      </c>
      <c r="E11" s="9" t="n">
        <v>117</v>
      </c>
      <c r="F11" s="9" t="n">
        <v>2340000</v>
      </c>
      <c r="G11" s="8" t="inlineStr">
        <is>
          <t>T+1 满 4# 楼 + T+2 满 5# 楼</t>
        </is>
      </c>
    </row>
    <row r="12">
      <c r="A12" s="6" t="n">
        <v>3</v>
      </c>
      <c r="B12" s="6" t="inlineStr">
        <is>
          <t>乐观</t>
        </is>
      </c>
      <c r="C12" s="7" t="n">
        <v>22000</v>
      </c>
      <c r="D12" s="7" t="n">
        <v>2.4</v>
      </c>
      <c r="E12" s="7" t="n">
        <v>140</v>
      </c>
      <c r="F12" s="7" t="n">
        <v>3080000</v>
      </c>
      <c r="G12" s="6" t="inlineStr">
        <is>
          <t>提前满租 + 头部加成 + 返投奖励</t>
        </is>
      </c>
    </row>
    <row r="14" ht="36" customHeight="1">
      <c r="B14" s="12" t="inlineStr">
        <is>
          <t>① 仲量联行爬楼大数据可使转化率 +30%; ② 追觅基金返投落地客户额外加成 +0.25 个月; ③ 客户名单归属保护期 24 个月。</t>
        </is>
      </c>
    </row>
  </sheetData>
  <mergeCells count="3">
    <mergeCell ref="B8:G8"/>
    <mergeCell ref="B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40" customHeight="1">
      <c r="A1" s="1" t="inlineStr">
        <is>
          <t>5 项挂牌奖励 · 一次性激励</t>
        </is>
      </c>
    </row>
    <row r="3" ht="28" customHeight="1">
      <c r="A3" s="5" t="inlineStr"/>
      <c r="B3" s="5" t="inlineStr">
        <is>
          <t>挂牌名称</t>
        </is>
      </c>
      <c r="C3" s="5" t="inlineStr">
        <is>
          <t>出牌方</t>
        </is>
      </c>
      <c r="D3" s="5" t="inlineStr">
        <is>
          <t>落地节点</t>
        </is>
      </c>
      <c r="E3" s="5" t="inlineStr">
        <is>
          <t>数量</t>
        </is>
      </c>
      <c r="F3" s="5" t="inlineStr">
        <is>
          <t>单项奖励 (元)</t>
        </is>
      </c>
      <c r="G3" s="5" t="inlineStr">
        <is>
          <t>对元谷的核心价值</t>
        </is>
      </c>
    </row>
    <row r="4">
      <c r="A4" s="6" t="n">
        <v>1</v>
      </c>
      <c r="B4" s="6" t="inlineStr">
        <is>
          <t>AI 潮玩产业基地</t>
        </is>
      </c>
      <c r="C4" s="6" t="inlineStr">
        <is>
          <t>中国动漫集团</t>
        </is>
      </c>
      <c r="D4" s="6" t="inlineStr">
        <is>
          <t>T+3 月</t>
        </is>
      </c>
      <c r="E4" s="7" t="n">
        <v>1</v>
      </c>
      <c r="F4" s="7" t="n">
        <v>300000</v>
      </c>
      <c r="G4" s="6" t="inlineStr">
        <is>
          <t>牌照即招商, AI+潮玩双赛道核心抓手</t>
        </is>
      </c>
    </row>
    <row r="5">
      <c r="A5" s="8" t="n">
        <v>2</v>
      </c>
      <c r="B5" s="8" t="inlineStr">
        <is>
          <t>潮玩次元商业专委会</t>
        </is>
      </c>
      <c r="C5" s="8" t="inlineStr">
        <is>
          <t>中国百货商业协会</t>
        </is>
      </c>
      <c r="D5" s="8" t="inlineStr">
        <is>
          <t>T+3 月</t>
        </is>
      </c>
      <c r="E5" s="9" t="n">
        <v>1</v>
      </c>
      <c r="F5" s="9" t="n">
        <v>300000</v>
      </c>
      <c r="G5" s="8" t="inlineStr">
        <is>
          <t>聚集潮玩零售生态 + 政府对话渠道</t>
        </is>
      </c>
    </row>
    <row r="6">
      <c r="A6" s="6" t="n">
        <v>3</v>
      </c>
      <c r="B6" s="6" t="inlineStr">
        <is>
          <t>上海市科技企业联合会 · 元谷产业基地</t>
        </is>
      </c>
      <c r="C6" s="6" t="inlineStr">
        <is>
          <t>上海市科技企业联合会</t>
        </is>
      </c>
      <c r="D6" s="6" t="inlineStr">
        <is>
          <t>T+6 月</t>
        </is>
      </c>
      <c r="E6" s="7" t="n">
        <v>1</v>
      </c>
      <c r="F6" s="7" t="n">
        <v>300000</v>
      </c>
      <c r="G6" s="6" t="inlineStr">
        <is>
          <t>上海科技企业生态导流 + 补贴申报</t>
        </is>
      </c>
    </row>
    <row r="7">
      <c r="A7" s="8" t="n">
        <v>4</v>
      </c>
      <c r="B7" s="8" t="inlineStr">
        <is>
          <t>复旦大学住房政策研究中心 · 元谷分中心</t>
        </is>
      </c>
      <c r="C7" s="8" t="inlineStr">
        <is>
          <t>复旦大学住房政策研究中心</t>
        </is>
      </c>
      <c r="D7" s="8" t="inlineStr">
        <is>
          <t>T+9 月</t>
        </is>
      </c>
      <c r="E7" s="9" t="n">
        <v>1</v>
      </c>
      <c r="F7" s="9" t="n">
        <v>300000</v>
      </c>
      <c r="G7" s="8" t="inlineStr">
        <is>
          <t>学术背书 + 政策研究 + 高净值人脉</t>
        </is>
      </c>
    </row>
    <row r="8">
      <c r="A8" s="6" t="n">
        <v>5</v>
      </c>
      <c r="B8" s="6" t="inlineStr">
        <is>
          <t>福布斯产业影响力奖 · 元谷专场</t>
        </is>
      </c>
      <c r="C8" s="6" t="inlineStr">
        <is>
          <t>福布斯</t>
        </is>
      </c>
      <c r="D8" s="6" t="inlineStr">
        <is>
          <t>T+12 月 (每年)</t>
        </is>
      </c>
      <c r="E8" s="7" t="n">
        <v>1</v>
      </c>
      <c r="F8" s="7" t="n">
        <v>300000</v>
      </c>
      <c r="G8" s="6" t="inlineStr">
        <is>
          <t>国际品牌势能 + 年度评选 IP</t>
        </is>
      </c>
    </row>
    <row r="9">
      <c r="A9" s="10" t="inlineStr">
        <is>
          <t>合计</t>
        </is>
      </c>
      <c r="B9" s="10" t="inlineStr">
        <is>
          <t>5 项挂牌奖励合计</t>
        </is>
      </c>
      <c r="C9" s="10" t="inlineStr"/>
      <c r="D9" s="10" t="inlineStr"/>
      <c r="E9" s="11" t="n">
        <v>5</v>
      </c>
      <c r="F9" s="11" t="n">
        <v>1500000</v>
      </c>
      <c r="G9" s="10" t="inlineStr">
        <is>
          <t>首年 4 项前置 + T+2 年福布斯续挂</t>
        </is>
      </c>
    </row>
    <row r="11">
      <c r="B11" s="12" t="inlineStr">
        <is>
          <t>结算节奏: 挂牌正式公告之日起 30 日内由甲方一次性支付; 续挂 (第 2 年起) 按 50% 收取.</t>
        </is>
      </c>
    </row>
  </sheetData>
  <mergeCells count="2">
    <mergeCell ref="A1:G1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2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40" customHeight="1">
      <c r="A1" s="1" t="inlineStr">
        <is>
          <t>6 场产业沙龙 · 每场 ≥ 30 目标产业客户</t>
        </is>
      </c>
    </row>
    <row r="3" ht="28" customHeight="1">
      <c r="A3" s="5" t="inlineStr"/>
      <c r="B3" s="5" t="inlineStr">
        <is>
          <t>序号 / 时间</t>
        </is>
      </c>
      <c r="C3" s="5" t="inlineStr">
        <is>
          <t>主题 / 联办</t>
        </is>
      </c>
      <c r="D3" s="5" t="inlineStr">
        <is>
          <t>目标客户</t>
        </is>
      </c>
      <c r="E3" s="5" t="inlineStr">
        <is>
          <t>执行成本 (元)</t>
        </is>
      </c>
      <c r="F3" s="5" t="inlineStr">
        <is>
          <t>营收预估 (元)</t>
        </is>
      </c>
      <c r="G3" s="5" t="inlineStr">
        <is>
          <t>单场净利 (元)</t>
        </is>
      </c>
      <c r="H3" s="5" t="inlineStr">
        <is>
          <t>说明</t>
        </is>
      </c>
    </row>
    <row r="4">
      <c r="A4" s="6" t="n">
        <v>1</v>
      </c>
      <c r="B4" s="6" t="inlineStr">
        <is>
          <t>#1 / T+1 月</t>
        </is>
      </c>
      <c r="C4" s="6" t="inlineStr">
        <is>
          <t>AI+潮玩 (借势 5/22 峰会) / 中动漫 + AI 腾讯</t>
        </is>
      </c>
      <c r="D4" s="7" t="n">
        <v>30</v>
      </c>
      <c r="E4" s="7" t="n">
        <v>50000</v>
      </c>
      <c r="F4" s="7" t="n">
        <v>120000</v>
      </c>
      <c r="G4" s="7" t="n">
        <v>70000</v>
      </c>
      <c r="H4" s="6" t="inlineStr">
        <is>
          <t>首场, 借势主题鲜明</t>
        </is>
      </c>
    </row>
    <row r="5">
      <c r="A5" s="8" t="n">
        <v>2</v>
      </c>
      <c r="B5" s="8" t="inlineStr">
        <is>
          <t>#2 / T+3 月</t>
        </is>
      </c>
      <c r="C5" s="8" t="inlineStr">
        <is>
          <t>潮玩出海 / 北欧会客厅 + 福布斯</t>
        </is>
      </c>
      <c r="D5" s="9" t="n">
        <v>30</v>
      </c>
      <c r="E5" s="9" t="n">
        <v>50000</v>
      </c>
      <c r="F5" s="9" t="n">
        <v>110000</v>
      </c>
      <c r="G5" s="9" t="n">
        <v>60000</v>
      </c>
      <c r="H5" s="8" t="inlineStr">
        <is>
          <t>国际化主题, 出海路演</t>
        </is>
      </c>
    </row>
    <row r="6">
      <c r="A6" s="6" t="n">
        <v>3</v>
      </c>
      <c r="B6" s="6" t="inlineStr">
        <is>
          <t>#3 / T+5 月</t>
        </is>
      </c>
      <c r="C6" s="6" t="inlineStr">
        <is>
          <t>投融资路演 / 追觅 + 招行 + 长江 + 金浦</t>
        </is>
      </c>
      <c r="D6" s="7" t="n">
        <v>30</v>
      </c>
      <c r="E6" s="7" t="n">
        <v>50000</v>
      </c>
      <c r="F6" s="7" t="n">
        <v>130000</v>
      </c>
      <c r="G6" s="7" t="n">
        <v>80000</v>
      </c>
      <c r="H6" s="6" t="inlineStr">
        <is>
          <t>金融嘉宾密集, 招商利器</t>
        </is>
      </c>
    </row>
    <row r="7">
      <c r="A7" s="8" t="n">
        <v>4</v>
      </c>
      <c r="B7" s="8" t="inlineStr">
        <is>
          <t>#4 / T+7 月</t>
        </is>
      </c>
      <c r="C7" s="8" t="inlineStr">
        <is>
          <t>设计与创意 / 上海交大 + 上海市科企联</t>
        </is>
      </c>
      <c r="D7" s="9" t="n">
        <v>30</v>
      </c>
      <c r="E7" s="9" t="n">
        <v>50000</v>
      </c>
      <c r="F7" s="9" t="n">
        <v>100000</v>
      </c>
      <c r="G7" s="9" t="n">
        <v>50000</v>
      </c>
      <c r="H7" s="8" t="inlineStr">
        <is>
          <t>学术联办 + 产业转化</t>
        </is>
      </c>
    </row>
    <row r="8">
      <c r="A8" s="6" t="n">
        <v>5</v>
      </c>
      <c r="B8" s="6" t="inlineStr">
        <is>
          <t>#5 / T+9 月</t>
        </is>
      </c>
      <c r="C8" s="6" t="inlineStr">
        <is>
          <t>内容 IP 与 Z 世代 / 中百协潮玩次元专委 + 中动漫</t>
        </is>
      </c>
      <c r="D8" s="7" t="n">
        <v>30</v>
      </c>
      <c r="E8" s="7" t="n">
        <v>50000</v>
      </c>
      <c r="F8" s="7" t="n">
        <v>110000</v>
      </c>
      <c r="G8" s="7" t="n">
        <v>60000</v>
      </c>
      <c r="H8" s="6" t="inlineStr">
        <is>
          <t>IP 产业生态</t>
        </is>
      </c>
    </row>
    <row r="9">
      <c r="A9" s="8" t="n">
        <v>6</v>
      </c>
      <c r="B9" s="8" t="inlineStr">
        <is>
          <t>#6 / T+11 月</t>
        </is>
      </c>
      <c r="C9" s="8" t="inlineStr">
        <is>
          <t>政策与小镇 / 闵行科协 + 复旦住房政策中心</t>
        </is>
      </c>
      <c r="D9" s="9" t="n">
        <v>30</v>
      </c>
      <c r="E9" s="9" t="n">
        <v>50000</v>
      </c>
      <c r="F9" s="9" t="n">
        <v>100000</v>
      </c>
      <c r="G9" s="9" t="n">
        <v>50000</v>
      </c>
      <c r="H9" s="8" t="inlineStr">
        <is>
          <t>政府关系深化</t>
        </is>
      </c>
    </row>
    <row r="10">
      <c r="A10" s="10" t="inlineStr">
        <is>
          <t>合计</t>
        </is>
      </c>
      <c r="B10" s="10" t="inlineStr">
        <is>
          <t>6 场沙龙合计</t>
        </is>
      </c>
      <c r="C10" s="10" t="inlineStr"/>
      <c r="D10" s="11" t="n">
        <v>180</v>
      </c>
      <c r="E10" s="11" t="n">
        <v>300000</v>
      </c>
      <c r="F10" s="11" t="n">
        <v>670000</v>
      </c>
      <c r="G10" s="11" t="n">
        <v>370000</v>
      </c>
      <c r="H10" s="10" t="inlineStr">
        <is>
          <t>≈ 36 万 / 67 万 / 31 万元</t>
        </is>
      </c>
    </row>
    <row r="12">
      <c r="B12" s="4" t="inlineStr">
        <is>
          <t>净利分润机制 (合资公司 / 胡教授团队)</t>
        </is>
      </c>
    </row>
    <row r="13" ht="28" customHeight="1">
      <c r="A13" s="5" t="inlineStr"/>
      <c r="B13" s="5" t="inlineStr">
        <is>
          <t>项目</t>
        </is>
      </c>
      <c r="C13" s="5" t="inlineStr">
        <is>
          <t>金额 (元)</t>
        </is>
      </c>
      <c r="D13" s="5" t="inlineStr">
        <is>
          <t>甲方 (30%)</t>
        </is>
      </c>
      <c r="E13" s="5" t="inlineStr">
        <is>
          <t>丙方 (70%)</t>
        </is>
      </c>
      <c r="F13" s="5" t="inlineStr"/>
      <c r="G13" s="5" t="inlineStr"/>
      <c r="H13" s="5" t="inlineStr">
        <is>
          <t>说明</t>
        </is>
      </c>
    </row>
    <row r="14">
      <c r="A14" s="6" t="inlineStr">
        <is>
          <t>1</t>
        </is>
      </c>
      <c r="B14" s="6" t="inlineStr">
        <is>
          <t>6 场沙龙合计净利</t>
        </is>
      </c>
      <c r="C14" s="7" t="n">
        <v>370000</v>
      </c>
      <c r="D14" s="7" t="n">
        <v>111000</v>
      </c>
      <c r="E14" s="7" t="n">
        <v>259000</v>
      </c>
      <c r="F14" s="6" t="inlineStr"/>
      <c r="G14" s="6" t="inlineStr"/>
      <c r="H14" s="6" t="inlineStr">
        <is>
          <t>胡教授团队享 70%</t>
        </is>
      </c>
    </row>
    <row r="16" ht="36" customHeight="1">
      <c r="B16" s="12" t="inlineStr">
        <is>
          <t>口径: 营收 = 赞助 + 票务 + 政府补贴; 执行成本 = 场地 + 物料 + 嘉宾接待 + 传播. 单场目标客户 ≥ 30 是 KPI 红线, 未达标的当场净利甲方扣回 50%.</t>
        </is>
      </c>
    </row>
  </sheetData>
  <mergeCells count="3">
    <mergeCell ref="B16:H16"/>
    <mergeCell ref="B12:H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40" customHeight="1">
      <c r="A1" s="1" t="inlineStr">
        <is>
          <t>24 个月双向账本 · 投入产出比 ROI</t>
        </is>
      </c>
    </row>
    <row r="2">
      <c r="B2" s="4" t="inlineStr">
        <is>
          <t>表 A · 胡教授团队 24 月结算金额 (向森马收取)</t>
        </is>
      </c>
    </row>
    <row r="3" ht="28" customHeight="1">
      <c r="A3" s="5" t="inlineStr"/>
      <c r="B3" s="5" t="inlineStr">
        <is>
          <t>收入类别</t>
        </is>
      </c>
      <c r="C3" s="5" t="inlineStr">
        <is>
          <t>T+1 年 (元)</t>
        </is>
      </c>
      <c r="D3" s="5" t="inlineStr">
        <is>
          <t>T+2 年 (元)</t>
        </is>
      </c>
      <c r="E3" s="5" t="inlineStr">
        <is>
          <t>24 月合计 (元)</t>
        </is>
      </c>
      <c r="F3" s="5" t="inlineStr">
        <is>
          <t>占比</t>
        </is>
      </c>
      <c r="G3" s="5" t="inlineStr">
        <is>
          <t>结算节奏</t>
        </is>
      </c>
    </row>
    <row r="4">
      <c r="A4" s="6" t="n">
        <v>1</v>
      </c>
      <c r="B4" s="6" t="inlineStr">
        <is>
          <t>基础月费 (12 万 × 12)</t>
        </is>
      </c>
      <c r="C4" s="7" t="n">
        <v>1440000</v>
      </c>
      <c r="D4" s="7" t="n">
        <v>1440000</v>
      </c>
      <c r="E4" s="7" t="n">
        <v>2880000</v>
      </c>
      <c r="F4" s="6" t="inlineStr">
        <is>
          <t>40%</t>
        </is>
      </c>
      <c r="G4" s="6" t="inlineStr">
        <is>
          <t>按月预付</t>
        </is>
      </c>
    </row>
    <row r="5">
      <c r="A5" s="8" t="n">
        <v>2</v>
      </c>
      <c r="B5" s="8" t="inlineStr">
        <is>
          <t>招商佣金 (1.5-2 个月)</t>
        </is>
      </c>
      <c r="C5" s="9" t="n">
        <v>1170000</v>
      </c>
      <c r="D5" s="9" t="n">
        <v>1170000</v>
      </c>
      <c r="E5" s="9" t="n">
        <v>2340000</v>
      </c>
      <c r="F5" s="8" t="inlineStr">
        <is>
          <t>33%</t>
        </is>
      </c>
      <c r="G5" s="8" t="inlineStr">
        <is>
          <t>起租后 30 日内</t>
        </is>
      </c>
    </row>
    <row r="6">
      <c r="A6" s="6" t="n">
        <v>3</v>
      </c>
      <c r="B6" s="6" t="inlineStr">
        <is>
          <t>挂牌奖励 (5 × 30 万, T+2 半价)</t>
        </is>
      </c>
      <c r="C6" s="7" t="n">
        <v>1200000</v>
      </c>
      <c r="D6" s="7" t="n">
        <v>300000</v>
      </c>
      <c r="E6" s="7" t="n">
        <v>1500000</v>
      </c>
      <c r="F6" s="6" t="inlineStr">
        <is>
          <t>21%</t>
        </is>
      </c>
      <c r="G6" s="6" t="inlineStr">
        <is>
          <t>挂牌公告后 30 日内</t>
        </is>
      </c>
    </row>
    <row r="7">
      <c r="A7" s="8" t="n">
        <v>4</v>
      </c>
      <c r="B7" s="8" t="inlineStr">
        <is>
          <t>沙龙净分润 (70% × 31 万)</t>
        </is>
      </c>
      <c r="C7" s="9" t="n">
        <v>210000</v>
      </c>
      <c r="D7" s="9" t="n">
        <v>210000</v>
      </c>
      <c r="E7" s="9" t="n">
        <v>420000</v>
      </c>
      <c r="F7" s="8" t="inlineStr">
        <is>
          <t>6%</t>
        </is>
      </c>
      <c r="G7" s="8" t="inlineStr">
        <is>
          <t>按场结算</t>
        </is>
      </c>
    </row>
    <row r="8">
      <c r="A8" s="10" t="inlineStr">
        <is>
          <t>合计</t>
        </is>
      </c>
      <c r="B8" s="10" t="inlineStr">
        <is>
          <t>胡教授团队 24 月收入合计 (元)</t>
        </is>
      </c>
      <c r="C8" s="11" t="n">
        <v>4020000</v>
      </c>
      <c r="D8" s="11" t="n">
        <v>3120000</v>
      </c>
      <c r="E8" s="11" t="n">
        <v>7140000</v>
      </c>
      <c r="F8" s="10" t="inlineStr">
        <is>
          <t>100%</t>
        </is>
      </c>
      <c r="G8" s="10" t="inlineStr">
        <is>
          <t>≈ 714 万元</t>
        </is>
      </c>
    </row>
    <row r="10">
      <c r="B10" s="4" t="inlineStr">
        <is>
          <t>表 B · 甲方 (森马) 24 月直接收入</t>
        </is>
      </c>
    </row>
    <row r="11" ht="28" customHeight="1">
      <c r="A11" s="5" t="inlineStr"/>
      <c r="B11" s="5" t="inlineStr">
        <is>
          <t>项目</t>
        </is>
      </c>
      <c r="C11" s="5" t="inlineStr">
        <is>
          <t>T+1 年 (元)</t>
        </is>
      </c>
      <c r="D11" s="5" t="inlineStr">
        <is>
          <t>T+2 年 (元)</t>
        </is>
      </c>
      <c r="E11" s="5" t="inlineStr">
        <is>
          <t>24 月合计 (元)</t>
        </is>
      </c>
      <c r="F11" s="5" t="inlineStr"/>
      <c r="G11" s="5" t="inlineStr">
        <is>
          <t>永续年化 (元)</t>
        </is>
      </c>
    </row>
    <row r="12">
      <c r="A12" s="6" t="n">
        <v>1</v>
      </c>
      <c r="B12" s="6" t="inlineStr">
        <is>
          <t>租金收入</t>
        </is>
      </c>
      <c r="C12" s="7" t="n">
        <v>8030000</v>
      </c>
      <c r="D12" s="7" t="n">
        <v>16060000</v>
      </c>
      <c r="E12" s="7" t="n">
        <v>24090000</v>
      </c>
      <c r="F12" s="6" t="inlineStr"/>
      <c r="G12" s="7" t="n">
        <v>16060000</v>
      </c>
    </row>
    <row r="13">
      <c r="A13" s="8" t="n">
        <v>2</v>
      </c>
      <c r="B13" s="8" t="inlineStr">
        <is>
          <t>物业费 (10/㎡/月)</t>
        </is>
      </c>
      <c r="C13" s="9" t="n">
        <v>1200000</v>
      </c>
      <c r="D13" s="9" t="n">
        <v>2400000</v>
      </c>
      <c r="E13" s="9" t="n">
        <v>3600000</v>
      </c>
      <c r="F13" s="8" t="inlineStr"/>
      <c r="G13" s="9" t="n">
        <v>2400000</v>
      </c>
    </row>
    <row r="14">
      <c r="A14" s="10" t="inlineStr">
        <is>
          <t>合计</t>
        </is>
      </c>
      <c r="B14" s="10" t="inlineStr">
        <is>
          <t>甲方 24 月直接收入 (元)</t>
        </is>
      </c>
      <c r="C14" s="11" t="n">
        <v>9230000</v>
      </c>
      <c r="D14" s="11" t="n">
        <v>18460000</v>
      </c>
      <c r="E14" s="11" t="n">
        <v>27690000</v>
      </c>
      <c r="F14" s="10" t="inlineStr"/>
      <c r="G14" s="11" t="n">
        <v>18460000</v>
      </c>
    </row>
    <row r="16">
      <c r="B16" s="4" t="inlineStr">
        <is>
          <t>表 C · ROI (甲方视角)</t>
        </is>
      </c>
    </row>
    <row r="17" ht="28" customHeight="1">
      <c r="A17" s="5" t="inlineStr"/>
      <c r="B17" s="5" t="inlineStr">
        <is>
          <t>项目</t>
        </is>
      </c>
      <c r="C17" s="5" t="inlineStr">
        <is>
          <t>金额 (元)</t>
        </is>
      </c>
      <c r="D17" s="5" t="inlineStr">
        <is>
          <t>占比 / 倍数</t>
        </is>
      </c>
      <c r="E17" s="5" t="inlineStr"/>
      <c r="F17" s="5" t="inlineStr"/>
      <c r="G17" s="5" t="inlineStr">
        <is>
          <t>说明</t>
        </is>
      </c>
    </row>
    <row r="18">
      <c r="B18" s="6" t="inlineStr">
        <is>
          <t>甲方付出 (24 月)</t>
        </is>
      </c>
      <c r="C18" s="7" t="n">
        <v>7140000</v>
      </c>
      <c r="D18" s="13" t="inlineStr">
        <is>
          <t>—</t>
        </is>
      </c>
      <c r="E18" s="14" t="n"/>
      <c r="F18" s="15" t="n"/>
      <c r="G18" s="6">
        <f> 表 A 合计</f>
        <v/>
      </c>
    </row>
    <row r="19">
      <c r="B19" s="8" t="inlineStr">
        <is>
          <t>甲方收入 (24 月)</t>
        </is>
      </c>
      <c r="C19" s="9" t="n">
        <v>27690000</v>
      </c>
      <c r="D19" s="13" t="inlineStr">
        <is>
          <t>—</t>
        </is>
      </c>
      <c r="E19" s="14" t="n"/>
      <c r="F19" s="15" t="n"/>
      <c r="G19" s="8">
        <f> 表 B 合计</f>
        <v/>
      </c>
    </row>
    <row r="20">
      <c r="B20" s="6" t="inlineStr">
        <is>
          <t>净收入</t>
        </is>
      </c>
      <c r="C20" s="7" t="n">
        <v>20550000</v>
      </c>
      <c r="D20" s="13" t="inlineStr">
        <is>
          <t>—</t>
        </is>
      </c>
      <c r="E20" s="14" t="n"/>
      <c r="F20" s="15" t="n"/>
      <c r="G20" s="6">
        <f> 表 B - 表 A</f>
        <v/>
      </c>
    </row>
    <row r="21">
      <c r="B21" s="8" t="inlineStr">
        <is>
          <t>ROI 投入产出比</t>
        </is>
      </c>
      <c r="C21" s="8" t="inlineStr"/>
      <c r="D21" s="13" t="inlineStr">
        <is>
          <t>1 : 3.88</t>
        </is>
      </c>
      <c r="E21" s="14" t="n"/>
      <c r="F21" s="15" t="n"/>
      <c r="G21" s="8" t="inlineStr">
        <is>
          <t>甲方付出 1 元 → 收入 X 元</t>
        </is>
      </c>
    </row>
    <row r="22">
      <c r="B22" s="6" t="inlineStr">
        <is>
          <t>永续资产估值 (8% 折现)</t>
        </is>
      </c>
      <c r="C22" s="7" t="n">
        <v>230750000</v>
      </c>
      <c r="D22" s="13" t="inlineStr"/>
      <c r="E22" s="14" t="n"/>
      <c r="F22" s="15" t="n"/>
      <c r="G22" s="6" t="inlineStr">
        <is>
          <t>按永续年金折现</t>
        </is>
      </c>
    </row>
  </sheetData>
  <mergeCells count="9">
    <mergeCell ref="B2:G2"/>
    <mergeCell ref="B16:G16"/>
    <mergeCell ref="D19:F19"/>
    <mergeCell ref="B10:G10"/>
    <mergeCell ref="A1:G1"/>
    <mergeCell ref="D22:F22"/>
    <mergeCell ref="D18:F18"/>
    <mergeCell ref="D21:F21"/>
    <mergeCell ref="D20:F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14" customWidth="1" min="5" max="5"/>
    <col width="16" customWidth="1" min="6" max="6"/>
    <col width="30" customWidth="1" min="7" max="7"/>
  </cols>
  <sheetData>
    <row r="1" ht="40" customHeight="1">
      <c r="A1" s="1" t="inlineStr">
        <is>
          <t>招商客户管道 (示例脱敏 + 5/22 峰会嘉宾衍生)</t>
        </is>
      </c>
    </row>
    <row r="3" ht="28" customHeight="1">
      <c r="A3" s="5" t="inlineStr"/>
      <c r="B3" s="5" t="inlineStr">
        <is>
          <t>层级 / 类型</t>
        </is>
      </c>
      <c r="C3" s="5" t="inlineStr">
        <is>
          <t>代表客户 (脱敏)</t>
        </is>
      </c>
      <c r="D3" s="5" t="inlineStr">
        <is>
          <t>意向面积 (㎡)</t>
        </is>
      </c>
      <c r="E3" s="5" t="inlineStr">
        <is>
          <t>对接渠道</t>
        </is>
      </c>
      <c r="F3" s="5" t="inlineStr">
        <is>
          <t>预期成交节点</t>
        </is>
      </c>
      <c r="G3" s="5" t="inlineStr">
        <is>
          <t>状态</t>
        </is>
      </c>
    </row>
    <row r="4">
      <c r="A4" s="6" t="n">
        <v>1</v>
      </c>
      <c r="B4" s="6" t="inlineStr">
        <is>
          <t>L1 头部央企</t>
        </is>
      </c>
      <c r="C4" s="6" t="inlineStr">
        <is>
          <t>中字头数字央企 A (AI 内容方向)</t>
        </is>
      </c>
      <c r="D4" s="7" t="n">
        <v>2000</v>
      </c>
      <c r="E4" s="6" t="inlineStr">
        <is>
          <t>中国动漫集团 + 牌照</t>
        </is>
      </c>
      <c r="F4" s="6" t="inlineStr">
        <is>
          <t>T+3 月</t>
        </is>
      </c>
      <c r="G4" s="6" t="inlineStr">
        <is>
          <t>意向沟通中</t>
        </is>
      </c>
    </row>
    <row r="5">
      <c r="A5" s="8" t="n">
        <v>2</v>
      </c>
      <c r="B5" s="8" t="inlineStr">
        <is>
          <t>L1 头部央企</t>
        </is>
      </c>
      <c r="C5" s="8" t="inlineStr">
        <is>
          <t>中字头文创央企 B</t>
        </is>
      </c>
      <c r="D5" s="9" t="n">
        <v>2000</v>
      </c>
      <c r="E5" s="8" t="inlineStr">
        <is>
          <t>中动漫 + 闵行科协</t>
        </is>
      </c>
      <c r="F5" s="8" t="inlineStr">
        <is>
          <t>T+6 月</t>
        </is>
      </c>
      <c r="G5" s="8" t="inlineStr">
        <is>
          <t>初步接触</t>
        </is>
      </c>
    </row>
    <row r="6">
      <c r="A6" s="6" t="n">
        <v>3</v>
      </c>
      <c r="B6" s="6" t="inlineStr">
        <is>
          <t>L1 行业协会</t>
        </is>
      </c>
      <c r="C6" s="6" t="inlineStr">
        <is>
          <t>中国百货协会 潮玩次元专委</t>
        </is>
      </c>
      <c r="D6" s="7" t="n">
        <v>1500</v>
      </c>
      <c r="E6" s="6" t="inlineStr">
        <is>
          <t>中百协联建</t>
        </is>
      </c>
      <c r="F6" s="6" t="inlineStr">
        <is>
          <t>T+3 月</t>
        </is>
      </c>
      <c r="G6" s="6" t="inlineStr">
        <is>
          <t>已确认</t>
        </is>
      </c>
    </row>
    <row r="7">
      <c r="A7" s="8" t="n">
        <v>4</v>
      </c>
      <c r="B7" s="8" t="inlineStr">
        <is>
          <t>L2 中型 / AI</t>
        </is>
      </c>
      <c r="C7" s="8" t="inlineStr">
        <is>
          <t>AI 潮玩品牌 X</t>
        </is>
      </c>
      <c r="D7" s="9" t="n">
        <v>1500</v>
      </c>
      <c r="E7" s="8" t="inlineStr">
        <is>
          <t>5/22 峰会 + 追觅基金</t>
        </is>
      </c>
      <c r="F7" s="8" t="inlineStr">
        <is>
          <t>T+4 月</t>
        </is>
      </c>
      <c r="G7" s="8" t="inlineStr">
        <is>
          <t>高意向</t>
        </is>
      </c>
    </row>
    <row r="8">
      <c r="A8" s="6" t="n">
        <v>5</v>
      </c>
      <c r="B8" s="6" t="inlineStr">
        <is>
          <t>L2 中型 / 国漫</t>
        </is>
      </c>
      <c r="C8" s="6" t="inlineStr">
        <is>
          <t>国漫公司 Y</t>
        </is>
      </c>
      <c r="D8" s="7" t="n">
        <v>1200</v>
      </c>
      <c r="E8" s="6" t="inlineStr">
        <is>
          <t>中动漫推荐</t>
        </is>
      </c>
      <c r="F8" s="6" t="inlineStr">
        <is>
          <t>T+5 月</t>
        </is>
      </c>
      <c r="G8" s="6" t="inlineStr">
        <is>
          <t>高意向</t>
        </is>
      </c>
    </row>
    <row r="9">
      <c r="A9" s="8" t="n">
        <v>6</v>
      </c>
      <c r="B9" s="8" t="inlineStr">
        <is>
          <t>L2 中型 / 出海</t>
        </is>
      </c>
      <c r="C9" s="8" t="inlineStr">
        <is>
          <t>潮玩出海公司 Z</t>
        </is>
      </c>
      <c r="D9" s="9" t="n">
        <v>1000</v>
      </c>
      <c r="E9" s="8" t="inlineStr">
        <is>
          <t>北欧会客厅</t>
        </is>
      </c>
      <c r="F9" s="8" t="inlineStr">
        <is>
          <t>T+6 月</t>
        </is>
      </c>
      <c r="G9" s="8" t="inlineStr">
        <is>
          <t>意向</t>
        </is>
      </c>
    </row>
    <row r="10">
      <c r="A10" s="6" t="n">
        <v>7</v>
      </c>
      <c r="B10" s="6" t="inlineStr">
        <is>
          <t>L2 中型 / 设计</t>
        </is>
      </c>
      <c r="C10" s="6" t="inlineStr">
        <is>
          <t>AI 设计公司 W</t>
        </is>
      </c>
      <c r="D10" s="7" t="n">
        <v>800</v>
      </c>
      <c r="E10" s="6" t="inlineStr">
        <is>
          <t>AI 腾讯 + 上海交大</t>
        </is>
      </c>
      <c r="F10" s="6" t="inlineStr">
        <is>
          <t>T+7 月</t>
        </is>
      </c>
      <c r="G10" s="6" t="inlineStr">
        <is>
          <t>意向</t>
        </is>
      </c>
    </row>
    <row r="11">
      <c r="A11" s="8" t="n">
        <v>8</v>
      </c>
      <c r="B11" s="8" t="inlineStr">
        <is>
          <t>L3 小型</t>
        </is>
      </c>
      <c r="C11" s="8" t="inlineStr">
        <is>
          <t>盲盒新锐品牌 (5 家)</t>
        </is>
      </c>
      <c r="D11" s="9" t="n">
        <v>1500</v>
      </c>
      <c r="E11" s="8" t="inlineStr">
        <is>
          <t>仲量联行爬楼数据</t>
        </is>
      </c>
      <c r="F11" s="8" t="inlineStr">
        <is>
          <t>T+6-9 月</t>
        </is>
      </c>
      <c r="G11" s="8" t="inlineStr">
        <is>
          <t>数据筛选中</t>
        </is>
      </c>
    </row>
    <row r="12">
      <c r="A12" s="6" t="n">
        <v>9</v>
      </c>
      <c r="B12" s="6" t="inlineStr">
        <is>
          <t>L3 小型</t>
        </is>
      </c>
      <c r="C12" s="6" t="inlineStr">
        <is>
          <t>设计师工作室 (10 家)</t>
        </is>
      </c>
      <c r="D12" s="7" t="n">
        <v>2500</v>
      </c>
      <c r="E12" s="6" t="inlineStr">
        <is>
          <t>5/22 峰会 + 沙龙 #4</t>
        </is>
      </c>
      <c r="F12" s="6" t="inlineStr">
        <is>
          <t>T+7-12 月</t>
        </is>
      </c>
      <c r="G12" s="6" t="inlineStr">
        <is>
          <t>待沙龙转化</t>
        </is>
      </c>
    </row>
    <row r="13">
      <c r="A13" s="8" t="n">
        <v>10</v>
      </c>
      <c r="B13" s="8" t="inlineStr">
        <is>
          <t>L3 小型</t>
        </is>
      </c>
      <c r="C13" s="8" t="inlineStr">
        <is>
          <t>潮玩零售商 (15 家)</t>
        </is>
      </c>
      <c r="D13" s="9" t="n">
        <v>3750</v>
      </c>
      <c r="E13" s="8" t="inlineStr">
        <is>
          <t>爬楼 + 牌照拉新</t>
        </is>
      </c>
      <c r="F13" s="8" t="inlineStr">
        <is>
          <t>T+9-15 月</t>
        </is>
      </c>
      <c r="G13" s="8" t="inlineStr">
        <is>
          <t>数据筛选中</t>
        </is>
      </c>
    </row>
    <row r="14">
      <c r="A14" s="6" t="n">
        <v>11</v>
      </c>
      <c r="B14" s="6" t="inlineStr">
        <is>
          <t>L4 服务机构</t>
        </is>
      </c>
      <c r="C14" s="6" t="inlineStr">
        <is>
          <t>财税/法律/IP/出海咨询 (15 家)</t>
        </is>
      </c>
      <c r="D14" s="7" t="n">
        <v>3000</v>
      </c>
      <c r="E14" s="6" t="inlineStr">
        <is>
          <t>6 场沙龙 + 服务中心</t>
        </is>
      </c>
      <c r="F14" s="6" t="inlineStr">
        <is>
          <t>T+6-12 月</t>
        </is>
      </c>
      <c r="G14" s="6" t="inlineStr">
        <is>
          <t>管道储备</t>
        </is>
      </c>
    </row>
    <row r="15">
      <c r="A15" s="10" t="inlineStr">
        <is>
          <t>合计</t>
        </is>
      </c>
      <c r="B15" s="10" t="inlineStr">
        <is>
          <t>招商管道意向面积 (㎡)</t>
        </is>
      </c>
      <c r="C15" s="10" t="inlineStr"/>
      <c r="D15" s="11" t="n">
        <v>20750</v>
      </c>
      <c r="E15" s="10" t="inlineStr"/>
      <c r="F15" s="10" t="inlineStr">
        <is>
          <t>覆盖 4#+5# 楼 2 万方目标</t>
        </is>
      </c>
      <c r="G15" s="10" t="inlineStr"/>
    </row>
    <row r="17" ht="30" customHeight="1">
      <c r="B17" s="12" t="inlineStr">
        <is>
          <t>实际管道客户已超过 60 家 (本表为节选脱敏); 与 5/22 峰会嘉宾 (200+ VIP) 一一对接转化.</t>
        </is>
      </c>
    </row>
  </sheetData>
  <mergeCells count="2">
    <mergeCell ref="A1:G1"/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2026-05-11T01:08:15Z</dcterms:created>
  <dcterms:modified xmlns:dcterms="http://purl.org/dc/terms/" xmlns:xsi="http://www.w3.org/2001/XMLSchema-instance" xsi:type="dcterms:W3CDTF">2026-05-11T01:08:15Z</dcterms:modified>
</cp:coreProperties>
</file>