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十年收益总表" sheetId="1" state="visible" r:id="rId1"/>
    <sheet xmlns:r="http://schemas.openxmlformats.org/officeDocument/2006/relationships" name="奖项申报明细" sheetId="2" state="visible" r:id="rId2"/>
    <sheet xmlns:r="http://schemas.openxmlformats.org/officeDocument/2006/relationships" name="平台收益对照" sheetId="3" state="visible" r:id="rId3"/>
    <sheet xmlns:r="http://schemas.openxmlformats.org/officeDocument/2006/relationships" name="政策依据与口径" sheetId="4" state="visible" r:id="rId4"/>
  </sheets>
  <definedNames>
    <definedName name="_xlnm._FilterDatabase" localSheetId="0" hidden="1">'十年收益总表'!$A$6:$H$16</definedName>
    <definedName name="_xlnm.Print_Titles" localSheetId="0">'十年收益总表'!$1:$5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万&quot;"/>
  </numFmts>
  <fonts count="15">
    <font>
      <name val="Calibri"/>
      <family val="2"/>
      <color theme="1"/>
      <sz val="11"/>
      <scheme val="minor"/>
    </font>
    <font>
      <name val="微软雅黑"/>
      <b val="1"/>
      <color rgb="004A2C7A"/>
      <sz val="18"/>
    </font>
    <font>
      <name val="微软雅黑"/>
      <b val="1"/>
      <color rgb="00C4A35A"/>
      <sz val="12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color rgb="002C2C2C"/>
      <sz val="10"/>
    </font>
    <font>
      <name val="微软雅黑"/>
      <b val="1"/>
      <color rgb="004A2C7A"/>
      <sz val="10"/>
    </font>
    <font>
      <name val="微软雅黑"/>
      <b val="1"/>
      <color rgb="004A2C7A"/>
      <sz val="16"/>
    </font>
    <font>
      <name val="微软雅黑"/>
      <b val="1"/>
      <color rgb="008B6914"/>
      <sz val="16"/>
    </font>
    <font>
      <name val="微软雅黑"/>
      <color rgb="00666666"/>
      <sz val="8.5"/>
    </font>
    <font>
      <name val="微软雅黑"/>
      <b val="1"/>
      <color rgb="004A2C7A"/>
      <sz val="14"/>
    </font>
    <font>
      <name val="微软雅黑"/>
      <b val="1"/>
      <color rgb="00FFFFFF"/>
      <sz val="9"/>
    </font>
    <font>
      <name val="微软雅黑"/>
      <b val="1"/>
      <color rgb="00FFFFFF"/>
      <sz val="10"/>
    </font>
    <font>
      <name val="微软雅黑"/>
      <b val="1"/>
      <color rgb="002C2C2C"/>
      <sz val="10"/>
    </font>
    <font>
      <name val="微软雅黑"/>
      <b val="1"/>
      <color rgb="004A2C7A"/>
      <sz val="12"/>
    </font>
  </fonts>
  <fills count="8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FF8E7"/>
      </patternFill>
    </fill>
    <fill>
      <patternFill patternType="solid">
        <fgColor rgb="00FAF7FF"/>
      </patternFill>
    </fill>
    <fill>
      <patternFill patternType="solid">
        <fgColor rgb="00C4A35A"/>
      </patternFill>
    </fill>
    <fill>
      <patternFill patternType="solid">
        <fgColor rgb="008B6914"/>
      </patternFill>
    </fill>
    <fill>
      <patternFill patternType="solid">
        <fgColor rgb="00F3E9FF"/>
      </patternFill>
    </fill>
  </fills>
  <borders count="2">
    <border>
      <left/>
      <right/>
      <top/>
      <bottom/>
      <diagonal/>
    </border>
    <border>
      <left style="thin">
        <color rgb="00D9D0E8"/>
      </left>
      <right style="thin">
        <color rgb="00D9D0E8"/>
      </right>
      <top style="thin">
        <color rgb="00D9D0E8"/>
      </top>
      <bottom style="thin">
        <color rgb="00D9D0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7" fillId="7" borderId="0" applyAlignment="1" pivotButton="0" quotePrefix="0" xfId="0">
      <alignment horizontal="left" vertical="center" wrapText="1"/>
    </xf>
    <xf numFmtId="164" fontId="8" fillId="7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3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2027–2036 三部分累加（万元）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'十年收益总表'!B6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'十年收益总表'!$B$7:$B$16</f>
            </numRef>
          </val>
        </ser>
        <ser>
          <idx val="1"/>
          <order val="1"/>
          <tx>
            <strRef>
              <f>'十年收益总表'!C6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'十年收益总表'!$C$7:$C$16</f>
            </numRef>
          </val>
        </ser>
        <ser>
          <idx val="2"/>
          <order val="2"/>
          <tx>
            <strRef>
              <f>'十年收益总表'!D6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'十年收益总表'!$A$7:$A$16</f>
            </numRef>
          </cat>
          <val>
            <numRef>
              <f>'十年收益总表'!$D$7:$D$16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8" customWidth="1" min="3" max="3"/>
    <col width="18" customWidth="1" min="4" max="4"/>
    <col width="14" customWidth="1" min="5" max="5"/>
    <col width="48" customWidth="1" min="6" max="6"/>
    <col width="12" customWidth="1" min="7" max="7"/>
    <col width="28" customWidth="1" min="8" max="8"/>
  </cols>
  <sheetData>
    <row r="1" ht="28" customHeight="1">
      <c r="A1" s="1" t="inlineStr">
        <is>
          <t>上海创智汇 · 科创科技服务中心收益测算表</t>
        </is>
      </c>
    </row>
    <row r="2" ht="20" customHeight="1">
      <c r="A2" s="2" t="inlineStr">
        <is>
          <t>2027–2036 年　载体政策 × 活动经费 × 申报奖项　｜　给甲方沟通版</t>
        </is>
      </c>
    </row>
    <row r="3" ht="42" customHeight="1">
      <c r="A3" s="3" t="inlineStr">
        <is>
          <t>整理自方案 PPT「政策工具箱 / 政策申报能力 / 政策→现金」页。本表按三部分累加：①载体可申请金额　②活动经费可申请金额　③申报奖项可获得金额（高企 / 专精特新 / 小巨人等）。单位：人民币万元。表内为可申请/可获得测算口径，非政府批复承诺；奖项家数为运营节奏下的合理假设。</t>
        </is>
      </c>
    </row>
    <row r="4" ht="16" customHeight="1">
      <c r="A4" s="3" t="inlineStr">
        <is>
          <t>载体十年合计</t>
        </is>
      </c>
      <c r="C4" s="3" t="inlineStr">
        <is>
          <t>活动十年合计</t>
        </is>
      </c>
      <c r="E4" s="3" t="inlineStr">
        <is>
          <t>奖项十年合计</t>
        </is>
      </c>
      <c r="G4" s="3" t="inlineStr">
        <is>
          <t>三部分十年总计</t>
        </is>
      </c>
    </row>
    <row r="5" ht="26" customHeight="1">
      <c r="A5" s="4" t="n">
        <v>1100</v>
      </c>
      <c r="C5" s="4" t="n">
        <v>2000</v>
      </c>
      <c r="E5" s="4" t="n">
        <v>3820</v>
      </c>
      <c r="G5" s="5" t="n">
        <v>6920</v>
      </c>
    </row>
    <row r="6" ht="36" customHeight="1">
      <c r="A6" s="6" t="inlineStr">
        <is>
          <t>年份</t>
        </is>
      </c>
      <c r="B6" s="6" t="inlineStr">
        <is>
          <t>① 载体可申请金额</t>
        </is>
      </c>
      <c r="C6" s="6" t="inlineStr">
        <is>
          <t>② 活动经费可申请金额</t>
        </is>
      </c>
      <c r="D6" s="6" t="inlineStr">
        <is>
          <t>③ 申报奖项可获得金额</t>
        </is>
      </c>
      <c r="E6" s="6" t="inlineStr">
        <is>
          <t>三部分当年合计</t>
        </is>
      </c>
      <c r="F6" s="6" t="inlineStr">
        <is>
          <t>奖项构成（家数×单价）</t>
        </is>
      </c>
      <c r="G6" s="6" t="inlineStr">
        <is>
          <t>阶段</t>
        </is>
      </c>
      <c r="H6" s="6" t="inlineStr">
        <is>
          <t>备注</t>
        </is>
      </c>
    </row>
    <row r="7" ht="32" customHeight="1">
      <c r="A7" s="7" t="n">
        <v>2027</v>
      </c>
      <c r="B7" s="7" t="n">
        <v>110</v>
      </c>
      <c r="C7" s="7" t="n">
        <v>200</v>
      </c>
      <c r="D7" s="7" t="n">
        <v>80</v>
      </c>
      <c r="E7" s="8" t="n">
        <v>390</v>
      </c>
      <c r="F7" s="9" t="inlineStr">
        <is>
          <t>高企3×20=60；专精特新2×10=20</t>
        </is>
      </c>
      <c r="G7" s="7" t="inlineStr">
        <is>
          <t>启动导入</t>
        </is>
      </c>
      <c r="H7" s="9" t="inlineStr">
        <is>
          <t>须先完成载体/服务中心挂牌认定；奖项以企业获批为准</t>
        </is>
      </c>
    </row>
    <row r="8" ht="32" customHeight="1">
      <c r="A8" s="10" t="n">
        <v>2028</v>
      </c>
      <c r="B8" s="10" t="n">
        <v>110</v>
      </c>
      <c r="C8" s="10" t="n">
        <v>200</v>
      </c>
      <c r="D8" s="10" t="n">
        <v>180</v>
      </c>
      <c r="E8" s="8" t="n">
        <v>490</v>
      </c>
      <c r="F8" s="11" t="inlineStr">
        <is>
          <t>高企5×20=100；专精特新3×10=30；区科技小巨人1×50=50</t>
        </is>
      </c>
      <c r="G8" s="10" t="inlineStr">
        <is>
          <t>成型提质</t>
        </is>
      </c>
      <c r="H8" s="11" t="inlineStr">
        <is>
          <t>须先完成载体/服务中心挂牌认定；奖项以企业获批为准</t>
        </is>
      </c>
    </row>
    <row r="9" ht="32" customHeight="1">
      <c r="A9" s="7" t="n">
        <v>2029</v>
      </c>
      <c r="B9" s="7" t="n">
        <v>110</v>
      </c>
      <c r="C9" s="7" t="n">
        <v>200</v>
      </c>
      <c r="D9" s="7" t="n">
        <v>240</v>
      </c>
      <c r="E9" s="8" t="n">
        <v>550</v>
      </c>
      <c r="F9" s="9" t="inlineStr">
        <is>
          <t>高企6×20=120；专精特新4×10=40；国家小巨人1×30=30；区科技小巨人1×50=50</t>
        </is>
      </c>
      <c r="G9" s="7" t="inlineStr">
        <is>
          <t>提升复制</t>
        </is>
      </c>
      <c r="H9" s="9" t="inlineStr">
        <is>
          <t>须先完成载体/服务中心挂牌认定；奖项以企业获批为准</t>
        </is>
      </c>
    </row>
    <row r="10" ht="32" customHeight="1">
      <c r="A10" s="10" t="n">
        <v>2030</v>
      </c>
      <c r="B10" s="10" t="n">
        <v>110</v>
      </c>
      <c r="C10" s="10" t="n">
        <v>200</v>
      </c>
      <c r="D10" s="10" t="n">
        <v>370</v>
      </c>
      <c r="E10" s="8" t="n">
        <v>680</v>
      </c>
      <c r="F10" s="11" t="inlineStr">
        <is>
          <t>高企7×20=140；专精特新5×10=50；国家小巨人1×30=30；区科技小巨人1×50=50；区双创小巨人1×100=100</t>
        </is>
      </c>
      <c r="G10" s="10" t="inlineStr">
        <is>
          <t>稳定运营</t>
        </is>
      </c>
      <c r="H10" s="11" t="inlineStr">
        <is>
          <t>须先完成载体/服务中心挂牌认定；奖项以企业获批为准</t>
        </is>
      </c>
    </row>
    <row r="11" ht="32" customHeight="1">
      <c r="A11" s="7" t="n">
        <v>2031</v>
      </c>
      <c r="B11" s="7" t="n">
        <v>110</v>
      </c>
      <c r="C11" s="7" t="n">
        <v>200</v>
      </c>
      <c r="D11" s="7" t="n">
        <v>440</v>
      </c>
      <c r="E11" s="8" t="n">
        <v>750</v>
      </c>
      <c r="F11" s="9" t="inlineStr">
        <is>
          <t>高企8×20=160；专精特新5×10=50；国家小巨人1×30=30；区科技小巨人2×50=100；区双创小巨人1×100=100</t>
        </is>
      </c>
      <c r="G11" s="7" t="inlineStr">
        <is>
          <t>稳定运营</t>
        </is>
      </c>
      <c r="H11" s="9" t="inlineStr">
        <is>
          <t>须先完成载体/服务中心挂牌认定；奖项以企业获批为准</t>
        </is>
      </c>
    </row>
    <row r="12" ht="32" customHeight="1">
      <c r="A12" s="10" t="n">
        <v>2032</v>
      </c>
      <c r="B12" s="10" t="n">
        <v>110</v>
      </c>
      <c r="C12" s="10" t="n">
        <v>200</v>
      </c>
      <c r="D12" s="10" t="n">
        <v>450</v>
      </c>
      <c r="E12" s="8" t="n">
        <v>760</v>
      </c>
      <c r="F12" s="11" t="inlineStr">
        <is>
          <t>高企8×20=160；专精特新6×10=60；国家小巨人1×30=30；区科技小巨人2×50=100；区双创小巨人1×100=100</t>
        </is>
      </c>
      <c r="G12" s="10" t="inlineStr">
        <is>
          <t>稳定运营</t>
        </is>
      </c>
      <c r="H12" s="11" t="inlineStr">
        <is>
          <t>须先完成载体/服务中心挂牌认定；奖项以企业获批为准</t>
        </is>
      </c>
    </row>
    <row r="13" ht="32" customHeight="1">
      <c r="A13" s="7" t="n">
        <v>2033</v>
      </c>
      <c r="B13" s="7" t="n">
        <v>110</v>
      </c>
      <c r="C13" s="7" t="n">
        <v>200</v>
      </c>
      <c r="D13" s="7" t="n">
        <v>500</v>
      </c>
      <c r="E13" s="8" t="n">
        <v>810</v>
      </c>
      <c r="F13" s="9" t="inlineStr">
        <is>
          <t>高企9×20=180；专精特新6×10=60；国家小巨人2×30=60；区科技小巨人2×50=100；区双创小巨人1×100=100</t>
        </is>
      </c>
      <c r="G13" s="7" t="inlineStr">
        <is>
          <t>品牌深化</t>
        </is>
      </c>
      <c r="H13" s="9" t="inlineStr">
        <is>
          <t>须先完成载体/服务中心挂牌认定；奖项以企业获批为准</t>
        </is>
      </c>
    </row>
    <row r="14" ht="32" customHeight="1">
      <c r="A14" s="10" t="n">
        <v>2034</v>
      </c>
      <c r="B14" s="10" t="n">
        <v>110</v>
      </c>
      <c r="C14" s="10" t="n">
        <v>200</v>
      </c>
      <c r="D14" s="10" t="n">
        <v>500</v>
      </c>
      <c r="E14" s="8" t="n">
        <v>810</v>
      </c>
      <c r="F14" s="11" t="inlineStr">
        <is>
          <t>高企9×20=180；专精特新6×10=60；国家小巨人2×30=60；区科技小巨人2×50=100；区双创小巨人1×100=100</t>
        </is>
      </c>
      <c r="G14" s="10" t="inlineStr">
        <is>
          <t>品牌深化</t>
        </is>
      </c>
      <c r="H14" s="11" t="inlineStr">
        <is>
          <t>须先完成载体/服务中心挂牌认定；奖项以企业获批为准</t>
        </is>
      </c>
    </row>
    <row r="15" ht="32" customHeight="1">
      <c r="A15" s="7" t="n">
        <v>2035</v>
      </c>
      <c r="B15" s="7" t="n">
        <v>110</v>
      </c>
      <c r="C15" s="7" t="n">
        <v>200</v>
      </c>
      <c r="D15" s="7" t="n">
        <v>530</v>
      </c>
      <c r="E15" s="8" t="n">
        <v>840</v>
      </c>
      <c r="F15" s="9" t="inlineStr">
        <is>
          <t>高企10×20=200；专精特新7×10=70；国家小巨人2×30=60；区科技小巨人2×50=100；区双创小巨人1×100=100</t>
        </is>
      </c>
      <c r="G15" s="7" t="inlineStr">
        <is>
          <t>持续放量</t>
        </is>
      </c>
      <c r="H15" s="9" t="inlineStr">
        <is>
          <t>须先完成载体/服务中心挂牌认定；奖项以企业获批为准</t>
        </is>
      </c>
    </row>
    <row r="16" ht="32" customHeight="1">
      <c r="A16" s="10" t="n">
        <v>2036</v>
      </c>
      <c r="B16" s="10" t="n">
        <v>110</v>
      </c>
      <c r="C16" s="10" t="n">
        <v>200</v>
      </c>
      <c r="D16" s="10" t="n">
        <v>530</v>
      </c>
      <c r="E16" s="8" t="n">
        <v>840</v>
      </c>
      <c r="F16" s="11" t="inlineStr">
        <is>
          <t>高企10×20=200；专精特新7×10=70；国家小巨人2×30=60；区科技小巨人2×50=100；区双创小巨人1×100=100</t>
        </is>
      </c>
      <c r="G16" s="10" t="inlineStr">
        <is>
          <t>持续放量</t>
        </is>
      </c>
      <c r="H16" s="11" t="inlineStr">
        <is>
          <t>须先完成载体/服务中心挂牌认定；奖项以企业获批为准</t>
        </is>
      </c>
    </row>
    <row r="17" ht="28" customHeight="1">
      <c r="A17" s="6" t="inlineStr">
        <is>
          <t>十年合计</t>
        </is>
      </c>
      <c r="B17" s="12" t="n">
        <v>1100</v>
      </c>
      <c r="C17" s="12" t="n">
        <v>2000</v>
      </c>
      <c r="D17" s="12" t="n">
        <v>3820</v>
      </c>
      <c r="E17" s="13" t="n">
        <v>6920</v>
      </c>
      <c r="F17" s="12" t="inlineStr">
        <is>
          <t>见「奖项明细」工作表</t>
        </is>
      </c>
      <c r="G17" s="12" t="inlineStr">
        <is>
          <t>—</t>
        </is>
      </c>
      <c r="H17" s="12" t="inlineStr">
        <is>
          <t>上限/测算加总，非保证获批</t>
        </is>
      </c>
    </row>
    <row r="18" ht="48" customHeight="1">
      <c r="A18" s="14" t="inlineStr">
        <is>
          <t>口径说明：①载体＝成果转化服务平台运营补贴≤100万/年＋创业孵化基地运营≤10万/年；②活动＝YOUNG立方活动补贴（投入×最高50%，同年封顶≤200万）；③奖项＝入驻企业获批后可获得的政府奖励/资助金额合计（补贴主体多为企业；服务中心另按服务费2–8万/家及到账5%–15%成功分成取酬，见「平台收益对照」表）。2030年后假设政策同类续期，以当年有效文件为准。</t>
        </is>
      </c>
    </row>
  </sheetData>
  <autoFilter ref="A6:H16"/>
  <mergeCells count="8">
    <mergeCell ref="A18:H18"/>
    <mergeCell ref="A3:H3"/>
    <mergeCell ref="A2:H2"/>
    <mergeCell ref="C5:D5"/>
    <mergeCell ref="A5:B5"/>
    <mergeCell ref="G5:H5"/>
    <mergeCell ref="E5:F5"/>
    <mergeCell ref="A1:H1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9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1" customWidth="1" min="12" max="12"/>
  </cols>
  <sheetData>
    <row r="1">
      <c r="A1" s="15" t="inlineStr">
        <is>
          <t>申报奖项可获得金额 · 分年明细（高企 / 专精特新 / 小巨人）</t>
        </is>
      </c>
    </row>
    <row r="2" ht="28" customHeight="1">
      <c r="A2" s="16" t="inlineStr">
        <is>
          <t>单价依据 PPT：高企首认20万；专精特新市级10万；国家小巨人30万；区科技小巨人50万；区双创小巨人100万。家数为服务中心陪跑节奏下的合理测算。</t>
        </is>
      </c>
    </row>
    <row r="4" ht="34" customHeight="1">
      <c r="A4" s="17" t="inlineStr">
        <is>
          <t>年份</t>
        </is>
      </c>
      <c r="B4" s="17" t="inlineStr">
        <is>
          <t>高企(家)</t>
        </is>
      </c>
      <c r="C4" s="17" t="inlineStr">
        <is>
          <t>高企金额</t>
        </is>
      </c>
      <c r="D4" s="17" t="inlineStr">
        <is>
          <t>专精特新(家)</t>
        </is>
      </c>
      <c r="E4" s="17" t="inlineStr">
        <is>
          <t>专精特新金额</t>
        </is>
      </c>
      <c r="F4" s="17" t="inlineStr">
        <is>
          <t>国家小巨人(家)</t>
        </is>
      </c>
      <c r="G4" s="17" t="inlineStr">
        <is>
          <t>国家小巨人金额</t>
        </is>
      </c>
      <c r="H4" s="17" t="inlineStr">
        <is>
          <t>区科技小巨人(家)</t>
        </is>
      </c>
      <c r="I4" s="17" t="inlineStr">
        <is>
          <t>区科技小巨人金额</t>
        </is>
      </c>
      <c r="J4" s="17" t="inlineStr">
        <is>
          <t>区双创小巨人(家)</t>
        </is>
      </c>
      <c r="K4" s="17" t="inlineStr">
        <is>
          <t>区双创小巨人金额</t>
        </is>
      </c>
      <c r="L4" s="17" t="inlineStr">
        <is>
          <t>奖项合计</t>
        </is>
      </c>
    </row>
    <row r="5">
      <c r="A5" s="7" t="n">
        <v>2027</v>
      </c>
      <c r="B5" s="7" t="n">
        <v>3</v>
      </c>
      <c r="C5" s="7" t="n">
        <v>60</v>
      </c>
      <c r="D5" s="7" t="n">
        <v>2</v>
      </c>
      <c r="E5" s="7" t="n">
        <v>20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8" t="n">
        <v>80</v>
      </c>
    </row>
    <row r="6">
      <c r="A6" s="10" t="n">
        <v>2028</v>
      </c>
      <c r="B6" s="10" t="n">
        <v>5</v>
      </c>
      <c r="C6" s="10" t="n">
        <v>100</v>
      </c>
      <c r="D6" s="10" t="n">
        <v>3</v>
      </c>
      <c r="E6" s="10" t="n">
        <v>30</v>
      </c>
      <c r="F6" s="10" t="n">
        <v>0</v>
      </c>
      <c r="G6" s="10" t="n">
        <v>0</v>
      </c>
      <c r="H6" s="10" t="n">
        <v>1</v>
      </c>
      <c r="I6" s="10" t="n">
        <v>50</v>
      </c>
      <c r="J6" s="10" t="n">
        <v>0</v>
      </c>
      <c r="K6" s="10" t="n">
        <v>0</v>
      </c>
      <c r="L6" s="8" t="n">
        <v>180</v>
      </c>
    </row>
    <row r="7">
      <c r="A7" s="7" t="n">
        <v>2029</v>
      </c>
      <c r="B7" s="7" t="n">
        <v>6</v>
      </c>
      <c r="C7" s="7" t="n">
        <v>120</v>
      </c>
      <c r="D7" s="7" t="n">
        <v>4</v>
      </c>
      <c r="E7" s="7" t="n">
        <v>40</v>
      </c>
      <c r="F7" s="7" t="n">
        <v>1</v>
      </c>
      <c r="G7" s="7" t="n">
        <v>30</v>
      </c>
      <c r="H7" s="7" t="n">
        <v>1</v>
      </c>
      <c r="I7" s="7" t="n">
        <v>50</v>
      </c>
      <c r="J7" s="7" t="n">
        <v>0</v>
      </c>
      <c r="K7" s="7" t="n">
        <v>0</v>
      </c>
      <c r="L7" s="8" t="n">
        <v>240</v>
      </c>
    </row>
    <row r="8">
      <c r="A8" s="10" t="n">
        <v>2030</v>
      </c>
      <c r="B8" s="10" t="n">
        <v>7</v>
      </c>
      <c r="C8" s="10" t="n">
        <v>140</v>
      </c>
      <c r="D8" s="10" t="n">
        <v>5</v>
      </c>
      <c r="E8" s="10" t="n">
        <v>50</v>
      </c>
      <c r="F8" s="10" t="n">
        <v>1</v>
      </c>
      <c r="G8" s="10" t="n">
        <v>30</v>
      </c>
      <c r="H8" s="10" t="n">
        <v>1</v>
      </c>
      <c r="I8" s="10" t="n">
        <v>50</v>
      </c>
      <c r="J8" s="10" t="n">
        <v>1</v>
      </c>
      <c r="K8" s="10" t="n">
        <v>100</v>
      </c>
      <c r="L8" s="8" t="n">
        <v>370</v>
      </c>
    </row>
    <row r="9">
      <c r="A9" s="7" t="n">
        <v>2031</v>
      </c>
      <c r="B9" s="7" t="n">
        <v>8</v>
      </c>
      <c r="C9" s="7" t="n">
        <v>160</v>
      </c>
      <c r="D9" s="7" t="n">
        <v>5</v>
      </c>
      <c r="E9" s="7" t="n">
        <v>50</v>
      </c>
      <c r="F9" s="7" t="n">
        <v>1</v>
      </c>
      <c r="G9" s="7" t="n">
        <v>30</v>
      </c>
      <c r="H9" s="7" t="n">
        <v>2</v>
      </c>
      <c r="I9" s="7" t="n">
        <v>100</v>
      </c>
      <c r="J9" s="7" t="n">
        <v>1</v>
      </c>
      <c r="K9" s="7" t="n">
        <v>100</v>
      </c>
      <c r="L9" s="8" t="n">
        <v>440</v>
      </c>
    </row>
    <row r="10">
      <c r="A10" s="10" t="n">
        <v>2032</v>
      </c>
      <c r="B10" s="10" t="n">
        <v>8</v>
      </c>
      <c r="C10" s="10" t="n">
        <v>160</v>
      </c>
      <c r="D10" s="10" t="n">
        <v>6</v>
      </c>
      <c r="E10" s="10" t="n">
        <v>60</v>
      </c>
      <c r="F10" s="10" t="n">
        <v>1</v>
      </c>
      <c r="G10" s="10" t="n">
        <v>30</v>
      </c>
      <c r="H10" s="10" t="n">
        <v>2</v>
      </c>
      <c r="I10" s="10" t="n">
        <v>100</v>
      </c>
      <c r="J10" s="10" t="n">
        <v>1</v>
      </c>
      <c r="K10" s="10" t="n">
        <v>100</v>
      </c>
      <c r="L10" s="8" t="n">
        <v>450</v>
      </c>
    </row>
    <row r="11">
      <c r="A11" s="7" t="n">
        <v>2033</v>
      </c>
      <c r="B11" s="7" t="n">
        <v>9</v>
      </c>
      <c r="C11" s="7" t="n">
        <v>180</v>
      </c>
      <c r="D11" s="7" t="n">
        <v>6</v>
      </c>
      <c r="E11" s="7" t="n">
        <v>60</v>
      </c>
      <c r="F11" s="7" t="n">
        <v>2</v>
      </c>
      <c r="G11" s="7" t="n">
        <v>60</v>
      </c>
      <c r="H11" s="7" t="n">
        <v>2</v>
      </c>
      <c r="I11" s="7" t="n">
        <v>100</v>
      </c>
      <c r="J11" s="7" t="n">
        <v>1</v>
      </c>
      <c r="K11" s="7" t="n">
        <v>100</v>
      </c>
      <c r="L11" s="8" t="n">
        <v>500</v>
      </c>
    </row>
    <row r="12">
      <c r="A12" s="10" t="n">
        <v>2034</v>
      </c>
      <c r="B12" s="10" t="n">
        <v>9</v>
      </c>
      <c r="C12" s="10" t="n">
        <v>180</v>
      </c>
      <c r="D12" s="10" t="n">
        <v>6</v>
      </c>
      <c r="E12" s="10" t="n">
        <v>60</v>
      </c>
      <c r="F12" s="10" t="n">
        <v>2</v>
      </c>
      <c r="G12" s="10" t="n">
        <v>60</v>
      </c>
      <c r="H12" s="10" t="n">
        <v>2</v>
      </c>
      <c r="I12" s="10" t="n">
        <v>100</v>
      </c>
      <c r="J12" s="10" t="n">
        <v>1</v>
      </c>
      <c r="K12" s="10" t="n">
        <v>100</v>
      </c>
      <c r="L12" s="8" t="n">
        <v>500</v>
      </c>
    </row>
    <row r="13">
      <c r="A13" s="7" t="n">
        <v>2035</v>
      </c>
      <c r="B13" s="7" t="n">
        <v>10</v>
      </c>
      <c r="C13" s="7" t="n">
        <v>200</v>
      </c>
      <c r="D13" s="7" t="n">
        <v>7</v>
      </c>
      <c r="E13" s="7" t="n">
        <v>70</v>
      </c>
      <c r="F13" s="7" t="n">
        <v>2</v>
      </c>
      <c r="G13" s="7" t="n">
        <v>60</v>
      </c>
      <c r="H13" s="7" t="n">
        <v>2</v>
      </c>
      <c r="I13" s="7" t="n">
        <v>100</v>
      </c>
      <c r="J13" s="7" t="n">
        <v>1</v>
      </c>
      <c r="K13" s="7" t="n">
        <v>100</v>
      </c>
      <c r="L13" s="8" t="n">
        <v>530</v>
      </c>
    </row>
    <row r="14">
      <c r="A14" s="10" t="n">
        <v>2036</v>
      </c>
      <c r="B14" s="10" t="n">
        <v>10</v>
      </c>
      <c r="C14" s="10" t="n">
        <v>200</v>
      </c>
      <c r="D14" s="10" t="n">
        <v>7</v>
      </c>
      <c r="E14" s="10" t="n">
        <v>70</v>
      </c>
      <c r="F14" s="10" t="n">
        <v>2</v>
      </c>
      <c r="G14" s="10" t="n">
        <v>60</v>
      </c>
      <c r="H14" s="10" t="n">
        <v>2</v>
      </c>
      <c r="I14" s="10" t="n">
        <v>100</v>
      </c>
      <c r="J14" s="10" t="n">
        <v>1</v>
      </c>
      <c r="K14" s="10" t="n">
        <v>100</v>
      </c>
      <c r="L14" s="8" t="n">
        <v>530</v>
      </c>
    </row>
    <row r="15">
      <c r="A15" s="18" t="inlineStr">
        <is>
          <t>十年合计</t>
        </is>
      </c>
      <c r="B15" s="18" t="n">
        <v>75</v>
      </c>
      <c r="C15" s="18" t="n">
        <v>1500</v>
      </c>
      <c r="D15" s="18" t="n">
        <v>51</v>
      </c>
      <c r="E15" s="18" t="n">
        <v>510</v>
      </c>
      <c r="F15" s="18" t="n">
        <v>12</v>
      </c>
      <c r="G15" s="18" t="n">
        <v>360</v>
      </c>
      <c r="H15" s="18" t="n">
        <v>15</v>
      </c>
      <c r="I15" s="18" t="n">
        <v>750</v>
      </c>
      <c r="J15" s="18" t="n">
        <v>7</v>
      </c>
      <c r="K15" s="18" t="n">
        <v>700</v>
      </c>
      <c r="L15" s="18" t="n">
        <v>3820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18" customWidth="1" min="3" max="3"/>
    <col width="18" customWidth="1" min="4" max="4"/>
    <col width="14" customWidth="1" min="5" max="5"/>
    <col width="28" customWidth="1" min="6" max="6"/>
  </cols>
  <sheetData>
    <row r="1">
      <c r="A1" s="15" t="inlineStr">
        <is>
          <t>科创科技服务中心 · 平台可实现现金对照（PPT「政策→现金」口径）</t>
        </is>
      </c>
    </row>
    <row r="2" ht="36" customHeight="1">
      <c r="A2" s="16" t="inlineStr">
        <is>
          <t>说明：主表③为「企业侧奖项可获得金额」；本表同步列示服务中心作为申报服务机构可沉淀的平台现金（申报服务费 + 成功分成示意 + 载体运营直接到平台部分），便于甲方理解「收益」双口径。</t>
        </is>
      </c>
    </row>
    <row r="4" ht="40" customHeight="1">
      <c r="A4" s="19" t="inlineStr">
        <is>
          <t>年份</t>
        </is>
      </c>
      <c r="B4" s="19" t="inlineStr">
        <is>
          <t>载体运营到平台（中值）</t>
        </is>
      </c>
      <c r="C4" s="19" t="inlineStr">
        <is>
          <t>奖项申报服务费（中值）</t>
        </is>
      </c>
      <c r="D4" s="19" t="inlineStr">
        <is>
          <t>奖项成功分成示意（10%）</t>
        </is>
      </c>
      <c r="E4" s="19" t="inlineStr">
        <is>
          <t>平台现金小计</t>
        </is>
      </c>
      <c r="F4" s="19" t="inlineStr">
        <is>
          <t>对照：主表三部分合计（企业侧口径）</t>
        </is>
      </c>
    </row>
    <row r="5">
      <c r="A5" s="7" t="n">
        <v>2027</v>
      </c>
      <c r="B5" s="7" t="n">
        <v>15</v>
      </c>
      <c r="C5" s="7" t="n">
        <v>25</v>
      </c>
      <c r="D5" s="7" t="n">
        <v>8</v>
      </c>
      <c r="E5" s="8" t="n">
        <v>48</v>
      </c>
      <c r="F5" s="20" t="n">
        <v>390</v>
      </c>
    </row>
    <row r="6">
      <c r="A6" s="10" t="n">
        <v>2028</v>
      </c>
      <c r="B6" s="10" t="n">
        <v>20</v>
      </c>
      <c r="C6" s="10" t="n">
        <v>45</v>
      </c>
      <c r="D6" s="10" t="n">
        <v>18</v>
      </c>
      <c r="E6" s="8" t="n">
        <v>83</v>
      </c>
      <c r="F6" s="21" t="n">
        <v>490</v>
      </c>
    </row>
    <row r="7">
      <c r="A7" s="7" t="n">
        <v>2029</v>
      </c>
      <c r="B7" s="7" t="n">
        <v>20</v>
      </c>
      <c r="C7" s="7" t="n">
        <v>60</v>
      </c>
      <c r="D7" s="7" t="n">
        <v>24</v>
      </c>
      <c r="E7" s="8" t="n">
        <v>104</v>
      </c>
      <c r="F7" s="20" t="n">
        <v>550</v>
      </c>
    </row>
    <row r="8">
      <c r="A8" s="10" t="n">
        <v>2030</v>
      </c>
      <c r="B8" s="10" t="n">
        <v>20</v>
      </c>
      <c r="C8" s="10" t="n">
        <v>75</v>
      </c>
      <c r="D8" s="10" t="n">
        <v>37</v>
      </c>
      <c r="E8" s="8" t="n">
        <v>132</v>
      </c>
      <c r="F8" s="21" t="n">
        <v>680</v>
      </c>
    </row>
    <row r="9">
      <c r="A9" s="7" t="n">
        <v>2031</v>
      </c>
      <c r="B9" s="7" t="n">
        <v>20</v>
      </c>
      <c r="C9" s="7" t="n">
        <v>85</v>
      </c>
      <c r="D9" s="7" t="n">
        <v>44</v>
      </c>
      <c r="E9" s="8" t="n">
        <v>149</v>
      </c>
      <c r="F9" s="20" t="n">
        <v>750</v>
      </c>
    </row>
    <row r="10">
      <c r="A10" s="10" t="n">
        <v>2032</v>
      </c>
      <c r="B10" s="10" t="n">
        <v>20</v>
      </c>
      <c r="C10" s="10" t="n">
        <v>90</v>
      </c>
      <c r="D10" s="10" t="n">
        <v>45</v>
      </c>
      <c r="E10" s="8" t="n">
        <v>155</v>
      </c>
      <c r="F10" s="21" t="n">
        <v>760</v>
      </c>
    </row>
    <row r="11">
      <c r="A11" s="7" t="n">
        <v>2033</v>
      </c>
      <c r="B11" s="7" t="n">
        <v>20</v>
      </c>
      <c r="C11" s="7" t="n">
        <v>100</v>
      </c>
      <c r="D11" s="7" t="n">
        <v>50</v>
      </c>
      <c r="E11" s="8" t="n">
        <v>170</v>
      </c>
      <c r="F11" s="20" t="n">
        <v>810</v>
      </c>
    </row>
    <row r="12">
      <c r="A12" s="10" t="n">
        <v>2034</v>
      </c>
      <c r="B12" s="10" t="n">
        <v>20</v>
      </c>
      <c r="C12" s="10" t="n">
        <v>100</v>
      </c>
      <c r="D12" s="10" t="n">
        <v>50</v>
      </c>
      <c r="E12" s="8" t="n">
        <v>170</v>
      </c>
      <c r="F12" s="21" t="n">
        <v>810</v>
      </c>
    </row>
    <row r="13">
      <c r="A13" s="7" t="n">
        <v>2035</v>
      </c>
      <c r="B13" s="7" t="n">
        <v>20</v>
      </c>
      <c r="C13" s="7" t="n">
        <v>110</v>
      </c>
      <c r="D13" s="7" t="n">
        <v>53</v>
      </c>
      <c r="E13" s="8" t="n">
        <v>183</v>
      </c>
      <c r="F13" s="20" t="n">
        <v>840</v>
      </c>
    </row>
    <row r="14">
      <c r="A14" s="10" t="n">
        <v>2036</v>
      </c>
      <c r="B14" s="10" t="n">
        <v>20</v>
      </c>
      <c r="C14" s="10" t="n">
        <v>110</v>
      </c>
      <c r="D14" s="10" t="n">
        <v>53</v>
      </c>
      <c r="E14" s="8" t="n">
        <v>183</v>
      </c>
      <c r="F14" s="21" t="n">
        <v>840</v>
      </c>
    </row>
    <row r="16" ht="48" customHeight="1">
      <c r="A16" s="14" t="inlineStr">
        <is>
          <t>平台现金小计＝载体运营到平台中值（10–20万区间取值）＋申报服务费中值（按5万/家×当年奖项家数）＋成功分成示意（按奖项获批金额×10%，落在PPT的5%–15%区间）。活动经费补贴通常按活动主办/投入主体申报，主表②已列可申请上限；若由服务中心主体申报，可再计入平台，需以申报主体资格为准。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62" customWidth="1" min="3" max="3"/>
    <col width="22" customWidth="1" min="4" max="4"/>
  </cols>
  <sheetData>
    <row r="1">
      <c r="A1" s="15" t="inlineStr">
        <is>
          <t>政策依据与口径说明（对齐 PPT）</t>
        </is>
      </c>
    </row>
    <row r="3" ht="28" customHeight="1">
      <c r="A3" s="19" t="inlineStr">
        <is>
          <t>序号</t>
        </is>
      </c>
      <c r="B3" s="19" t="inlineStr">
        <is>
          <t>类别</t>
        </is>
      </c>
      <c r="C3" s="22" t="inlineStr">
        <is>
          <t>政策要点 / 金额</t>
        </is>
      </c>
      <c r="D3" s="19" t="inlineStr">
        <is>
          <t>对应本表栏目</t>
        </is>
      </c>
    </row>
    <row r="4" ht="28" customHeight="1">
      <c r="A4" s="10" t="inlineStr">
        <is>
          <t>1</t>
        </is>
      </c>
      <c r="B4" s="10" t="inlineStr">
        <is>
          <t>载体</t>
        </is>
      </c>
      <c r="C4" s="11" t="inlineStr">
        <is>
          <t>科技成果转化服务平台运营费补贴，经认定最高100万元/年</t>
        </is>
      </c>
      <c r="D4" s="10" t="inlineStr">
        <is>
          <t>① 载体 · 100万</t>
        </is>
      </c>
    </row>
    <row r="5" ht="28" customHeight="1">
      <c r="A5" s="7" t="inlineStr">
        <is>
          <t>2</t>
        </is>
      </c>
      <c r="B5" s="7" t="inlineStr">
        <is>
          <t>载体</t>
        </is>
      </c>
      <c r="C5" s="9" t="inlineStr">
        <is>
          <t>区级创业孵化基地运营补贴，评估达标10万元/年</t>
        </is>
      </c>
      <c r="D5" s="7" t="inlineStr">
        <is>
          <t>① 载体 · 10万</t>
        </is>
      </c>
    </row>
    <row r="6" ht="28" customHeight="1">
      <c r="A6" s="10" t="inlineStr">
        <is>
          <t>3</t>
        </is>
      </c>
      <c r="B6" s="10" t="inlineStr">
        <is>
          <t>活动</t>
        </is>
      </c>
      <c r="C6" s="11" t="inlineStr">
        <is>
          <t>YOUNG立方活动补贴：按实际投入最高50%，同一主体同年累计最高200万元</t>
        </is>
      </c>
      <c r="D6" s="10" t="inlineStr">
        <is>
          <t>② 活动经费 · 200万</t>
        </is>
      </c>
    </row>
    <row r="7" ht="28" customHeight="1">
      <c r="A7" s="7" t="inlineStr">
        <is>
          <t>4</t>
        </is>
      </c>
      <c r="B7" s="7" t="inlineStr">
        <is>
          <t>奖项</t>
        </is>
      </c>
      <c r="C7" s="9" t="inlineStr">
        <is>
          <t>高新技术企业首次认定奖励：20万元/次（企业）</t>
        </is>
      </c>
      <c r="D7" s="7" t="inlineStr">
        <is>
          <t>③ 高企</t>
        </is>
      </c>
    </row>
    <row r="8" ht="28" customHeight="1">
      <c r="A8" s="10" t="inlineStr">
        <is>
          <t>5</t>
        </is>
      </c>
      <c r="B8" s="10" t="inlineStr">
        <is>
          <t>奖项</t>
        </is>
      </c>
      <c r="C8" s="11" t="inlineStr">
        <is>
          <t>专精特新中小企业（市级）：10万元；国家级小巨人：30万元</t>
        </is>
      </c>
      <c r="D8" s="10" t="inlineStr">
        <is>
          <t>③ 专精特新 / 国家小巨人</t>
        </is>
      </c>
    </row>
    <row r="9" ht="28" customHeight="1">
      <c r="A9" s="7" t="inlineStr">
        <is>
          <t>6</t>
        </is>
      </c>
      <c r="B9" s="7" t="inlineStr">
        <is>
          <t>奖项</t>
        </is>
      </c>
      <c r="C9" s="9" t="inlineStr">
        <is>
          <t>区级科技小巨人50万元；区双创小巨人100万元</t>
        </is>
      </c>
      <c r="D9" s="7" t="inlineStr">
        <is>
          <t>③ 区级小巨人</t>
        </is>
      </c>
    </row>
    <row r="10" ht="28" customHeight="1">
      <c r="A10" s="10" t="inlineStr">
        <is>
          <t>7</t>
        </is>
      </c>
      <c r="B10" s="10" t="inlineStr">
        <is>
          <t>平台收益</t>
        </is>
      </c>
      <c r="C10" s="11" t="inlineStr">
        <is>
          <t>申报服务费：科小0.3–2万/家；高企/专精特新2–8万/家</t>
        </is>
      </c>
      <c r="D10" s="10" t="inlineStr">
        <is>
          <t>见「平台收益对照」</t>
        </is>
      </c>
    </row>
    <row r="11" ht="28" customHeight="1">
      <c r="A11" s="7" t="inlineStr">
        <is>
          <t>8</t>
        </is>
      </c>
      <c r="B11" s="7" t="inlineStr">
        <is>
          <t>平台收益</t>
        </is>
      </c>
      <c r="C11" s="9" t="inlineStr">
        <is>
          <t>成功分成：补贴到账额5%–15%；载体运营满年约10–20万直接到平台</t>
        </is>
      </c>
      <c r="D11" s="7" t="inlineStr">
        <is>
          <t>见「平台收益对照」</t>
        </is>
      </c>
    </row>
    <row r="12" ht="28" customHeight="1">
      <c r="A12" s="10" t="inlineStr">
        <is>
          <t>9</t>
        </is>
      </c>
      <c r="B12" s="10" t="inlineStr">
        <is>
          <t>另计</t>
        </is>
      </c>
      <c r="C12" s="11" t="inlineStr">
        <is>
          <t>服务业引导资金：重点≤总投入20%且≤300万（项目制，不按年重复列入主表）</t>
        </is>
      </c>
      <c r="D12" s="10" t="inlineStr">
        <is>
          <t>另案申报</t>
        </is>
      </c>
    </row>
    <row r="13" ht="28" customHeight="1">
      <c r="A13" s="7" t="inlineStr">
        <is>
          <t>10</t>
        </is>
      </c>
      <c r="B13" s="7" t="inlineStr">
        <is>
          <t>前提</t>
        </is>
      </c>
      <c r="C13" s="9" t="inlineStr">
        <is>
          <t>挂牌杨浦科技企业服务中心；取得经认定载体/成果转化平台；入驻创新券服务机构平台</t>
        </is>
      </c>
      <c r="D13" s="7" t="inlineStr">
        <is>
          <t>兑现前置条件</t>
        </is>
      </c>
    </row>
    <row r="15">
      <c r="A15" s="23" t="inlineStr">
        <is>
          <t>使用建议（给甲方）</t>
        </is>
      </c>
    </row>
    <row r="16" ht="72" customHeight="1">
      <c r="A16" s="24" t="inlineStr">
        <is>
          <t>1）对外沟通优先使用「十年收益总表」：三列金额分列清晰，最右为累加合计；
2）奖项家数可按实际入驻与培育进度在「奖项申报明细」中调整后重算；
3）若需强调服务中心自身进账，请同步出示「平台收益对照」表；
4）所有数字为政策上限或合理测算，最终以当年申报指南、认定结果及拨付文件为准。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2026-07-23T15:09:21Z</dcterms:created>
  <dcterms:modified xmlns:dcterms="http://purl.org/dc/terms/" xmlns:xsi="http://www.w3.org/2001/XMLSchema-instance" xsi:type="dcterms:W3CDTF">2026-07-23T15:09:21Z</dcterms:modified>
</cp:coreProperties>
</file>